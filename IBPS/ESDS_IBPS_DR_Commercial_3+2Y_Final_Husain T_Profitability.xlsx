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D:\CRM\Profitablity Working\"/>
    </mc:Choice>
  </mc:AlternateContent>
  <xr:revisionPtr revIDLastSave="0" documentId="13_ncr:1_{094EDFC4-1EA0-4D81-9C28-03B3A811A2FD}" xr6:coauthVersionLast="47" xr6:coauthVersionMax="47" xr10:uidLastSave="{00000000-0000-0000-0000-000000000000}"/>
  <bookViews>
    <workbookView xWindow="-108" yWindow="-108" windowWidth="23256" windowHeight="12456" tabRatio="744" firstSheet="7" activeTab="11" xr2:uid="{00000000-000D-0000-FFFF-FFFF00000000}"/>
  </bookViews>
  <sheets>
    <sheet name="Summary" sheetId="7" state="hidden" r:id="rId1"/>
    <sheet name="BoM" sheetId="55" state="hidden" r:id="rId2"/>
    <sheet name="Checklist" sheetId="46" state="hidden" r:id="rId3"/>
    <sheet name="Detailed Summary " sheetId="4" state="hidden" r:id="rId4"/>
    <sheet name="Sheet3" sheetId="26" state="hidden" r:id="rId5"/>
    <sheet name="BoM Additional" sheetId="43" state="hidden" r:id="rId6"/>
    <sheet name="RFP BoM" sheetId="42" state="hidden" r:id="rId7"/>
    <sheet name="BID Format" sheetId="52" r:id="rId8"/>
    <sheet name="Working" sheetId="24" r:id="rId9"/>
    <sheet name="Monthly Recurring" sheetId="50" r:id="rId10"/>
    <sheet name="Working Service" sheetId="59" state="hidden" r:id="rId11"/>
    <sheet name="Profitability" sheetId="58" r:id="rId12"/>
    <sheet name="Components" sheetId="29" state="hidden" r:id="rId13"/>
    <sheet name="Lenovo Quote" sheetId="47" r:id="rId14"/>
    <sheet name="Sheet1" sheetId="36" state="hidden" r:id="rId15"/>
    <sheet name="Redington" sheetId="48" state="hidden" r:id="rId16"/>
    <sheet name="RHEL" sheetId="49" state="hidden" r:id="rId17"/>
    <sheet name="Cyberdristi" sheetId="51" state="hidden" r:id="rId18"/>
    <sheet name="OEM" sheetId="63" r:id="rId19"/>
    <sheet name="Payment term" sheetId="37" r:id="rId20"/>
    <sheet name="Line-item wise prices" sheetId="39" state="hidden" r:id="rId21"/>
    <sheet name="Technical Scoring Matrix Criter" sheetId="40" state="hidden" r:id="rId22"/>
    <sheet name="Broadband Cost" sheetId="44" state="hidden" r:id="rId23"/>
    <sheet name="Windows Server" sheetId="45" state="hidden" r:id="rId24"/>
    <sheet name="Colo" sheetId="57" r:id="rId25"/>
    <sheet name="Discount Sheet" sheetId="61" r:id="rId26"/>
    <sheet name="Sheet4" sheetId="27"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s>
  <definedNames>
    <definedName name="\aq">#REF!</definedName>
    <definedName name="\c">#REF!</definedName>
    <definedName name="\e">#REF!</definedName>
    <definedName name="\f">#REF!</definedName>
    <definedName name="\l">#REF!</definedName>
    <definedName name="\p">#REF!</definedName>
    <definedName name="\q">#REF!</definedName>
    <definedName name="\s">'[1]Originating Station'!#REF!</definedName>
    <definedName name="\u">'[1]Originating Station'!#REF!</definedName>
    <definedName name="\w">#REF!</definedName>
    <definedName name="\x">#REF!</definedName>
    <definedName name="\y">'[2]SCADA(MCC-SCC)-Koyali'!#REF!</definedName>
    <definedName name="\z">#N/A</definedName>
    <definedName name="____dim4">"$#REF!.$#REF!$#REF!"</definedName>
    <definedName name="____rm4">"$#REF!.$#REF!$#REF!"</definedName>
    <definedName name="___a1" hidden="1">{#N/A,#N/A,TRUE,"Overall";#N/A,#N/A,TRUE,"Region Wise ";#N/A,#N/A,TRUE,"Client Wise"}</definedName>
    <definedName name="___dim4">#REF!</definedName>
    <definedName name="___rm4">#REF!</definedName>
    <definedName name="__123Graph_X" hidden="1">#REF!</definedName>
    <definedName name="__A1">#REF!</definedName>
    <definedName name="__a2">#REF!</definedName>
    <definedName name="__a3">#REF!</definedName>
    <definedName name="__dim4">"$#REF!.$#REF!$#REF!"</definedName>
    <definedName name="__JL91">#N/A</definedName>
    <definedName name="__rim4">#REF!</definedName>
    <definedName name="__rm4">"$#REF!.$#REF!$#REF!"</definedName>
    <definedName name="__xlnm._FilterDatabase">"$#REF!.$B$1:$X$18"</definedName>
    <definedName name="_192.168.50.66">#REF!</definedName>
    <definedName name="_88">#N/A</definedName>
    <definedName name="_A1">#REF!</definedName>
    <definedName name="_a2">#REF!</definedName>
    <definedName name="_a3">#REF!</definedName>
    <definedName name="_BAA1">#REF!</definedName>
    <definedName name="_dim4">#REF!</definedName>
    <definedName name="_EMC2">#REF!</definedName>
    <definedName name="_Fill" hidden="1">#REF!</definedName>
    <definedName name="_H264">#REF!</definedName>
    <definedName name="_H264FACTOR">#REF!</definedName>
    <definedName name="_HRP1001">#REF!</definedName>
    <definedName name="_HRP1023">#REF!</definedName>
    <definedName name="_HRP1025">#REF!</definedName>
    <definedName name="_HRP1026">#REF!</definedName>
    <definedName name="_HRP1027">#REF!</definedName>
    <definedName name="_HRP1028">#REF!</definedName>
    <definedName name="_HRP1035">#REF!</definedName>
    <definedName name="_HRP1038">#REF!</definedName>
    <definedName name="_HRP1042">#REF!</definedName>
    <definedName name="_HRT1035">#REF!</definedName>
    <definedName name="_HRT1042">#REF!</definedName>
    <definedName name="_JL91">#N/A</definedName>
    <definedName name="_Key1" hidden="1">#REF!</definedName>
    <definedName name="_MJPEG">#REF!</definedName>
    <definedName name="_MJPEGFACTOR">#REF!</definedName>
    <definedName name="_MPEG4">#REF!</definedName>
    <definedName name="_MPEG4FACTOR">#REF!</definedName>
    <definedName name="_nil" hidden="1">#REF!</definedName>
    <definedName name="_Order1" hidden="1">255</definedName>
    <definedName name="_Order2" hidden="1">255</definedName>
    <definedName name="_PT1001022" localSheetId="25">#REF!</definedName>
    <definedName name="_PT1001022">#REF!</definedName>
    <definedName name="_PT1001023" localSheetId="25">#REF!</definedName>
    <definedName name="_PT1001023">#REF!</definedName>
    <definedName name="_PT1001025" localSheetId="25">#REF!</definedName>
    <definedName name="_PT1001025">#REF!</definedName>
    <definedName name="_PT1001027">#REF!</definedName>
    <definedName name="_PT1001031">#REF!</definedName>
    <definedName name="_PT1001040">#REF!</definedName>
    <definedName name="_PT1002">#REF!</definedName>
    <definedName name="_rim4">#REF!</definedName>
    <definedName name="_rm4">#REF!</definedName>
    <definedName name="_Sort" hidden="1">[3]consolidated!#REF!</definedName>
    <definedName name="a">#REF!</definedName>
    <definedName name="A_1">#REF!</definedName>
    <definedName name="A_2">#REF!</definedName>
    <definedName name="A1_">#REF!</definedName>
    <definedName name="A10_">#REF!</definedName>
    <definedName name="A13_">#REF!</definedName>
    <definedName name="A2_">#REF!</definedName>
    <definedName name="A3_">#REF!</definedName>
    <definedName name="A4_">#REF!</definedName>
    <definedName name="A5_">#REF!</definedName>
    <definedName name="A6_">#REF!</definedName>
    <definedName name="A7_">#REF!</definedName>
    <definedName name="A8_">#REF!</definedName>
    <definedName name="A9_">#REF!</definedName>
    <definedName name="aa" localSheetId="25" hidden="1">{"'LTITL'!$A$1:$P$35"}</definedName>
    <definedName name="aa" hidden="1">{"'LTITL'!$A$1:$P$35"}</definedName>
    <definedName name="aaa" localSheetId="25">[4]Sachin!#REF!</definedName>
    <definedName name="aaa">[5]Sachin!#REF!</definedName>
    <definedName name="abc">#REF!</definedName>
    <definedName name="acab">"$#REF!.$AQ$3"</definedName>
    <definedName name="accab">"$#REF!.$AS$3"</definedName>
    <definedName name="AccessDatabase" hidden="1">"C:\Documents and Settings\JUNAGADH DAIRY\My Documents\priti\Priti\MIS &amp; A.C\January 07\January 07.mdb"</definedName>
    <definedName name="Account_Balance">#REF!</definedName>
    <definedName name="acon">"$#REF!.$AR$3"</definedName>
    <definedName name="ActCode">#REF!</definedName>
    <definedName name="ActPilot">#REF!</definedName>
    <definedName name="ActSignal">#REF!</definedName>
    <definedName name="ActType">#REF!</definedName>
    <definedName name="ActualCv">#REF!</definedName>
    <definedName name="ActualPress">#REF!</definedName>
    <definedName name="AD">#REF!</definedName>
    <definedName name="adsfasdf">#REF!</definedName>
    <definedName name="AllPrice" localSheetId="25">#REF!</definedName>
    <definedName name="AllPrice">#REF!</definedName>
    <definedName name="an">#REF!</definedName>
    <definedName name="APP_AA">"$#REF!.$#REF!$7"</definedName>
    <definedName name="APP_AP_OS">"$#REF!.$#REF!$5"</definedName>
    <definedName name="app_server_compute_requirement_cores">[6]Calculations!$H$83</definedName>
    <definedName name="app_server_localdisk_requirement_gb">[6]Calculations!$H$114</definedName>
    <definedName name="app_server_localdisk_requirement_iops">[6]Calculations!$H$131</definedName>
    <definedName name="app_server_localdisk_requirement_mib_s">[6]Calculations!$H$132</definedName>
    <definedName name="app_server_ram_requirement_gib">[6]Calculations!$H$94</definedName>
    <definedName name="Apples">#REF!</definedName>
    <definedName name="Applicable" localSheetId="25">[7]Sheet2!$A$1:$A$2</definedName>
    <definedName name="Applicable">[8]Sheet2!$A$1:$A$2</definedName>
    <definedName name="APRIL_2000" localSheetId="25">#REF!</definedName>
    <definedName name="APRIL_2000">#REF!</definedName>
    <definedName name="ARCHIVE_DURATION">#REF!</definedName>
    <definedName name="ARCHIVE_GSIZE">#REF!</definedName>
    <definedName name="ARCHIVE_SDURATION">#REF!</definedName>
    <definedName name="as">#REF!</definedName>
    <definedName name="AS2HasNoAutoHeaderFooter" hidden="1">" "</definedName>
    <definedName name="AS2ReportLS" hidden="1">1</definedName>
    <definedName name="AS2SyncStepLS" hidden="1">0</definedName>
    <definedName name="AS2TickmarkLS" hidden="1">#REF!</definedName>
    <definedName name="AS2VersionLS" hidden="1">300</definedName>
    <definedName name="asd" hidden="1">{#N/A,#N/A,TRUE,"Overall";#N/A,#N/A,TRUE,"Region Wise ";#N/A,#N/A,TRUE,"Client Wise"}</definedName>
    <definedName name="asdd" localSheetId="25" hidden="1">{"'LTITL'!$A$1:$P$35"}</definedName>
    <definedName name="asdd" hidden="1">{"'LTITL'!$A$1:$P$35"}</definedName>
    <definedName name="asf">#REF!</definedName>
    <definedName name="auxlp">#REF!</definedName>
    <definedName name="AWSRT">#REF!</definedName>
    <definedName name="B">'[9]PRECAST lightconc-II'!$K$19</definedName>
    <definedName name="Bananas">#REF!</definedName>
    <definedName name="Band">[10]Labels!$E$3:$E$9</definedName>
    <definedName name="BaseModel" localSheetId="25">#REF!</definedName>
    <definedName name="BaseModel">#REF!</definedName>
    <definedName name="BaseModelPrice" localSheetId="25">#REF!</definedName>
    <definedName name="BaseModelPrice">#REF!</definedName>
    <definedName name="BasePrice" localSheetId="25">#REF!</definedName>
    <definedName name="BasePrice">#REF!</definedName>
    <definedName name="BEx3O85IKWARA6NCJOLRBRJFMEWW" hidden="1">'[11]Volume 09-10'!#REF!</definedName>
    <definedName name="BEx5MLQZM68YQSKARVWTTPINFQ2C" hidden="1">'[11]Volume 09-10'!#REF!</definedName>
    <definedName name="BExERWCEBKQRYWRQLYJ4UCMMKTHG" hidden="1">'[11]Volume 09-10'!#REF!</definedName>
    <definedName name="BExMBYPQDG9AYDQ5E8IECVFREPO6" hidden="1">'[11]Volume 09-10'!#REF!</definedName>
    <definedName name="BExQ9ZLYHWABXAA9NJDW8ZS0UQ9P" hidden="1">'[11]Volume 09-10'!#REF!</definedName>
    <definedName name="BExTUY9WNSJ91GV8CP0SKJTEIV82" hidden="1">'[11]Volume 09-10'!#REF!</definedName>
    <definedName name="BG_Del" hidden="1">15</definedName>
    <definedName name="BG_Ins" hidden="1">4</definedName>
    <definedName name="BG_Mod" hidden="1">6</definedName>
    <definedName name="BILL_TO_ADDRESS" localSheetId="25">[12]Sachin!#REF!</definedName>
    <definedName name="BILL_TO_ADDRESS">[5]Sachin!#REF!</definedName>
    <definedName name="BILL_TO_CONTACT" localSheetId="25">[12]Sachin!#REF!</definedName>
    <definedName name="BILL_TO_CONTACT">[5]Sachin!#REF!</definedName>
    <definedName name="BILL_TO_LABEL" localSheetId="25">[12]Sachin!#REF!</definedName>
    <definedName name="BILL_TO_LABEL">[5]Sachin!#REF!</definedName>
    <definedName name="BILL_TO_NAME" localSheetId="25">[12]Sachin!#REF!</definedName>
    <definedName name="BILL_TO_NAME">[5]Sachin!#REF!</definedName>
    <definedName name="BILL_TO_PHONE" localSheetId="25">[12]Sachin!#REF!</definedName>
    <definedName name="BILL_TO_PHONE">[5]Sachin!#REF!</definedName>
    <definedName name="bit">[13]Reference!$B$2:$B$6</definedName>
    <definedName name="BITRATE">#REF!</definedName>
    <definedName name="BldgQty">"$#REF!.$M$4"</definedName>
    <definedName name="bol">#REF!</definedName>
    <definedName name="boml">#REF!</definedName>
    <definedName name="boq_type">#REF!</definedName>
    <definedName name="boq_version">[14]Config!$C$2:$C$3</definedName>
    <definedName name="botl">#REF!</definedName>
    <definedName name="botn">#REF!</definedName>
    <definedName name="Breakup">#REF!</definedName>
    <definedName name="BRS_FLOOR_ANALYSIS_LINES_TO_FORMAT0" localSheetId="25">[12]Sachin!#REF!</definedName>
    <definedName name="BRS_FLOOR_ANALYSIS_LINES_TO_FORMAT0">[5]Sachin!#REF!</definedName>
    <definedName name="BRS_FLOOR_ANALYSIS_LINES_TO_FORMAT1" localSheetId="25">[12]Sachin!#REF!</definedName>
    <definedName name="BRS_FLOOR_ANALYSIS_LINES_TO_FORMAT1">[5]Sachin!#REF!</definedName>
    <definedName name="BRS_FLOOR_ANALYSIS_SECTION" localSheetId="25">[12]Sachin!#REF!</definedName>
    <definedName name="BRS_FLOOR_ANALYSIS_SECTION">[5]Sachin!#REF!</definedName>
    <definedName name="BRStage">#REF!</definedName>
    <definedName name="BSSpn">#REF!</definedName>
    <definedName name="bua">#REF!</definedName>
    <definedName name="bxnvxnd">#REF!</definedName>
    <definedName name="C_">#N/A</definedName>
    <definedName name="cab">#REF!</definedName>
    <definedName name="cab21.5tp">#REF!</definedName>
    <definedName name="cab21s">#REF!</definedName>
    <definedName name="cab21us">#REF!</definedName>
    <definedName name="cab31s">#REF!</definedName>
    <definedName name="cab31us">#REF!</definedName>
    <definedName name="cab41s">#REF!</definedName>
    <definedName name="cab41us">#REF!</definedName>
    <definedName name="cabd">"$#REF!.$#REF!$#REF!"</definedName>
    <definedName name="cabf">"$#REF!.$#REF!$#REF!"</definedName>
    <definedName name="cabinet">#REF!</definedName>
    <definedName name="Cable_SW">#REF!</definedName>
    <definedName name="cald">"$#REF!.$B$11"</definedName>
    <definedName name="CALf">#REF!</definedName>
    <definedName name="CALIMP">"'file://Vijay/d/Offers/GRUNDFOSS/Grundfoss Offer 4A12/Final Offer - 4C16/IO List 4C08.xls'#$factors.$#REF!$#REF!"</definedName>
    <definedName name="cant">'[15]Staff Acco.'!#REF!</definedName>
    <definedName name="Capital1">#REF!</definedName>
    <definedName name="CardReaderInd400">[16]CCTV_EST1!#REF!</definedName>
    <definedName name="cbcbccb" hidden="1">[17]consolidated!#REF!</definedName>
    <definedName name="cdf">#REF!</definedName>
    <definedName name="cffdf">#REF!</definedName>
    <definedName name="CFG_SECTION" localSheetId="25">#REF!</definedName>
    <definedName name="CFG_SECTION">#REF!</definedName>
    <definedName name="CFG_SUBTOTAL_ALL" localSheetId="25">[12]Sachin!#REF!</definedName>
    <definedName name="CFG_SUBTOTAL_ALL">[5]Sachin!#REF!</definedName>
    <definedName name="CFG_SUBTOTAL_HW" localSheetId="25">[12]Sachin!#REF!</definedName>
    <definedName name="CFG_SUBTOTAL_HW">[5]Sachin!#REF!</definedName>
    <definedName name="CFG_SUBTOTAL_MW" localSheetId="25">[12]Sachin!#REF!</definedName>
    <definedName name="CFG_SUBTOTAL_MW">[5]Sachin!#REF!</definedName>
    <definedName name="CFG_SUBTOTAL_PS" localSheetId="25">[12]Sachin!#REF!</definedName>
    <definedName name="CFG_SUBTOTAL_PS">[5]Sachin!#REF!</definedName>
    <definedName name="CFG_SUBTOTAL_SECTION" localSheetId="25">[12]Sachin!#REF!</definedName>
    <definedName name="CFG_SUBTOTAL_SECTION">[5]Sachin!#REF!</definedName>
    <definedName name="CFG_SUBTOTAL_SW" localSheetId="25">[12]Sachin!#REF!</definedName>
    <definedName name="CFG_SUBTOTAL_SW">[5]Sachin!#REF!</definedName>
    <definedName name="CFG_TITLE_FLD_CFG_NAME" localSheetId="25">#REF!</definedName>
    <definedName name="CFG_TITLE_FLD_CFG_NAME">#REF!</definedName>
    <definedName name="CFG_TITLE_SECTION" localSheetId="25">#REF!</definedName>
    <definedName name="CFG_TITLE_SECTION">#REF!</definedName>
    <definedName name="chfinr">#REF!</definedName>
    <definedName name="china" hidden="1">{#N/A,#N/A,TRUE,"Overall";#N/A,#N/A,TRUE,"Region Wise ";#N/A,#N/A,TRUE,"Client Wise"}</definedName>
    <definedName name="ciff">#REF!</definedName>
    <definedName name="Cisco_Category">#REF!</definedName>
    <definedName name="Cisco_MA">#REF!</definedName>
    <definedName name="CleintEmail">#REF!</definedName>
    <definedName name="ClientAddress1">#REF!</definedName>
    <definedName name="ClientAddress2">#REF!</definedName>
    <definedName name="ClientCity">#REF!</definedName>
    <definedName name="ClientComp0">#REF!</definedName>
    <definedName name="ClientCompany">#REF!</definedName>
    <definedName name="ClientCountry">#REF!</definedName>
    <definedName name="ClientEmail">#REF!</definedName>
    <definedName name="ClientFax">#REF!</definedName>
    <definedName name="ClientLand">#REF!</definedName>
    <definedName name="ClientName">#REF!</definedName>
    <definedName name="ClientPhone">#REF!</definedName>
    <definedName name="ClientState">#REF!</definedName>
    <definedName name="ClientStreet">#REF!</definedName>
    <definedName name="ClientTel">#REF!</definedName>
    <definedName name="ClientTown">#REF!</definedName>
    <definedName name="ClientZip">#REF!</definedName>
    <definedName name="clrf">#REF!</definedName>
    <definedName name="Cluster">[18]Summary!$Q$91:$Q$93</definedName>
    <definedName name="Cluster_tech">[18]Summary!$R$91:$R$95</definedName>
    <definedName name="clustered_p">[6]Calculations!$H$52</definedName>
    <definedName name="COAD">'[19]Civil Works'!$K$7</definedName>
    <definedName name="Codelines">[20]Controls!$B$3:$B$7</definedName>
    <definedName name="Codelines_Score">[20]Controls!$C$3:$C$7</definedName>
    <definedName name="CoLocation" localSheetId="25">#REF!</definedName>
    <definedName name="CoLocation">#REF!</definedName>
    <definedName name="COLOR_BITS">#REF!</definedName>
    <definedName name="Comment1" localSheetId="25">#REF!</definedName>
    <definedName name="Comment1">#REF!</definedName>
    <definedName name="Comment2">#REF!</definedName>
    <definedName name="Comment3">#REF!</definedName>
    <definedName name="Comment4">#REF!</definedName>
    <definedName name="Comment5">#REF!</definedName>
    <definedName name="Comment6">#REF!</definedName>
    <definedName name="Comment7">#REF!</definedName>
    <definedName name="Comment8">#REF!</definedName>
    <definedName name="Comments">#REF!</definedName>
    <definedName name="COMP_RATIO">#REF!</definedName>
    <definedName name="Company">#REF!</definedName>
    <definedName name="CompanyInfo1">"JCI"</definedName>
    <definedName name="CompanyInfo2">"JCI"</definedName>
    <definedName name="ComplianceStatus">[21]General!$B$18:$B$19</definedName>
    <definedName name="Component" localSheetId="25">#REF!</definedName>
    <definedName name="Component">#REF!</definedName>
    <definedName name="Concurrent_Users">[20]Controls!$B$10:$B$14</definedName>
    <definedName name="condf">#REF!</definedName>
    <definedName name="conf">"$#REF!.$#REF!$#REF!"</definedName>
    <definedName name="Config">[22]cost!$B$3:$B$30</definedName>
    <definedName name="ConfigInfo1" localSheetId="25">#REF!</definedName>
    <definedName name="ConfigInfo1">#REF!</definedName>
    <definedName name="ConfigInfo2" localSheetId="25">#REF!</definedName>
    <definedName name="ConfigInfo2">#REF!</definedName>
    <definedName name="ConfigPrice" localSheetId="25">#REF!</definedName>
    <definedName name="ConfigPrice">#REF!</definedName>
    <definedName name="ConfigPriceEuro">#REF!</definedName>
    <definedName name="ConfigState">#REF!</definedName>
    <definedName name="conmsf">[23]factors!$J$8</definedName>
    <definedName name="Construction_Period">#REF!</definedName>
    <definedName name="Contact">#REF!</definedName>
    <definedName name="Contingency">#REF!</definedName>
    <definedName name="ContractName">"Contract"</definedName>
    <definedName name="ContractNumber">"88888888"</definedName>
    <definedName name="CONV">'[24]MS NET'!#REF!</definedName>
    <definedName name="conversion_type">[14]Config!$E$2:$E$3</definedName>
    <definedName name="CoreType">#REF!</definedName>
    <definedName name="cost" hidden="1">{#N/A,#N/A,TRUE,"Overall";#N/A,#N/A,TRUE,"Region Wise ";#N/A,#N/A,TRUE,"Client Wise"}</definedName>
    <definedName name="costing">#REF!</definedName>
    <definedName name="CSI_FLD_CSI_DESCRIPTION" localSheetId="25">[12]Sachin!#REF!</definedName>
    <definedName name="CSI_FLD_CSI_DESCRIPTION">[5]Sachin!#REF!</definedName>
    <definedName name="CSI_FLD_CSI_NAME" localSheetId="25">[12]Sachin!#REF!</definedName>
    <definedName name="CSI_FLD_CSI_NAME">[5]Sachin!#REF!</definedName>
    <definedName name="CSI_FLD_CSI_SERIAL_NUMBER" localSheetId="25">[12]Sachin!#REF!</definedName>
    <definedName name="CSI_FLD_CSI_SERIAL_NUMBER">[5]Sachin!#REF!</definedName>
    <definedName name="CSI_LABEL_FORCOPY_SERIAL_NUMBER" localSheetId="25">[12]Sachin!#REF!</definedName>
    <definedName name="CSI_LABEL_FORCOPY_SERIAL_NUMBER">[5]Sachin!#REF!</definedName>
    <definedName name="CSI_LABEL_HEADERS" localSheetId="25">#REF!</definedName>
    <definedName name="CSI_LABEL_HEADERS">#REF!</definedName>
    <definedName name="CSI_LINE_HW" localSheetId="25">#REF!</definedName>
    <definedName name="CSI_LINE_HW">#REF!</definedName>
    <definedName name="CSI_LINE_MW" localSheetId="25">[12]Sachin!#REF!</definedName>
    <definedName name="CSI_LINE_MW">[5]Sachin!#REF!</definedName>
    <definedName name="CSI_LINE_PS" localSheetId="25">[12]Sachin!#REF!</definedName>
    <definedName name="CSI_LINE_PS">[5]Sachin!#REF!</definedName>
    <definedName name="CSI_LINE_SW" localSheetId="25">[12]Sachin!#REF!</definedName>
    <definedName name="CSI_LINE_SW">[5]Sachin!#REF!</definedName>
    <definedName name="CSI_SECTION_HW_ALL" localSheetId="25">#REF!</definedName>
    <definedName name="CSI_SECTION_HW_ALL">#REF!</definedName>
    <definedName name="CSI_SECTION_HW_BOT" localSheetId="25">[12]Sachin!#REF!</definedName>
    <definedName name="CSI_SECTION_HW_BOT">[5]Sachin!#REF!</definedName>
    <definedName name="CSI_SECTION_HW_TOP" localSheetId="25">#REF!</definedName>
    <definedName name="CSI_SECTION_HW_TOP">#REF!</definedName>
    <definedName name="CSI_SECTION_MW_ALL" localSheetId="25">[12]Sachin!#REF!</definedName>
    <definedName name="CSI_SECTION_MW_ALL">[5]Sachin!#REF!</definedName>
    <definedName name="CSI_SECTION_MW_BOT" localSheetId="25">[12]Sachin!#REF!</definedName>
    <definedName name="CSI_SECTION_MW_BOT">[5]Sachin!#REF!</definedName>
    <definedName name="CSI_SECTION_MW_TOP" localSheetId="25">[12]Sachin!#REF!</definedName>
    <definedName name="CSI_SECTION_MW_TOP">[5]Sachin!#REF!</definedName>
    <definedName name="CSI_SECTION_PS_ALL" localSheetId="25">[12]Sachin!#REF!</definedName>
    <definedName name="CSI_SECTION_PS_ALL">[5]Sachin!#REF!</definedName>
    <definedName name="CSI_SECTION_PS_BOT" localSheetId="25">[12]Sachin!#REF!</definedName>
    <definedName name="CSI_SECTION_PS_BOT">[5]Sachin!#REF!</definedName>
    <definedName name="CSI_SECTION_PS_TOP" localSheetId="25">[12]Sachin!#REF!</definedName>
    <definedName name="CSI_SECTION_PS_TOP">[5]Sachin!#REF!</definedName>
    <definedName name="CSI_SECTION_SW_ALL" localSheetId="25">[12]Sachin!#REF!</definedName>
    <definedName name="CSI_SECTION_SW_ALL">[5]Sachin!#REF!</definedName>
    <definedName name="CSI_SECTION_SW_BOT" localSheetId="25">[12]Sachin!#REF!</definedName>
    <definedName name="CSI_SECTION_SW_BOT">[5]Sachin!#REF!</definedName>
    <definedName name="CSI_SECTION_SW_TOP" localSheetId="25">[12]Sachin!#REF!</definedName>
    <definedName name="CSI_SECTION_SW_TOP">[5]Sachin!#REF!</definedName>
    <definedName name="CSI_SECTION_TITLE" localSheetId="25">[12]Sachin!#REF!</definedName>
    <definedName name="CSI_SECTION_TITLE">[5]Sachin!#REF!</definedName>
    <definedName name="CSI_SUBTOTAL_HW" localSheetId="25">[12]Sachin!#REF!</definedName>
    <definedName name="CSI_SUBTOTAL_HW">[5]Sachin!#REF!</definedName>
    <definedName name="CSI_SUBTOTAL_MW" localSheetId="25">[12]Sachin!#REF!</definedName>
    <definedName name="CSI_SUBTOTAL_MW">[5]Sachin!#REF!</definedName>
    <definedName name="CSI_SUBTOTAL_PS" localSheetId="25">[12]Sachin!#REF!</definedName>
    <definedName name="CSI_SUBTOTAL_PS">[5]Sachin!#REF!</definedName>
    <definedName name="CSI_SUBTOTAL_SW" localSheetId="25">[12]Sachin!#REF!</definedName>
    <definedName name="CSI_SUBTOTAL_SW">[5]Sachin!#REF!</definedName>
    <definedName name="CSR">#REF!</definedName>
    <definedName name="cstf">#REF!</definedName>
    <definedName name="cstvat">#REF!</definedName>
    <definedName name="Currency">'[25]Content Instructions'!$B$7</definedName>
    <definedName name="currency_name">[14]Config!$F$2:$F$8</definedName>
    <definedName name="custom1">#REF!</definedName>
    <definedName name="Customer">" "</definedName>
    <definedName name="cvdf">#REF!</definedName>
    <definedName name="d" localSheetId="25">#REF!</definedName>
    <definedName name="d">#REF!</definedName>
    <definedName name="d_1">#N/A</definedName>
    <definedName name="Data11">"Avg Salary'!$A$39:$A$45"</definedName>
    <definedName name="_xlnm.Database">#REF!</definedName>
    <definedName name="DataCenters">#REF!</definedName>
    <definedName name="Date">#REF!</definedName>
    <definedName name="DB_AA">"$#REF!.$#REF!$8"</definedName>
    <definedName name="DB_AP_OS">"$#REF!.$#REF!$6"</definedName>
    <definedName name="db_managed_by_csp_p">'[6]Project Configuration'!$H$17</definedName>
    <definedName name="db_server_compute_requirement_cores">[6]Calculations!$H$146</definedName>
    <definedName name="db_server_disk_requirement_gb">[6]Calculations!$H$175</definedName>
    <definedName name="db_server_disk_requirement_iops">[6]Calculations!$H$191</definedName>
    <definedName name="db_server_disk_requirement_mib_s">[6]Calculations!$H$199</definedName>
    <definedName name="db_server_ram_requirement_gib">[6]Calculations!$H$156</definedName>
    <definedName name="DB_Types" localSheetId="25">'[26]Data Domains'!$D$2:$D$8</definedName>
    <definedName name="DB_Types">'[27]Data Domains'!$D$2:$D$8</definedName>
    <definedName name="DC100100AA">"$#REF!.$D$8"</definedName>
    <definedName name="DC5050AA">"$#REF!.$D$6"</definedName>
    <definedName name="DCAP">"$#REF!.$D$7"</definedName>
    <definedName name="dcdd">#REF!</definedName>
    <definedName name="DCInfo">#REF!</definedName>
    <definedName name="DCRow">#REF!</definedName>
    <definedName name="DCU">'[28]ACS(1)'!#REF!</definedName>
    <definedName name="dd" localSheetId="25" hidden="1">{"'LTITL'!$A$1:$P$35"}</definedName>
    <definedName name="dd" hidden="1">{"'LTITL'!$A$1:$P$35"}</definedName>
    <definedName name="ddd" localSheetId="25" hidden="1">{"'LTITL'!$A$1:$P$35"}</definedName>
    <definedName name="ddd" hidden="1">{"'LTITL'!$A$1:$P$35"}</definedName>
    <definedName name="de">#REF!</definedName>
    <definedName name="DECISION">[29]Sheet2!$B$2:$B$3</definedName>
    <definedName name="dep_pm">#REF!</definedName>
    <definedName name="depcom_pa">#REF!</definedName>
    <definedName name="depsch_pa">#REF!</definedName>
    <definedName name="depveh_pa">#REF!</definedName>
    <definedName name="Description">#REF!</definedName>
    <definedName name="DesignPress">#REF!</definedName>
    <definedName name="Devicetype">#REF!</definedName>
    <definedName name="DevType">'[30]Device details'!$AN$1:$AN$16</definedName>
    <definedName name="dfsga">#REF!</definedName>
    <definedName name="dgg" hidden="1">{#N/A,#N/A,TRUE,"Overall";#N/A,#N/A,TRUE,"Region Wise ";#N/A,#N/A,TRUE,"Client Wise"}</definedName>
    <definedName name="di" hidden="1">{#N/A,#N/A,TRUE,"Overall";#N/A,#N/A,TRUE,"Region Wise ";#N/A,#N/A,TRUE,"Client Wise"}</definedName>
    <definedName name="dim4e">"$#REF!.$#REF!$#REF!"</definedName>
    <definedName name="Disaggregations">#REF!</definedName>
    <definedName name="Discuss">"$#REF!.$#REF!$5"</definedName>
    <definedName name="Dm" localSheetId="25">#REF!</definedName>
    <definedName name="Dm">#REF!</definedName>
    <definedName name="DocumentName">""</definedName>
    <definedName name="DocumentNumber">""</definedName>
    <definedName name="dollar_conv">#N/A</definedName>
    <definedName name="dollar_conv_1">#N/A</definedName>
    <definedName name="dollar_conv_2">#N/A</definedName>
    <definedName name="domestic_global">#REF!</definedName>
    <definedName name="DONV">'[31]MS NET'!#REF!</definedName>
    <definedName name="DP">#REF!</definedName>
    <definedName name="DR">[32]Summary!$V$91:$V$92</definedName>
    <definedName name="DR_100">"$#REF!.$D$12"</definedName>
    <definedName name="DR_50">"$#REF!.$D$9"</definedName>
    <definedName name="dr_required_p">'[6]Project Configuration'!$H$21</definedName>
    <definedName name="DriveSets" localSheetId="25">[33]Storage!#REF!</definedName>
    <definedName name="DriveSets">[34]Storage!#REF!</definedName>
    <definedName name="dsdud">#REF!</definedName>
    <definedName name="DT">#N/A</definedName>
    <definedName name="DTR">#REF!</definedName>
    <definedName name="Dual_Power">[35]Validations!$F$3:$F$9</definedName>
    <definedName name="Duration">[36]Profile!$D$32</definedName>
    <definedName name="Dv" localSheetId="25">#REF!</definedName>
    <definedName name="Dv">#REF!</definedName>
    <definedName name="E">'[9]PRECAST lightconc-II'!$K$20</definedName>
    <definedName name="Ed" localSheetId="25">#REF!</definedName>
    <definedName name="Ed">#REF!</definedName>
    <definedName name="egress">#REF!</definedName>
    <definedName name="Ei" localSheetId="25">#REF!</definedName>
    <definedName name="Ei">#REF!</definedName>
    <definedName name="EIGHT">'[37]1-8'!#REF!</definedName>
    <definedName name="Elements" localSheetId="25">[38]Choices!$A$11:$A$19</definedName>
    <definedName name="Elements">[39]Choices!$A$11:$A$19</definedName>
    <definedName name="Em" localSheetId="25">#REF!</definedName>
    <definedName name="Em">#REF!</definedName>
    <definedName name="EMC_ADDRESS" localSheetId="25">[12]Sachin!#REF!</definedName>
    <definedName name="EMC_ADDRESS">[5]Sachin!#REF!</definedName>
    <definedName name="EMC_BM_TABLE_HEADER" localSheetId="25">[12]Sachin!#REF!</definedName>
    <definedName name="EMC_BM_TABLE_HEADER">[5]Sachin!#REF!</definedName>
    <definedName name="EMC_BUSINESS_MONITORING" localSheetId="25">[12]Sachin!#REF!</definedName>
    <definedName name="EMC_BUSINESS_MONITORING">[5]Sachin!#REF!</definedName>
    <definedName name="EMC_NO_RULES_BROKEN" localSheetId="25">[12]Sachin!#REF!</definedName>
    <definedName name="EMC_NO_RULES_BROKEN">[5]Sachin!#REF!</definedName>
    <definedName name="EMC21\">#REF!</definedName>
    <definedName name="Encoder">[16]CCTV_EST1!#REF!</definedName>
    <definedName name="EpDy" localSheetId="25">#REF!</definedName>
    <definedName name="EpDy">#REF!</definedName>
    <definedName name="ere" localSheetId="25">#REF!</definedName>
    <definedName name="ere">#REF!</definedName>
    <definedName name="ESER325">#REF!</definedName>
    <definedName name="ESM">'[40]Base data Security Procedures'!$D$116:$D$121</definedName>
    <definedName name="eu">"$#REF!.$#REF!$#REF!"</definedName>
    <definedName name="EUR">#REF!</definedName>
    <definedName name="Ev" localSheetId="25">#REF!</definedName>
    <definedName name="Ev">#REF!</definedName>
    <definedName name="EVENT_FRATE">#REF!</definedName>
    <definedName name="EVENT_MSIZE">#REF!</definedName>
    <definedName name="EVENT_SDURATION">#REF!</definedName>
    <definedName name="ewfwfw.">#REF!</definedName>
    <definedName name="Excel_BuiltIn__FilterDatabase_1">#REF!</definedName>
    <definedName name="Excel_BuiltIn__FilterDatabase_2">#REF!</definedName>
    <definedName name="Excel_BuiltIn__FilterDatabase_3">#REF!</definedName>
    <definedName name="Excel_BuiltIn__FilterDatabase_5">#REF!</definedName>
    <definedName name="Excel_BuiltIn__FilterDatabase_5_1">#REF!</definedName>
    <definedName name="Excel_BuiltIn__FilterDatabase_6_1">#REF!</definedName>
    <definedName name="Excel_BuiltIn__FilterDatabase_7">#REF!</definedName>
    <definedName name="Excel_BuiltIn__FilterDatabase_7_1">#REF!</definedName>
    <definedName name="Excel_BuiltIn_Print_Area_1_1">#REF!</definedName>
    <definedName name="Excel_BuiltIn_Print_Area_4_1">"$#REF!.$A$1:$I$15"</definedName>
    <definedName name="Excel_BuiltIn_Print_Area_6">"$#REF!.$A$1:$C$14"</definedName>
    <definedName name="Excel_BuiltIn_Print_Titles_1">#REF!</definedName>
    <definedName name="Excel_BuiltIn_Print_Titles_4_1">"$#REF!.$A$5:$IV$7"</definedName>
    <definedName name="Excel_BuiltIn_Print_Titles_5">"$#REF!.$A$3:$IV$4"</definedName>
    <definedName name="Excel_BuiltIn_Print_Titles_6">"$#REF!.$A$5:$IV$7"</definedName>
    <definedName name="Excise">#REF!</definedName>
    <definedName name="Excise_Duty">#REF!</definedName>
    <definedName name="Excised">#REF!</definedName>
    <definedName name="ExciseDuty">#REF!</definedName>
    <definedName name="Expected_balance">#REF!</definedName>
    <definedName name="Export">#REF!</definedName>
    <definedName name="eyrlp">#REF!</definedName>
    <definedName name="f">#REF!</definedName>
    <definedName name="FACP">'[28]FAS-C(4)'!#REF!</definedName>
    <definedName name="fdd">#REF!</definedName>
    <definedName name="fewgwergwegwe">#REF!</definedName>
    <definedName name="ff">#REF!</definedName>
    <definedName name="FF_967">#REF!</definedName>
    <definedName name="fff">#REF!</definedName>
    <definedName name="fg">#REF!</definedName>
    <definedName name="fgf">#REF!</definedName>
    <definedName name="FIFTH">#REF!</definedName>
    <definedName name="filters">[29]Sheet2!$K$2:$K$5</definedName>
    <definedName name="Finland" localSheetId="25" hidden="1">{"'LTITL'!$A$1:$P$35"}</definedName>
    <definedName name="Finland" hidden="1">{"'LTITL'!$A$1:$P$35"}</definedName>
    <definedName name="firstValve">#REF!</definedName>
    <definedName name="FirstWarn">#REF!</definedName>
    <definedName name="Fixed_Lens">#REF!</definedName>
    <definedName name="Fixed_Lens2">'[28]CCTV(old)'!#REF!</definedName>
    <definedName name="FLOOR_ANALYSIS_LINES_TO_FORMAT0" localSheetId="25">[12]Sachin!#REF!</definedName>
    <definedName name="FLOOR_ANALYSIS_LINES_TO_FORMAT0">[5]Sachin!#REF!</definedName>
    <definedName name="FLOOR_ANALYSIS_LINES_TO_FORMAT1" localSheetId="25">[12]Sachin!#REF!</definedName>
    <definedName name="FLOOR_ANALYSIS_LINES_TO_FORMAT1">[5]Sachin!#REF!</definedName>
    <definedName name="FLOOR_ANALYSIS_SECTION" localSheetId="25">[12]Sachin!#REF!</definedName>
    <definedName name="FLOOR_ANALYSIS_SECTION">[5]Sachin!#REF!</definedName>
    <definedName name="Floorsqty">"$#REF!.$M$5"</definedName>
    <definedName name="Fm" localSheetId="25">#REF!</definedName>
    <definedName name="Fm">#REF!</definedName>
    <definedName name="FOR">#REF!</definedName>
    <definedName name="FormUR" localSheetId="25">#REF!</definedName>
    <definedName name="FormUR">#REF!</definedName>
    <definedName name="FRAME_BSIZE">#REF!</definedName>
    <definedName name="FRAME_SIZE">#REF!</definedName>
    <definedName name="fsg">#REF!</definedName>
    <definedName name="FTH">[10]Labels!$A$7:$A$9</definedName>
    <definedName name="FTH_Types">[10]Labels!$C$12:$C$13</definedName>
    <definedName name="g" localSheetId="25">#REF!</definedName>
    <definedName name="g">#REF!</definedName>
    <definedName name="gareett">#REF!</definedName>
    <definedName name="gfg">#REF!</definedName>
    <definedName name="GG" localSheetId="25">'[2]SCADA(MCC-SCC)-Koyali'!#REF!</definedName>
    <definedName name="gg">[5]Sachin!#REF!</definedName>
    <definedName name="Gi" localSheetId="25">#REF!</definedName>
    <definedName name="Gi">#REF!</definedName>
    <definedName name="GlobalConfig" localSheetId="25">[41]Überblick!#REF!</definedName>
    <definedName name="GlobalConfig">[42]Überblick!#REF!</definedName>
    <definedName name="GlobalDescr" localSheetId="25">#REF!</definedName>
    <definedName name="GlobalDescr">#REF!</definedName>
    <definedName name="Gm" localSheetId="25">#REF!</definedName>
    <definedName name="Gm">#REF!</definedName>
    <definedName name="Group" localSheetId="25">#REF!</definedName>
    <definedName name="Group">#REF!</definedName>
    <definedName name="Group1">#REF!</definedName>
    <definedName name="Group2">#REF!</definedName>
    <definedName name="Group3">#REF!</definedName>
    <definedName name="Group4">#REF!</definedName>
    <definedName name="grp_WalkMeArrows">"shp_ArrowCurved,txt_WalkMeArrows,shp_ArrowStraight"</definedName>
    <definedName name="grp_WalkMeBrace">"shp_BraceBottom,txt_WalkMeBrace,shp_BraceLeft"</definedName>
    <definedName name="GSA_HEADER_FIELDS" localSheetId="25">[12]Sachin!#REF!</definedName>
    <definedName name="GSA_HEADER_FIELDS">[5]Sachin!#REF!</definedName>
    <definedName name="GSS_29Aug" hidden="1">#REF!</definedName>
    <definedName name="Gv" localSheetId="25">#REF!</definedName>
    <definedName name="Gv">#REF!</definedName>
    <definedName name="h" localSheetId="25">#REF!</definedName>
    <definedName name="H">[34]Storage!#REF!</definedName>
    <definedName name="HANATShirts">#REF!</definedName>
    <definedName name="handling">#REF!</definedName>
    <definedName name="Hardware">#REF!</definedName>
    <definedName name="HEAD">#REF!</definedName>
    <definedName name="HEM">#REF!</definedName>
    <definedName name="HEMANT">#REF!</definedName>
    <definedName name="HEMANT11">#REF!</definedName>
    <definedName name="hemanthh">#REF!</definedName>
    <definedName name="Hexaware">#REF!</definedName>
    <definedName name="HF">#REF!</definedName>
    <definedName name="hh">#REF!</definedName>
    <definedName name="hhh" hidden="1">{#N/A,#N/A,TRUE,"Overall";#N/A,#N/A,TRUE,"Region Wise ";#N/A,#N/A,TRUE,"Client Wise"}</definedName>
    <definedName name="Hints" localSheetId="25">#REF!</definedName>
    <definedName name="Hints">#REF!</definedName>
    <definedName name="HintSystem" localSheetId="25">#REF!</definedName>
    <definedName name="HintSystem">#REF!</definedName>
    <definedName name="Holland" localSheetId="25" hidden="1">{"'LTITL'!$A$1:$P$35"}</definedName>
    <definedName name="Holland" hidden="1">{"'LTITL'!$A$1:$P$35"}</definedName>
    <definedName name="Housing_Accessories">'[28]CCTV(old)'!#REF!</definedName>
    <definedName name="Housing_Prepacs">'[28]CCTV(old)'!#REF!</definedName>
    <definedName name="HR_022pD" localSheetId="25">#REF!</definedName>
    <definedName name="HR_022pD">#REF!</definedName>
    <definedName name="HR_023pE" localSheetId="25">#REF!</definedName>
    <definedName name="HR_023pE">#REF!</definedName>
    <definedName name="HR_025pE" localSheetId="25">#REF!</definedName>
    <definedName name="HR_025pE">#REF!</definedName>
    <definedName name="HR_027pE">#REF!</definedName>
    <definedName name="HR_031pC">#REF!</definedName>
    <definedName name="HR_031pS">#REF!</definedName>
    <definedName name="HR_032pP">#REF!</definedName>
    <definedName name="HR_040pE">#REF!</definedName>
    <definedName name="HR_31pT">#REF!</definedName>
    <definedName name="HR_C">#REF!</definedName>
    <definedName name="HR_D">#REF!</definedName>
    <definedName name="HR_F">#REF!</definedName>
    <definedName name="HR_G">#REF!</definedName>
    <definedName name="HR_P">#REF!</definedName>
    <definedName name="HR_Q">#REF!</definedName>
    <definedName name="HR_R">#REF!</definedName>
    <definedName name="HR_S">#REF!</definedName>
    <definedName name="HR_T">#REF!</definedName>
    <definedName name="HRIADATANR">#REF!</definedName>
    <definedName name="HRITABNR">#REF!</definedName>
    <definedName name="HRPAD22">#REF!</definedName>
    <definedName name="HRPAD23">#REF!</definedName>
    <definedName name="HRPAD25">#REF!</definedName>
    <definedName name="HRPAD27">#REF!</definedName>
    <definedName name="HRPAD31">#REF!</definedName>
    <definedName name="HRPnnnn">#REF!</definedName>
    <definedName name="HTML_CodePage" hidden="1">1252</definedName>
    <definedName name="HTML_Control" localSheetId="25" hidden="1">{"'LTITL'!$A$1:$P$35"}</definedName>
    <definedName name="HTML_Control" hidden="1">{"'LTITL'!$A$1:$P$35"}</definedName>
    <definedName name="HTML_Description" hidden="1">""</definedName>
    <definedName name="HTML_Email" hidden="1">"ss-isd/gbp-isd"</definedName>
    <definedName name="HTML_Header" hidden="1">""</definedName>
    <definedName name="HTML_LastUpdate" hidden="1">"1/18/99"</definedName>
    <definedName name="HTML_LineAfter" hidden="1">FALSE</definedName>
    <definedName name="HTML_LineBefore" hidden="1">FALSE</definedName>
    <definedName name="HTML_Name" hidden="1">"Shetty/Ganga"</definedName>
    <definedName name="HTML_OBDlg2" hidden="1">TRUE</definedName>
    <definedName name="HTML_OBDlg4" hidden="1">TRUE</definedName>
    <definedName name="HTML_OS" hidden="1">0</definedName>
    <definedName name="HTML_PathFile" hidden="1">#N/A</definedName>
    <definedName name="HTML_Title" hidden="1">""</definedName>
    <definedName name="hypervisor">[13]Reference!$E$2:$E$11</definedName>
    <definedName name="Hypervisor1" localSheetId="25">[38]Choices!$I$18:$I$18</definedName>
    <definedName name="Hypervisor1">[39]Choices!$I$18:$I$18</definedName>
    <definedName name="IBM_Labour">[10]Labels!$A$12:$A$13</definedName>
    <definedName name="iii" hidden="1">{#N/A,#N/A,TRUE,"Overall";#N/A,#N/A,TRUE,"Region Wise ";#N/A,#N/A,TRUE,"Client Wise"}</definedName>
    <definedName name="iio">#REF!</definedName>
    <definedName name="IN_MDRATE">#REF!</definedName>
    <definedName name="indf">"$#REF!.$#REF!$#REF!"</definedName>
    <definedName name="India" hidden="1">{#N/A,#N/A,TRUE,"Overall";#N/A,#N/A,TRUE,"Region Wise ";#N/A,#N/A,TRUE,"Client Wise"}</definedName>
    <definedName name="InitialUse">0</definedName>
    <definedName name="InpTotMisc">[43]Other_Input!$GA$463</definedName>
    <definedName name="InpTotOEM">[43]Other_Input!$GA$237</definedName>
    <definedName name="InpTotOthLab">[43]Other_Input!$GA$124</definedName>
    <definedName name="INR_Conv">#REF!</definedName>
    <definedName name="insert_rows_1">'[44]Basement Budget'!#REF!</definedName>
    <definedName name="INSTALL_AT_ADDRESS" localSheetId="25">[12]Sachin!#REF!</definedName>
    <definedName name="INSTALL_AT_ADDRESS">[5]Sachin!#REF!</definedName>
    <definedName name="INSTALL_AT_CONTACT" localSheetId="25">[12]Sachin!#REF!</definedName>
    <definedName name="INSTALL_AT_CONTACT">[5]Sachin!#REF!</definedName>
    <definedName name="INSTALL_AT_LABEL" localSheetId="25">[12]Sachin!#REF!</definedName>
    <definedName name="INSTALL_AT_LABEL">[5]Sachin!#REF!</definedName>
    <definedName name="INSTALL_AT_NAME" localSheetId="25">[12]Sachin!#REF!</definedName>
    <definedName name="INSTALL_AT_NAME">[5]Sachin!#REF!</definedName>
    <definedName name="INSTALL_AT_PHONE" localSheetId="25">[12]Sachin!#REF!</definedName>
    <definedName name="INSTALL_AT_PHONE">[5]Sachin!#REF!</definedName>
    <definedName name="Instance_qty">[18]Summary!$D$91:$D$98</definedName>
    <definedName name="Instance_tier">'[32]DC-HA'!$C$91:$C$93</definedName>
    <definedName name="Instf">[23]factors!$J$12</definedName>
    <definedName name="Interval">'[45]12-Month Sales Forecast'!#REF!</definedName>
    <definedName name="ioio">#REF!</definedName>
    <definedName name="ioioioo">#REF!</definedName>
    <definedName name="IOLIST">'[46]IO LIST'!$A$1:$O$134</definedName>
    <definedName name="IPC_VM_Flavor" localSheetId="25">[38]Choices!$R$3:$R$30</definedName>
    <definedName name="IPC_VM_Flavor">[39]Choices!$R$3:$R$30</definedName>
    <definedName name="IsCoreRemote">#N/A</definedName>
    <definedName name="ItemNum">#REF!</definedName>
    <definedName name="j">#REF!</definedName>
    <definedName name="JBOSS">"$#REF!.$#REF!$5"</definedName>
    <definedName name="jjj" hidden="1">{#N/A,#N/A,TRUE,"Overall";#N/A,#N/A,TRUE,"Region Wise ";#N/A,#N/A,TRUE,"Client Wise"}</definedName>
    <definedName name="JobID">#REF!</definedName>
    <definedName name="k">#REF!</definedName>
    <definedName name="khd">"$#REF!.$B$6"</definedName>
    <definedName name="khf">"$#REF!.$J$6"</definedName>
    <definedName name="kih" localSheetId="25" hidden="1">{"'LTITL'!$A$1:$P$35"}</definedName>
    <definedName name="kih" hidden="1">{"'LTITL'!$A$1:$P$35"}</definedName>
    <definedName name="kj" localSheetId="25" hidden="1">{"'LTITL'!$A$1:$P$35"}</definedName>
    <definedName name="kj" hidden="1">{"'LTITL'!$A$1:$P$35"}</definedName>
    <definedName name="KK">#REF!</definedName>
    <definedName name="KKK" hidden="1">#REF!</definedName>
    <definedName name="ksd">"$#REF!.$B$7"</definedName>
    <definedName name="ksf">"$#REF!.$J$7"</definedName>
    <definedName name="L">#REF!</definedName>
    <definedName name="L_Adjust">#REF!</definedName>
    <definedName name="L_AJE_Tot">#REF!</definedName>
    <definedName name="L_CY_Beg">[47]Links!$F:$F</definedName>
    <definedName name="L_CY_End">#REF!</definedName>
    <definedName name="L_PY_End">#REF!</definedName>
    <definedName name="L_RJE_Tot">#REF!</definedName>
    <definedName name="Labour_Service_Levels">[10]Labels!$F$28:$F$30</definedName>
    <definedName name="Lead">#REF!</definedName>
    <definedName name="lef">#REF!</definedName>
    <definedName name="lel">#REF!</definedName>
    <definedName name="Lemons">#REF!</definedName>
    <definedName name="liability" hidden="1">{#N/A,#N/A,FALSE,"PRESS ADVERTISEMENT (SEBI)";#N/A,#N/A,FALSE,"US GAAP (not printed)"}</definedName>
    <definedName name="List">'[48]Drop down data'!$J$10:$J$316</definedName>
    <definedName name="lkawj" localSheetId="25" hidden="1">{"'LTITL'!$A$1:$P$35"}</definedName>
    <definedName name="lkawj" hidden="1">{"'LTITL'!$A$1:$P$35"}</definedName>
    <definedName name="lo">[49]Master!$AI:$AI</definedName>
    <definedName name="LOCAL_MYSQL_DATE_FORMAT" localSheetId="2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[50]Data!$A$4:$A$20</definedName>
    <definedName name="LOLD">1</definedName>
    <definedName name="LOLD_Table">17</definedName>
    <definedName name="lst_Fruit">#REF!</definedName>
    <definedName name="lst_FruitType">#REF!</definedName>
    <definedName name="ltf">"$#REF!.$B$10"</definedName>
    <definedName name="m">'[1]Originating Station'!#REF!</definedName>
    <definedName name="M_MaxCam">#REF!</definedName>
    <definedName name="M_MaxRecorders">#REF!</definedName>
    <definedName name="Magstripe300">[16]CCTV_EST1!#REF!</definedName>
    <definedName name="Maj_Minor_Rels">[20]Controls!$B$31:$B$35</definedName>
    <definedName name="Maj_Minor_Rels_Score">[20]Controls!$C$31:$C$35</definedName>
    <definedName name="Malaysia1" localSheetId="25" hidden="1">{"'LTITL'!$A$1:$P$35"}</definedName>
    <definedName name="Malaysia1" hidden="1">{"'LTITL'!$A$1:$P$35"}</definedName>
    <definedName name="Malaysia2" localSheetId="25" hidden="1">{"'LTITL'!$A$1:$P$35"}</definedName>
    <definedName name="Malaysia2" hidden="1">{"'LTITL'!$A$1:$P$35"}</definedName>
    <definedName name="MCDPerDay">'[51]Capacity Inputs'!$B$29</definedName>
    <definedName name="mgf">"$#REF!.$#REF!$#REF!"</definedName>
    <definedName name="MHS">[22]cost!$B$34:$B$55</definedName>
    <definedName name="MirrorMode" localSheetId="25">#REF!</definedName>
    <definedName name="MirrorMode">#REF!</definedName>
    <definedName name="MISC_FLD_TITLE" localSheetId="25">[12]Sachin!#REF!</definedName>
    <definedName name="MISC_FLD_TITLE">[5]Sachin!#REF!</definedName>
    <definedName name="MISC_LINE_HW" localSheetId="25">[12]Sachin!#REF!</definedName>
    <definedName name="MISC_LINE_HW">[5]Sachin!#REF!</definedName>
    <definedName name="MISC_LINE_PS" localSheetId="25">[12]Sachin!#REF!</definedName>
    <definedName name="MISC_LINE_PS">[5]Sachin!#REF!</definedName>
    <definedName name="MISC_LINE_SW" localSheetId="25">[12]Sachin!#REF!</definedName>
    <definedName name="MISC_LINE_SW">[5]Sachin!#REF!</definedName>
    <definedName name="MISC_SECTION_HW_ALL" localSheetId="25">[12]Sachin!#REF!</definedName>
    <definedName name="MISC_SECTION_HW_ALL">[5]Sachin!#REF!</definedName>
    <definedName name="MISC_SECTION_HW_BOT" localSheetId="25">[12]Sachin!#REF!</definedName>
    <definedName name="MISC_SECTION_HW_BOT">[5]Sachin!#REF!</definedName>
    <definedName name="MISC_SECTION_HW_TOP" localSheetId="25">[12]Sachin!#REF!</definedName>
    <definedName name="MISC_SECTION_HW_TOP">[5]Sachin!#REF!</definedName>
    <definedName name="MISC_SECTION_PS_ALL" localSheetId="25">[12]Sachin!#REF!</definedName>
    <definedName name="MISC_SECTION_PS_ALL">[5]Sachin!#REF!</definedName>
    <definedName name="MISC_SECTION_PS_BOT" localSheetId="25">[12]Sachin!#REF!</definedName>
    <definedName name="MISC_SECTION_PS_BOT">[5]Sachin!#REF!</definedName>
    <definedName name="MISC_SECTION_PS_TOP" localSheetId="25">[12]Sachin!#REF!</definedName>
    <definedName name="MISC_SECTION_PS_TOP">[5]Sachin!#REF!</definedName>
    <definedName name="MISC_SECTION_SW_ALL" localSheetId="25">[12]Sachin!#REF!</definedName>
    <definedName name="MISC_SECTION_SW_ALL">[5]Sachin!#REF!</definedName>
    <definedName name="MISC_SECTION_SW_BOT" localSheetId="25">[12]Sachin!#REF!</definedName>
    <definedName name="MISC_SECTION_SW_BOT">[5]Sachin!#REF!</definedName>
    <definedName name="MISC_SECTION_SW_TOP" localSheetId="25">[12]Sachin!#REF!</definedName>
    <definedName name="MISC_SECTION_SW_TOP">[5]Sachin!#REF!</definedName>
    <definedName name="MISC_SECTION_TITLE" localSheetId="25">[12]Sachin!#REF!</definedName>
    <definedName name="MISC_SECTION_TITLE">[5]Sachin!#REF!</definedName>
    <definedName name="MISC_SUBTOTAL_HW" localSheetId="25">[12]Sachin!#REF!</definedName>
    <definedName name="MISC_SUBTOTAL_HW">[5]Sachin!#REF!</definedName>
    <definedName name="MISC_SUBTOTAL_PS" localSheetId="25">[12]Sachin!#REF!</definedName>
    <definedName name="MISC_SUBTOTAL_PS">[5]Sachin!#REF!</definedName>
    <definedName name="MISC_SUBTOTAL_SW" localSheetId="25">[12]Sachin!#REF!</definedName>
    <definedName name="MISC_SUBTOTAL_SW">[5]Sachin!#REF!</definedName>
    <definedName name="MM">#REF!</definedName>
    <definedName name="Monetary_Precision">#REF!</definedName>
    <definedName name="Month">'[25]Content Instructions'!$B$6</definedName>
    <definedName name="Monthly">#REF!</definedName>
    <definedName name="MR_MaxCam">#REF!</definedName>
    <definedName name="MR_MaxRate">#REF!</definedName>
    <definedName name="MS">#REF!</definedName>
    <definedName name="Multinodes">[16]CCTV_EST1!#REF!</definedName>
    <definedName name="MultiYear">[52]Reference!$E$22:$E$23</definedName>
    <definedName name="MyList">#REF!</definedName>
    <definedName name="n_app_servers">[6]Calculations!$H$36</definedName>
    <definedName name="n_app_servers_min">[6]Calculations!$H$32</definedName>
    <definedName name="n_days_data">'[6]Project Configuration'!$H$11</definedName>
    <definedName name="n_db_servers">[6]Calculations!$H$42</definedName>
    <definedName name="n_db_servers_min">[6]Calculations!$H$40</definedName>
    <definedName name="n_meters">'[6]Project Configuration'!$H$7</definedName>
    <definedName name="n_samples_per_meter_per_day">'[6]Project Configuration'!$H$9</definedName>
    <definedName name="n_spare_app_servers">'[6]Project Configuration'!$H$15</definedName>
    <definedName name="n_spare_db_servers">'[6]Project Configuration'!$H$19</definedName>
    <definedName name="Name1">[53]Config!$K$2:$K$100</definedName>
    <definedName name="NationalAllPrice" localSheetId="25">#REF!</definedName>
    <definedName name="NationalAllPrice">#REF!</definedName>
    <definedName name="NationalePrice" localSheetId="25">#REF!</definedName>
    <definedName name="NationalePrice">#REF!</definedName>
    <definedName name="NationalPrice" localSheetId="25">#REF!</definedName>
    <definedName name="NationalPrice">#REF!</definedName>
    <definedName name="new" localSheetId="25" hidden="1">{"'LTITL'!$A$1:$P$35"}</definedName>
    <definedName name="new" hidden="1">{"'LTITL'!$A$1:$P$35"}</definedName>
    <definedName name="NIPD">[54]Formulas!$B$54</definedName>
    <definedName name="NOHA">"$#REF!.$D$5"</definedName>
    <definedName name="NoPrice" localSheetId="25">#REF!</definedName>
    <definedName name="NoPrice">#REF!</definedName>
    <definedName name="NOTES_ZONE_0" localSheetId="25">[12]Sachin!#REF!</definedName>
    <definedName name="NOTES_ZONE_0">[5]Sachin!#REF!</definedName>
    <definedName name="NOTES_ZONE_1" localSheetId="25">[12]Sachin!#REF!</definedName>
    <definedName name="NOTES_ZONE_1">[5]Sachin!#REF!</definedName>
    <definedName name="NOTES_ZONE_2" localSheetId="25">[12]Sachin!#REF!</definedName>
    <definedName name="NOTES_ZONE_2">[5]Sachin!#REF!</definedName>
    <definedName name="NUM_CAMERAS">#REF!</definedName>
    <definedName name="NUM_EVENTS">#REF!</definedName>
    <definedName name="Number" localSheetId="25">#REF!</definedName>
    <definedName name="Number">#REF!</definedName>
    <definedName name="Numberx">#REF!</definedName>
    <definedName name="numf">"$#REF!.$#REF!$#REF!"</definedName>
    <definedName name="o">#REF!</definedName>
    <definedName name="Obj" localSheetId="25">#REF!</definedName>
    <definedName name="Obj">#REF!</definedName>
    <definedName name="OClientComp0" localSheetId="25">#REF!</definedName>
    <definedName name="OClientComp0">#REF!</definedName>
    <definedName name="OClientCompany">#REF!</definedName>
    <definedName name="OClientCountry">#REF!</definedName>
    <definedName name="OClientEmail">#REF!</definedName>
    <definedName name="OClientFax">#REF!</definedName>
    <definedName name="OClientName">#REF!</definedName>
    <definedName name="OClientStreet">#REF!</definedName>
    <definedName name="OClientTel">#REF!</definedName>
    <definedName name="OClientTown">#REF!</definedName>
    <definedName name="octf">#REF!</definedName>
    <definedName name="offshore" hidden="1">{#N/A,#N/A,TRUE,"Overall";#N/A,#N/A,TRUE,"Region Wise ";#N/A,#N/A,TRUE,"Client Wise"}</definedName>
    <definedName name="ok">#REF!</definedName>
    <definedName name="OLD" hidden="1">#REF!</definedName>
    <definedName name="OldNumber" localSheetId="25">#REF!</definedName>
    <definedName name="OldNumber">#REF!</definedName>
    <definedName name="OnePrice">#REF!</definedName>
    <definedName name="Onsite" hidden="1">{#N/A,#N/A,TRUE,"Overall";#N/A,#N/A,TRUE,"Region Wise ";#N/A,#N/A,TRUE,"Client Wise"}</definedName>
    <definedName name="OPPTY_SECTION" localSheetId="25">[12]Sachin!#REF!</definedName>
    <definedName name="OPPTY_SECTION">[5]Sachin!#REF!</definedName>
    <definedName name="option9">'[55]PRICE BID'!#REF!</definedName>
    <definedName name="Oranges">#REF!</definedName>
    <definedName name="OS" localSheetId="25">#REF!</definedName>
    <definedName name="OS">#REF!</definedName>
    <definedName name="os_range_1">#REF!</definedName>
    <definedName name="other_boq">[14]Config!$G$2:$G$5</definedName>
    <definedName name="Overall_Summary_Title">#REF!</definedName>
    <definedName name="OVersion" localSheetId="25">#REF!</definedName>
    <definedName name="OVersion">#REF!</definedName>
    <definedName name="P">#REF!</definedName>
    <definedName name="P_1">#N/A</definedName>
    <definedName name="P_2">#N/A</definedName>
    <definedName name="PA">#REF!</definedName>
    <definedName name="PA_DET">#REF!</definedName>
    <definedName name="PA_SCH3">#REF!</definedName>
    <definedName name="PA_SCH4_5">#REF!</definedName>
    <definedName name="PAGE0">#REF!</definedName>
    <definedName name="PAGE2">#REF!</definedName>
    <definedName name="Pan_Tilt_Drive_Dome">'[28]CCTV(old)'!#REF!</definedName>
    <definedName name="PD">#REF!</definedName>
    <definedName name="PhaseCode">#REF!</definedName>
    <definedName name="PhonesQty">"$#REF!.$#REF!$#REF!"</definedName>
    <definedName name="PipeSize">#REF!</definedName>
    <definedName name="PipingDetail">#REF!</definedName>
    <definedName name="piudiofn" localSheetId="25" hidden="1">{"'LTITL'!$A$1:$P$35"}</definedName>
    <definedName name="piudiofn" hidden="1">{"'LTITL'!$A$1:$P$35"}</definedName>
    <definedName name="po">"$#REF!.$#REF!$#REF!"</definedName>
    <definedName name="PPCAmbient" localSheetId="25">#REF!</definedName>
    <definedName name="PPCAmbient">#REF!</definedName>
    <definedName name="PPCConfigCur" localSheetId="25">#REF!</definedName>
    <definedName name="PPCConfigCur">#REF!</definedName>
    <definedName name="PPCCurrency" localSheetId="25">#REF!</definedName>
    <definedName name="PPCCurrency">#REF!</definedName>
    <definedName name="PPCHint">#REF!</definedName>
    <definedName name="PPCPSG">#REF!</definedName>
    <definedName name="PPCStart">#REF!</definedName>
    <definedName name="PPCTemperature">#REF!</definedName>
    <definedName name="PPCVoltage">#REF!</definedName>
    <definedName name="PRECONTRACT_FLD_CFG_NAME" localSheetId="25">[12]Sachin!#REF!</definedName>
    <definedName name="PRECONTRACT_FLD_CFG_NAME">[5]Sachin!#REF!</definedName>
    <definedName name="PRECONTRACT_FLD_CSI_DESCIPTION" localSheetId="25">[12]Sachin!#REF!</definedName>
    <definedName name="PRECONTRACT_FLD_CSI_DESCIPTION">[5]Sachin!#REF!</definedName>
    <definedName name="PRECONTRACT_FLD_CSI_NAME" localSheetId="25">[12]Sachin!#REF!</definedName>
    <definedName name="PRECONTRACT_FLD_CSI_NAME">[5]Sachin!#REF!</definedName>
    <definedName name="PRECONTRACT_LINE" localSheetId="25">[12]Sachin!#REF!</definedName>
    <definedName name="PRECONTRACT_LINE">[5]Sachin!#REF!</definedName>
    <definedName name="PRECONTRACT_SECTION" localSheetId="25">[12]Sachin!#REF!</definedName>
    <definedName name="PRECONTRACT_SECTION">[5]Sachin!#REF!</definedName>
    <definedName name="PRECONTRACT_SECTION_CFG_TITLE" localSheetId="25">[12]Sachin!#REF!</definedName>
    <definedName name="PRECONTRACT_SECTION_CFG_TITLE">[5]Sachin!#REF!</definedName>
    <definedName name="PRECONTRACT_SECTION_CSI" localSheetId="25">[12]Sachin!#REF!</definedName>
    <definedName name="PRECONTRACT_SECTION_CSI">[5]Sachin!#REF!</definedName>
    <definedName name="Price" localSheetId="25">#REF!</definedName>
    <definedName name="Price">#REF!</definedName>
    <definedName name="PRICE_JUST_COMMENT" localSheetId="25">[12]Sachin!#REF!</definedName>
    <definedName name="PRICE_JUST_COMMENT">[5]Sachin!#REF!</definedName>
    <definedName name="PriceColumn" localSheetId="25">#REF!</definedName>
    <definedName name="PriceColumn">#REF!</definedName>
    <definedName name="PriceColumnEuro" localSheetId="25">#REF!</definedName>
    <definedName name="PriceColumnEuro">#REF!</definedName>
    <definedName name="PriceCur" localSheetId="25">#REF!</definedName>
    <definedName name="PriceCur">#REF!</definedName>
    <definedName name="pricelist">#REF!</definedName>
    <definedName name="Principal">#REF!</definedName>
    <definedName name="_xlnm.Print_Area" localSheetId="3">'Detailed Summary '!$C$2:$O$59</definedName>
    <definedName name="_xlnm.Print_Area" localSheetId="0">Summary!$B$2:$D$13</definedName>
    <definedName name="_xlnm.Print_Area">#REF!</definedName>
    <definedName name="Print_Area_MI">#REF!</definedName>
    <definedName name="_xlnm.Print_Titles">#N/A</definedName>
    <definedName name="Product">[56]Lists!$B$41:$B$50</definedName>
    <definedName name="Product_Type" localSheetId="25">#REF!</definedName>
    <definedName name="Product_Type">#REF!</definedName>
    <definedName name="Project">#REF!</definedName>
    <definedName name="ProjectDiscount">#REF!</definedName>
    <definedName name="ProjectList">#REF!</definedName>
    <definedName name="ProjectLocation">#REF!</definedName>
    <definedName name="ProjectName">"Test"</definedName>
    <definedName name="ProjectName1">"Test"</definedName>
    <definedName name="ProjectName2">"Test"</definedName>
    <definedName name="ProjectName3">"Test"</definedName>
    <definedName name="ProjectNumber">#REF!</definedName>
    <definedName name="ProjectStart">#REF!</definedName>
    <definedName name="ProjectSubtitle">#REF!</definedName>
    <definedName name="ProjectTitle">#REF!</definedName>
    <definedName name="PROMO_SECTION" localSheetId="25">[12]Sachin!#REF!</definedName>
    <definedName name="PROMO_SECTION">[5]Sachin!#REF!</definedName>
    <definedName name="PROPOSAL_SECTION" localSheetId="25">[12]Sachin!#REF!</definedName>
    <definedName name="PROPOSAL_SECTION">[5]Sachin!#REF!</definedName>
    <definedName name="PROPOSAL_SECTION_MW" localSheetId="25">[12]Sachin!#REF!</definedName>
    <definedName name="PROPOSAL_SECTION_MW">[5]Sachin!#REF!</definedName>
    <definedName name="PROPOSAL_SUBTOTAL_HW" localSheetId="25">[12]Sachin!#REF!</definedName>
    <definedName name="PROPOSAL_SUBTOTAL_HW">[5]Sachin!#REF!</definedName>
    <definedName name="PROPOSAL_SUBTOTAL_MW_HW" localSheetId="25">[12]Sachin!#REF!</definedName>
    <definedName name="PROPOSAL_SUBTOTAL_MW_HW">[5]Sachin!#REF!</definedName>
    <definedName name="PROPOSAL_SUBTOTAL_MW_SW" localSheetId="25">[12]Sachin!#REF!</definedName>
    <definedName name="PROPOSAL_SUBTOTAL_MW_SW">[5]Sachin!#REF!</definedName>
    <definedName name="PROPOSAL_SUBTOTAL_MW_WAR" localSheetId="25">[12]Sachin!#REF!</definedName>
    <definedName name="PROPOSAL_SUBTOTAL_MW_WAR">[5]Sachin!#REF!</definedName>
    <definedName name="PROPOSAL_SUBTOTAL_PS" localSheetId="25">[12]Sachin!#REF!</definedName>
    <definedName name="PROPOSAL_SUBTOTAL_PS">[5]Sachin!#REF!</definedName>
    <definedName name="PROPOSAL_SUBTOTAL_SW" localSheetId="25">[12]Sachin!#REF!</definedName>
    <definedName name="PROPOSAL_SUBTOTAL_SW">[5]Sachin!#REF!</definedName>
    <definedName name="provisioning_units_required_p">'[6]Project Configuration'!$H$23</definedName>
    <definedName name="pv">[13]Reference!$C$2:$C$3</definedName>
    <definedName name="q">'[1]Originating Station'!#REF!</definedName>
    <definedName name="QA_Rating">#REF!</definedName>
    <definedName name="QF_SYS_CURRENCY1">[57]Discount!$F$11</definedName>
    <definedName name="QF_SYS_DESTINATION1">[57]Discount!$F$16</definedName>
    <definedName name="QF_SYS_TRADETERMDESC1">[57]Discount!$F$14</definedName>
    <definedName name="Qm" localSheetId="25">#REF!</definedName>
    <definedName name="Qm">#REF!</definedName>
    <definedName name="Qtr">#REF!</definedName>
    <definedName name="quest1">#REF!</definedName>
    <definedName name="quest2">#REF!</definedName>
    <definedName name="quest3">#REF!</definedName>
    <definedName name="quest4">#REF!</definedName>
    <definedName name="quest5">#REF!</definedName>
    <definedName name="quest6">#REF!</definedName>
    <definedName name="quest7">#REF!</definedName>
    <definedName name="Question1">#REF!</definedName>
    <definedName name="Question12">#REF!</definedName>
    <definedName name="Question13">#REF!</definedName>
    <definedName name="Question15">#REF!</definedName>
    <definedName name="Question2">#REF!</definedName>
    <definedName name="Question4">#REF!</definedName>
    <definedName name="Question5">#REF!</definedName>
    <definedName name="Question6">#REF!</definedName>
    <definedName name="Question7">#REF!</definedName>
    <definedName name="Question8">#REF!</definedName>
    <definedName name="Question9">#REF!</definedName>
    <definedName name="QUOTE_PRICEBREAK" localSheetId="25">[12]Sachin!#REF!</definedName>
    <definedName name="QUOTE_PRICEBREAK">[5]Sachin!#REF!</definedName>
    <definedName name="QUOTE_PS_PRICEBREAK" localSheetId="25">[12]Sachin!#REF!</definedName>
    <definedName name="QUOTE_PS_PRICEBREAK">[5]Sachin!#REF!</definedName>
    <definedName name="QUOTEHOME">#REF!</definedName>
    <definedName name="QuoteType">[57]Discount!$F$15</definedName>
    <definedName name="qw">#REF!</definedName>
    <definedName name="qwe">#N/A</definedName>
    <definedName name="qweq">#N/A</definedName>
    <definedName name="R_MaxCam">#REF!</definedName>
    <definedName name="R_MaxRate">#REF!</definedName>
    <definedName name="RAJ" localSheetId="25">#REF!</definedName>
    <definedName name="RAJ">#REF!</definedName>
    <definedName name="RANGE2">'[58]Cable-data'!$A$33:$K$48</definedName>
    <definedName name="RANGE6">'[59]CABLE DATA'!$A$31:$C$46</definedName>
    <definedName name="ReaderProximity">[16]CCTV_EST1!#REF!</definedName>
    <definedName name="ReaderWiegand">'[28]ACS(1)'!#REF!</definedName>
    <definedName name="REDIRECT_SECTION" localSheetId="25">[12]Sachin!#REF!</definedName>
    <definedName name="REDIRECT_SECTION">[5]Sachin!#REF!</definedName>
    <definedName name="REF">#N/A</definedName>
    <definedName name="RefDwg">#REF!</definedName>
    <definedName name="refill" hidden="1">'[60]mdd &amp; co Fdr jan.02 '!$A$33:$M$147</definedName>
    <definedName name="rel">#REF!</definedName>
    <definedName name="related">#REF!</definedName>
    <definedName name="Rep_Tech">[32]Summary!$W$91:$W$96</definedName>
    <definedName name="REPORT_LINES_TO_FORMAT" localSheetId="25">[12]Sachin!#REF!,[12]Sachin!#REF!</definedName>
    <definedName name="REPORT_LINES_TO_FORMAT">[5]Sachin!#REF!,[5]Sachin!#REF!</definedName>
    <definedName name="REPORT_LINES_TO_FORMAT0" localSheetId="25">[12]Sachin!#REF!</definedName>
    <definedName name="REPORT_LINES_TO_FORMAT0">[5]Sachin!#REF!</definedName>
    <definedName name="REPORT_LINES_TO_FORMAT1" localSheetId="25">[12]Sachin!#REF!</definedName>
    <definedName name="REPORT_LINES_TO_FORMAT1">[5]Sachin!#REF!</definedName>
    <definedName name="REPORT_LINES_TO_FORMAT2" localSheetId="25">[12]Sachin!#REF!</definedName>
    <definedName name="REPORT_LINES_TO_FORMAT2">[5]Sachin!#REF!</definedName>
    <definedName name="REPORT_TOTALS_TO_FORMAT" localSheetId="25">[12]Sachin!#REF!,[12]Sachin!#REF!,[12]Sachin!#REF!</definedName>
    <definedName name="REPORT_TOTALS_TO_FORMAT">[5]Sachin!#REF!,[5]Sachin!#REF!,[5]Sachin!#REF!</definedName>
    <definedName name="REPORT_TOTALS_TO_FORMAT0" localSheetId="25">[12]Sachin!#REF!</definedName>
    <definedName name="REPORT_TOTALS_TO_FORMAT0">[5]Sachin!#REF!</definedName>
    <definedName name="REPORT_TOTALS_TO_FORMAT1" localSheetId="25">[12]Sachin!#REF!</definedName>
    <definedName name="REPORT_TOTALS_TO_FORMAT1">[5]Sachin!#REF!</definedName>
    <definedName name="REPORT_TOTALS_TO_FORMAT2" localSheetId="25">[12]Sachin!#REF!</definedName>
    <definedName name="REPORT_TOTALS_TO_FORMAT2">[5]Sachin!#REF!</definedName>
    <definedName name="REPORT_TOTALS_TO_FORMAT3" localSheetId="25">[12]Sachin!#REF!</definedName>
    <definedName name="REPORT_TOTALS_TO_FORMAT3">[5]Sachin!#REF!</definedName>
    <definedName name="REPORT_TOTALS_TO_FORMAT4" localSheetId="25">[12]Sachin!#REF!</definedName>
    <definedName name="REPORT_TOTALS_TO_FORMAT4">[5]Sachin!#REF!</definedName>
    <definedName name="REPORT_TOTALS_TO_FORMAT5" localSheetId="25">[12]Sachin!#REF!</definedName>
    <definedName name="REPORT_TOTALS_TO_FORMAT5">[5]Sachin!#REF!</definedName>
    <definedName name="REQ_EVENTSIZE">#REF!</definedName>
    <definedName name="RES_HIGH">#REF!</definedName>
    <definedName name="RES_WID">#REF!</definedName>
    <definedName name="Residual_difference">#REF!</definedName>
    <definedName name="ResourceCount">#REF!</definedName>
    <definedName name="ResType" localSheetId="25">'[61]Cost sheet - Summary '!$I$4:$I$23</definedName>
    <definedName name="ResType">'[62]Cost sheet - Summary '!$I$4:$I$23</definedName>
    <definedName name="return">[29]Sheet2!$P$2:$P$5</definedName>
    <definedName name="Rev">#REF!</definedName>
    <definedName name="revised" hidden="1">#REF!</definedName>
    <definedName name="rig">#REF!</definedName>
    <definedName name="Rm">#REF!</definedName>
    <definedName name="rm4e">"$#REF!.$#REF!$#REF!"</definedName>
    <definedName name="robot">#REF!</definedName>
    <definedName name="rosid">#REF!</definedName>
    <definedName name="rty">#REF!</definedName>
    <definedName name="rwq">#REF!</definedName>
    <definedName name="s">#REF!</definedName>
    <definedName name="S_Adjust_Data">#REF!</definedName>
    <definedName name="S_AJE_Tot_Data">#REF!</definedName>
    <definedName name="S_CY_Beg_Data">[47]Lead!$D$1:$D$151</definedName>
    <definedName name="S_CY_End_Data">#REF!</definedName>
    <definedName name="S_PY_End_Data">#REF!</definedName>
    <definedName name="S_RJE_Tot_Data">#REF!</definedName>
    <definedName name="SalesTax">0.0825</definedName>
    <definedName name="SAP" localSheetId="25">#REF!</definedName>
    <definedName name="SAP">#REF!</definedName>
    <definedName name="SAPsysID" hidden="1">"708C5W7SBKP804JT78WJ0JNKI"</definedName>
    <definedName name="SAPwbID" hidden="1">"ARS"</definedName>
    <definedName name="SAR" localSheetId="25">#REF!</definedName>
    <definedName name="SAR">#REF!</definedName>
    <definedName name="saucomd">#REF!</definedName>
    <definedName name="saucstf">#REF!</definedName>
    <definedName name="saud">#REF!</definedName>
    <definedName name="saudirf">#REF!</definedName>
    <definedName name="sauf">#REF!</definedName>
    <definedName name="sauif">#REF!</definedName>
    <definedName name="sauspad">#REF!</definedName>
    <definedName name="sausysd">#REF!</definedName>
    <definedName name="ScheduleStart">'[45]12-Month Sales Forecast'!#REF!</definedName>
    <definedName name="scheduleType">"valve"</definedName>
    <definedName name="sd">#REF!</definedName>
    <definedName name="Sdate">#REF!</definedName>
    <definedName name="sdc">[63]Summary!$A$91:$A$96</definedName>
    <definedName name="sdf">#REF!</definedName>
    <definedName name="sdhg">[63]Summary!$R$91:$R$95</definedName>
    <definedName name="se">#REF!</definedName>
    <definedName name="Section_1_Title">#REF!</definedName>
    <definedName name="Section_2_Title">#REF!</definedName>
    <definedName name="Section_3_Title">#REF!</definedName>
    <definedName name="Section_4_Title">#REF!</definedName>
    <definedName name="Section_5_Title">#REF!</definedName>
    <definedName name="Section_6_Title">#REF!</definedName>
    <definedName name="Section_7_Title">#REF!</definedName>
    <definedName name="Section_8_Title">#REF!</definedName>
    <definedName name="Select">#REF!</definedName>
    <definedName name="SelectD1OrC1">#REF!</definedName>
    <definedName name="SelectLessOrExcess">#REF!</definedName>
    <definedName name="serf">"$#REF!.$B$9"</definedName>
    <definedName name="Server_type">[32]Summary!$K$91:$K$92</definedName>
    <definedName name="ServerData">'[64]Server Conf By Name'!$A$4:$V$80</definedName>
    <definedName name="servf">#REF!</definedName>
    <definedName name="Service">#REF!</definedName>
    <definedName name="Service_Levels">#REF!</definedName>
    <definedName name="Service_line">[32]Summary!$A$91:$A$96</definedName>
    <definedName name="ServiceTax">#REF!</definedName>
    <definedName name="Sev_1">[20]Controls!$B$17:$B$21</definedName>
    <definedName name="Sev_1_Score">[20]Controls!$C$17:$C$21</definedName>
    <definedName name="Sev_2">[20]Controls!$B$24:$B$28</definedName>
    <definedName name="Sev_2_Score">[20]Controls!$C$17:$C$21</definedName>
    <definedName name="sfasf">#REF!</definedName>
    <definedName name="shd">"$#REF!.$B$3"</definedName>
    <definedName name="shf">"$#REF!.$J$3"</definedName>
    <definedName name="SHIP_TO_ADDRESS" localSheetId="25">[12]Sachin!#REF!</definedName>
    <definedName name="SHIP_TO_ADDRESS">[5]Sachin!#REF!</definedName>
    <definedName name="SHIP_TO_CONTACT" localSheetId="25">[12]Sachin!#REF!</definedName>
    <definedName name="SHIP_TO_CONTACT">[5]Sachin!#REF!</definedName>
    <definedName name="SHIP_TO_LABEL" localSheetId="25">[12]Sachin!#REF!</definedName>
    <definedName name="SHIP_TO_LABEL">[5]Sachin!#REF!</definedName>
    <definedName name="SHIP_TO_NAME" localSheetId="25">[12]Sachin!#REF!</definedName>
    <definedName name="SHIP_TO_NAME">[5]Sachin!#REF!</definedName>
    <definedName name="SHIP_TO_PHONE" localSheetId="25">[12]Sachin!#REF!</definedName>
    <definedName name="SHIP_TO_PHONE">[5]Sachin!#REF!</definedName>
    <definedName name="Shipping">1.25</definedName>
    <definedName name="SHIPPING_ZONE_0" localSheetId="25">[12]Sachin!#REF!</definedName>
    <definedName name="SHIPPING_ZONE_0">[5]Sachin!#REF!</definedName>
    <definedName name="SHIPPING_ZONE_1" localSheetId="25">[12]Sachin!#REF!</definedName>
    <definedName name="SHIPPING_ZONE_1">[5]Sachin!#REF!</definedName>
    <definedName name="SHIPPING_ZONE_2" localSheetId="25">[12]Sachin!#REF!</definedName>
    <definedName name="SHIPPING_ZONE_2">[5]Sachin!#REF!</definedName>
    <definedName name="SingleCur" localSheetId="25">#REF!</definedName>
    <definedName name="SingleCur">#REF!</definedName>
    <definedName name="SingleEuro" localSheetId="25">#REF!</definedName>
    <definedName name="SingleEuro">#REF!</definedName>
    <definedName name="SinglrCur" localSheetId="25">#REF!</definedName>
    <definedName name="SinglrCur">#REF!</definedName>
    <definedName name="SiteName">'[25]Content Instructions'!$B$4</definedName>
    <definedName name="SIXTH">#REF!</definedName>
    <definedName name="Size">#REF!</definedName>
    <definedName name="Software" localSheetId="25">#REF!</definedName>
    <definedName name="Software">#REF!</definedName>
    <definedName name="SOLD_TO_ADDRESS" localSheetId="25">[12]Sachin!#REF!</definedName>
    <definedName name="SOLD_TO_ADDRESS">[5]Sachin!#REF!</definedName>
    <definedName name="SOLD_TO_CONTACT" localSheetId="25">[12]Sachin!#REF!</definedName>
    <definedName name="SOLD_TO_CONTACT">[5]Sachin!#REF!</definedName>
    <definedName name="SOLD_TO_LABEL" localSheetId="25">[12]Sachin!#REF!</definedName>
    <definedName name="SOLD_TO_LABEL">[5]Sachin!#REF!</definedName>
    <definedName name="SOLD_TO_NAME" localSheetId="25">[12]Sachin!#REF!</definedName>
    <definedName name="SOLD_TO_NAME">[5]Sachin!#REF!</definedName>
    <definedName name="SOLD_TO_PHONE" localSheetId="25">[12]Sachin!#REF!</definedName>
    <definedName name="SOLD_TO_PHONE">[5]Sachin!#REF!</definedName>
    <definedName name="sond">#REF!</definedName>
    <definedName name="sondf">#REF!</definedName>
    <definedName name="SONTF">"'file://Vijay/d/Offers/GRUNDFOSS/Grundfoss Offer 4A12/Final Offer - 4C16/IO List 4C08.xls'#$factors.$#REF!$#REF!"</definedName>
    <definedName name="Specification">'[65]d-safe DELUXE'!#REF!</definedName>
    <definedName name="SPIM">#REF!</definedName>
    <definedName name="SPPRT" localSheetId="25" hidden="1">{"'LTITL'!$A$1:$P$35"}</definedName>
    <definedName name="SPPRT" hidden="1">{"'LTITL'!$A$1:$P$35"}</definedName>
    <definedName name="Sri" localSheetId="25" hidden="1">{"'LTITL'!$A$1:$P$35"}</definedName>
    <definedName name="Sri" hidden="1">{"'LTITL'!$A$1:$P$35"}</definedName>
    <definedName name="sriram" hidden="1">{#N/A,#N/A,TRUE,"Overall";#N/A,#N/A,TRUE,"Region Wise ";#N/A,#N/A,TRUE,"Client Wise"}</definedName>
    <definedName name="srvf">"$#REF!.$I$3"</definedName>
    <definedName name="ss" hidden="1">'[66]Inter unit set off'!$C$7</definedName>
    <definedName name="ssd">"$#REF!.$B$4"</definedName>
    <definedName name="ssf">"$#REF!.$J$4"</definedName>
    <definedName name="SSS" localSheetId="25">#REF!</definedName>
    <definedName name="SSS">#REF!</definedName>
    <definedName name="ssss" localSheetId="25">#REF!</definedName>
    <definedName name="ssss">#REF!</definedName>
    <definedName name="Stage">#REF!</definedName>
    <definedName name="Staircase">#REF!</definedName>
    <definedName name="Staircase2">#REF!</definedName>
    <definedName name="Start">#REF!</definedName>
    <definedName name="Start_Date">#REF!</definedName>
    <definedName name="StartHints">#REF!</definedName>
    <definedName name="StartRow">6</definedName>
    <definedName name="storage">[13]Reference!$F$2:$F$8</definedName>
    <definedName name="Storage_type">[18]Summary!$H$91:$H$94</definedName>
    <definedName name="StorageCOC">'[24]MS NET'!#REF!</definedName>
    <definedName name="STORED_FRAME_BSIZE">#REF!</definedName>
    <definedName name="STP">#REF!</definedName>
    <definedName name="StrID">#REF!</definedName>
    <definedName name="Subject">#REF!</definedName>
    <definedName name="SumCur">#REF!</definedName>
    <definedName name="SumEuro">#REF!</definedName>
    <definedName name="sw">#REF!</definedName>
    <definedName name="SW_lic">[32]Summary!$O$91:$O$94</definedName>
    <definedName name="SW_type">[32]Summary!$N$91:$N$95</definedName>
    <definedName name="swf">"$#REF!.$#REF!$#REF!"</definedName>
    <definedName name="Switch_Router">#REF!</definedName>
    <definedName name="SysName" localSheetId="25">#REF!</definedName>
    <definedName name="SysName">#REF!</definedName>
    <definedName name="SysSerNum">#REF!</definedName>
    <definedName name="System">#REF!</definedName>
    <definedName name="System_Role" localSheetId="25">'[26]Data Domains'!$C$2:$C$11</definedName>
    <definedName name="System_Role">'[27]Data Domains'!$C$2:$C$11</definedName>
    <definedName name="SystemName" localSheetId="25">#REF!</definedName>
    <definedName name="SystemName">#REF!</definedName>
    <definedName name="T" localSheetId="25">#REF!</definedName>
    <definedName name="T">#REF!</definedName>
    <definedName name="Tax">#REF!</definedName>
    <definedName name="TaxesTable">[67]Summary!$H$22:$I$31</definedName>
    <definedName name="TCSserviceMargin">[67]Summary!$F$26</definedName>
    <definedName name="technov" localSheetId="25" hidden="1">{"'LTITL'!$A$1:$P$35"}</definedName>
    <definedName name="technov" hidden="1">{"'LTITL'!$A$1:$P$35"}</definedName>
    <definedName name="temp" hidden="1">{#N/A,#N/A,TRUE,"Front";#N/A,#N/A,TRUE,"Simple Letter";#N/A,#N/A,TRUE,"Inside";#N/A,#N/A,TRUE,"Contents";#N/A,#N/A,TRUE,"Basis";#N/A,#N/A,TRUE,"Inclusions";#N/A,#N/A,TRUE,"Exclusions";#N/A,#N/A,TRUE,"Areas";#N/A,#N/A,TRUE,"Summary";#N/A,#N/A,TRUE,"Detail"}</definedName>
    <definedName name="temp1" hidden="1">{#N/A,#N/A,TRUE,"Front";#N/A,#N/A,TRUE,"Simple Letter";#N/A,#N/A,TRUE,"Inside";#N/A,#N/A,TRUE,"Contents";#N/A,#N/A,TRUE,"Basis";#N/A,#N/A,TRUE,"Inclusions";#N/A,#N/A,TRUE,"Exclusions";#N/A,#N/A,TRUE,"Areas";#N/A,#N/A,TRUE,"Summary";#N/A,#N/A,TRUE,"Detail"}</definedName>
    <definedName name="Term">[52]Reference!$M$19:$M$30</definedName>
    <definedName name="Terms">#REF!</definedName>
    <definedName name="test">'[68]d-safe specs'!#REF!</definedName>
    <definedName name="test1" hidden="1">{#N/A,#N/A,TRUE,"Overall";#N/A,#N/A,TRUE,"Region Wise ";#N/A,#N/A,TRUE,"Client Wise"}</definedName>
    <definedName name="TextRefCopy1">#REF!</definedName>
    <definedName name="TextRefCopy10">#REF!</definedName>
    <definedName name="TextRefCopy11">#REF!</definedName>
    <definedName name="TextRefCopy12">#REF!</definedName>
    <definedName name="TextRefCopy13">#REF!</definedName>
    <definedName name="TextRefCopy2">#REF!</definedName>
    <definedName name="TextRefCopy20">#REF!</definedName>
    <definedName name="TextRefCopy21">#REF!</definedName>
    <definedName name="TextRefCopy22">#REF!</definedName>
    <definedName name="TextRefCopy23">#REF!</definedName>
    <definedName name="TextRefCopy3">#REF!</definedName>
    <definedName name="TextRefCopy4">#REF!</definedName>
    <definedName name="TextRefCopy5">#REF!</definedName>
    <definedName name="TextRefCopy6">#REF!</definedName>
    <definedName name="TextRefCopy7">#REF!</definedName>
    <definedName name="TextRefCopy8">#REF!</definedName>
    <definedName name="TextRefCopy9">#REF!</definedName>
    <definedName name="TextRefCopyRangeCount" hidden="1">2</definedName>
    <definedName name="Threshold">#REF!</definedName>
    <definedName name="TicmarkLegend">[69]PL!$L$11</definedName>
    <definedName name="TIT">#REF!</definedName>
    <definedName name="Title1">#REF!</definedName>
    <definedName name="Title2">#REF!</definedName>
    <definedName name="tol">#REF!</definedName>
    <definedName name="topl">#REF!</definedName>
    <definedName name="topn">#REF!</definedName>
    <definedName name="TopPackage">#REF!</definedName>
    <definedName name="Tot">[70]EMLWorkstations!$O$4:$O$36+[70]EMLLaptops!$R$4:$R$37+[70]EMLServers!$Q$6:$Q$21+#REF!</definedName>
    <definedName name="TOT_ST">'[55]PRICE BID'!$G$14</definedName>
    <definedName name="TOTAL_GSTORAGE">#REF!</definedName>
    <definedName name="TOTAL_INVOICE">'[71]Sizing Assumptions'!$C$7</definedName>
    <definedName name="TotalPrice" localSheetId="25">#REF!</definedName>
    <definedName name="TotalPrice">#REF!</definedName>
    <definedName name="TPHint" localSheetId="25">#REF!</definedName>
    <definedName name="TPHint">#REF!</definedName>
    <definedName name="tr" localSheetId="25">#REF!</definedName>
    <definedName name="tr">#REF!</definedName>
    <definedName name="TRADEIN_SECTION" localSheetId="25">[12]Sachin!#REF!</definedName>
    <definedName name="TRADEIN_SECTION">[5]Sachin!#REF!</definedName>
    <definedName name="TRADEIN_SECTION_TOTAL" localSheetId="25">[12]Sachin!#REF!</definedName>
    <definedName name="TRADEIN_SECTION_TOTAL">[5]Sachin!#REF!</definedName>
    <definedName name="tshirts">#REF!</definedName>
    <definedName name="type">#REF!</definedName>
    <definedName name="Type3">#REF!</definedName>
    <definedName name="tyty">#REF!</definedName>
    <definedName name="U_SAPS">#N/A</definedName>
    <definedName name="UCTable">#REF!</definedName>
    <definedName name="Unit" localSheetId="25">[38]Choices!$G$32:$G$41</definedName>
    <definedName name="Unit">[39]Choices!$G$32:$G$41</definedName>
    <definedName name="UPTable" comment="Unit Price table for lookup values">#REF!</definedName>
    <definedName name="usd">"$#REF!.$#REF!$#REF!"</definedName>
    <definedName name="Use_Alternates">#REF!</definedName>
    <definedName name="User_Score">[20]Controls!$C$10:$C$14</definedName>
    <definedName name="UserCompany" localSheetId="25">#REF!</definedName>
    <definedName name="UserCompany">#REF!</definedName>
    <definedName name="UserEmail" localSheetId="25">#REF!</definedName>
    <definedName name="UserEmail">#REF!</definedName>
    <definedName name="UserFax" localSheetId="25">#REF!</definedName>
    <definedName name="UserFax">#REF!</definedName>
    <definedName name="UserFSC">#REF!</definedName>
    <definedName name="UserName">#REF!</definedName>
    <definedName name="UserStreet">#REF!</definedName>
    <definedName name="UserTel">#REF!</definedName>
    <definedName name="UserTown">#REF!</definedName>
    <definedName name="usrPeriod">[72]Ref!$A$4</definedName>
    <definedName name="usrUnitDesc">[72]Ref!$A$3</definedName>
    <definedName name="usrWholeYear">[72]Ref!$A$6</definedName>
    <definedName name="uuuu">#REF!</definedName>
    <definedName name="ValueSubType">#REF!</definedName>
    <definedName name="ValueType">#REF!</definedName>
    <definedName name="ValueType1">[53]Config!$F$2:$F$8</definedName>
    <definedName name="ValueTypesub">[53]Config!$G$2:$G$5</definedName>
    <definedName name="valve2">#REF!</definedName>
    <definedName name="valve3">#REF!</definedName>
    <definedName name="ValveCfg">#REF!</definedName>
    <definedName name="ValveCloseoff">#REF!</definedName>
    <definedName name="ValveCode">#REF!</definedName>
    <definedName name="ValveConn">#REF!</definedName>
    <definedName name="ValveCv">#REF!</definedName>
    <definedName name="ValveFlow">#REF!</definedName>
    <definedName name="ValveFP">#REF!</definedName>
    <definedName name="ValveQty">#REF!</definedName>
    <definedName name="valves">#REF!</definedName>
    <definedName name="ValveSize">#REF!</definedName>
    <definedName name="vatf">#REF!</definedName>
    <definedName name="VC">#REF!</definedName>
    <definedName name="Vendor">#REF!</definedName>
    <definedName name="vendor1">[53]Config!$AA$2:$AA$24</definedName>
    <definedName name="Version" localSheetId="25">#REF!</definedName>
    <definedName name="Version">#REF!</definedName>
    <definedName name="VersionText" localSheetId="25">#REF!</definedName>
    <definedName name="VersionText">#REF!</definedName>
    <definedName name="Vertical">#REF!</definedName>
    <definedName name="Vertical1">[53]Config!$J$2:$J$100</definedName>
    <definedName name="VIDEO_BRATE">#REF!</definedName>
    <definedName name="VIDEO_FRATE">#REF!</definedName>
    <definedName name="VILAS" localSheetId="25">#REF!</definedName>
    <definedName name="VILAS">#REF!</definedName>
    <definedName name="Virtualization">[18]Summary!$L$91:$L$95</definedName>
    <definedName name="VM_Environment" localSheetId="25">[38]Choices!$A$39:$A$43</definedName>
    <definedName name="VM_Environment">[39]Choices!$A$39:$A$43</definedName>
    <definedName name="vra">#REF!</definedName>
    <definedName name="vtc">#REF!</definedName>
    <definedName name="vv">#REF!</definedName>
    <definedName name="w" hidden="1">'[73]mdd &amp; co Fdr jan.02 '!$A$33:$M$147</definedName>
    <definedName name="Waiting">"Picture 1"</definedName>
    <definedName name="WarrantyCountry" localSheetId="25">#REF!</definedName>
    <definedName name="WarrantyCountry">#REF!</definedName>
    <definedName name="WAS_ND">"$#REF!.$#REF!$7"</definedName>
    <definedName name="WAS_SE">"$#REF!.$#REF!$6"</definedName>
    <definedName name="we" hidden="1">{#N/A,#N/A,TRUE,"Overall";#N/A,#N/A,TRUE,"Region Wise ";#N/A,#N/A,TRUE,"Client Wise"}</definedName>
    <definedName name="WLS_SE">"$#REF!.$#REF!$8"</definedName>
    <definedName name="works_range">#REF!</definedName>
    <definedName name="WorksheetYear5" hidden="1">{#N/A,#N/A,TRUE,"Overall";#N/A,#N/A,TRUE,"Region Wise ";#N/A,#N/A,TRUE,"Client Wise"}</definedName>
    <definedName name="wrn.Full._.Report." hidden="1">{#N/A,#N/A,TRUE,"Front";#N/A,#N/A,TRUE,"Simple Letter";#N/A,#N/A,TRUE,"Inside";#N/A,#N/A,TRUE,"Contents";#N/A,#N/A,TRUE,"Basis";#N/A,#N/A,TRUE,"Inclusions";#N/A,#N/A,TRUE,"Exclusions";#N/A,#N/A,TRUE,"Areas";#N/A,#N/A,TRUE,"Summary";#N/A,#N/A,TRUE,"Detail"}</definedName>
    <definedName name="wrn.MIS._.Report._.for._.Sept01." hidden="1">{"YTD Profitability",#N/A,FALSE,"Dash Board";"Manpower-Sept",#N/A,FALSE,"Dash Board";"Consolidated-Q2",#N/A,FALSE,"Dash Board"}</definedName>
    <definedName name="wrn.ReadMe." hidden="1">{#N/A,#N/A,FALSE,"Schedule-Cost";#N/A,#N/A,FALSE,"Estimates-Unit_Level";#N/A,#N/A,FALSE,"ComplexityBasedUnitEfforts";#N/A,#N/A,FALSE,"Unit Cost";#N/A,#N/A,FALSE,"ComplexityAnalysis"}</definedName>
    <definedName name="ww">#REF!</definedName>
    <definedName name="wwww">#REF!</definedName>
    <definedName name="X">#REF!</definedName>
    <definedName name="X255QTY">([2]xSeries255:'[74]xSeries306'!$D$13:$D$42,[2]xSeries255:'[74]xSeries306'!$D$45:$D$421)</definedName>
    <definedName name="X255QTZ">([2]xSeries255:'[74]xSeries306'!$D$13:$D$42,[2]xSeries255:'[74]xSeries306'!$D$45:$D$421)</definedName>
    <definedName name="XREF_COLUMN_1" hidden="1">#REF!</definedName>
    <definedName name="XREF_COLUMN_2" hidden="1">#REF!</definedName>
    <definedName name="XREF_COLUMN_4" hidden="1">#REF!</definedName>
    <definedName name="XRefColumnsCount" hidden="1">12</definedName>
    <definedName name="XRefCopy1" hidden="1">#REF!</definedName>
    <definedName name="XRefCopy16Row" hidden="1">#REF!</definedName>
    <definedName name="XRefCopy1Row" hidden="1">#REF!</definedName>
    <definedName name="XRefCopy2" hidden="1">#REF!</definedName>
    <definedName name="XRefCopy3" hidden="1">#REF!</definedName>
    <definedName name="XRefCopy4" hidden="1">#REF!</definedName>
    <definedName name="XRefCopy5" hidden="1">#REF!</definedName>
    <definedName name="XRefCopy5Row" hidden="1">#REF!</definedName>
    <definedName name="XRefCopy6" hidden="1">#REF!</definedName>
    <definedName name="XRefCopy6Row" hidden="1">#REF!</definedName>
    <definedName name="XRefCopy7" hidden="1">#REF!</definedName>
    <definedName name="XRefCopy7Row" hidden="1">[75]XREF!#REF!</definedName>
    <definedName name="XRefCopyRangeCount" hidden="1">7</definedName>
    <definedName name="XRefPaste1" hidden="1">#REF!</definedName>
    <definedName name="XRefPaste10" hidden="1">#REF!</definedName>
    <definedName name="XRefPaste10Row" hidden="1">#REF!</definedName>
    <definedName name="XRefPaste11" hidden="1">#REF!</definedName>
    <definedName name="XRefPaste110Row" hidden="1">[75]XREF!#REF!</definedName>
    <definedName name="XRefPaste111Row" hidden="1">[75]XREF!#REF!</definedName>
    <definedName name="XRefPaste112Row" hidden="1">[75]XREF!#REF!</definedName>
    <definedName name="XRefPaste113Row" hidden="1">[75]XREF!#REF!</definedName>
    <definedName name="XRefPaste11Row" hidden="1">#REF!</definedName>
    <definedName name="XRefPaste12" hidden="1">#REF!</definedName>
    <definedName name="XRefPaste120Row" hidden="1">[75]XREF!#REF!</definedName>
    <definedName name="XRefPaste121Row" hidden="1">[75]XREF!#REF!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2" hidden="1">#REF!</definedName>
    <definedName name="XRefPaste3" hidden="1">#REF!</definedName>
    <definedName name="XRefPaste4" hidden="1">#REF!</definedName>
    <definedName name="XRefPaste5"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142</definedName>
    <definedName name="XSER235">#REF!</definedName>
    <definedName name="XSER255">([2]xSeries255:'[74]xSeries306'!$A$13:$M$42,[2]xSeries255:'[74]xSeries306'!$A$45:$M$421)</definedName>
    <definedName name="XSER335">#REF!</definedName>
    <definedName name="XSER345">#REF!</definedName>
    <definedName name="XSER382">#REF!</definedName>
    <definedName name="xx" hidden="1">{#N/A,#N/A,TRUE,"Overall";#N/A,#N/A,TRUE,"Region Wise ";#N/A,#N/A,TRUE,"Client Wise"}</definedName>
    <definedName name="XXX" hidden="1">{#N/A,#N/A,TRUE,"Overall";#N/A,#N/A,TRUE,"Region Wise ";#N/A,#N/A,TRUE,"Client Wise"}</definedName>
    <definedName name="Year" localSheetId="25">#REF!</definedName>
    <definedName name="Year">#REF!</definedName>
    <definedName name="Year0">[67]Sheet1!$B$6:$C$20</definedName>
    <definedName name="Year1">[52]Reference!$D$22:$D$25</definedName>
    <definedName name="Year10">[67]Sheet1!$B$166:$C$180</definedName>
    <definedName name="Year11">[67]Sheet1!$B$182:$C$196</definedName>
    <definedName name="Year2">[67]Sheet1!$B$38:$C$52</definedName>
    <definedName name="Year3">[67]Sheet1!$B$54:$C$68</definedName>
    <definedName name="Year4">[67]Sheet1!$B$70:$C$84</definedName>
    <definedName name="Year5">[67]Sheet1!$B$86:$C$100</definedName>
    <definedName name="Year6">[67]Sheet1!$B$102:$C$116</definedName>
    <definedName name="Year7">[67]Sheet1!$B$118:$C$132</definedName>
    <definedName name="Year8">[67]Sheet1!$B$134:$C$148</definedName>
    <definedName name="Year9">[67]Sheet1!$B$150:$C$164</definedName>
    <definedName name="YES" localSheetId="25">#REF!</definedName>
    <definedName name="YES">#REF!</definedName>
    <definedName name="YES_Contingency">[67]Sheet2!$B$206</definedName>
    <definedName name="yty">#REF!</definedName>
    <definedName name="yxcyxc" localSheetId="25">#REF!</definedName>
    <definedName name="yxcyxc">#REF!</definedName>
    <definedName name="z" hidden="1">{#N/A,#N/A,TRUE,"Overall";#N/A,#N/A,TRUE,"Region Wise ";#N/A,#N/A,TRUE,"Client Wise"}</definedName>
    <definedName name="Z_ED32C521_2B6F_11D6_9967_009027BE6DFE_.wvu.Rows" hidden="1">#REF!,#REF!,#REF!,#REF!,#REF!,#REF!,#REF!</definedName>
    <definedName name="zitd">"$#REF!.$#REF!$#REF!"</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5" i="58" l="1"/>
  <c r="C8" i="58"/>
  <c r="C10" i="58"/>
  <c r="S17" i="50"/>
  <c r="C18" i="58"/>
  <c r="C22" i="58"/>
  <c r="C17" i="58"/>
  <c r="U16" i="50"/>
  <c r="C9" i="58"/>
  <c r="S13" i="50"/>
  <c r="S27" i="50"/>
  <c r="E13" i="50" l="1"/>
  <c r="Q44" i="24"/>
  <c r="Q43" i="24"/>
  <c r="S44" i="24"/>
  <c r="S43" i="24"/>
  <c r="I30" i="52"/>
  <c r="I32" i="52" s="1"/>
  <c r="I33" i="52" s="1"/>
  <c r="H11" i="57"/>
  <c r="F16" i="24"/>
  <c r="F15" i="24"/>
  <c r="H8" i="57"/>
  <c r="J38" i="24"/>
  <c r="K38" i="24" s="1"/>
  <c r="E13" i="52" s="1"/>
  <c r="F37" i="24"/>
  <c r="G179" i="47"/>
  <c r="G11" i="57"/>
  <c r="D175" i="47"/>
  <c r="H21" i="57"/>
  <c r="F8" i="57"/>
  <c r="D13" i="52" l="1"/>
  <c r="F36" i="24"/>
  <c r="E163" i="63"/>
  <c r="D163" i="63"/>
  <c r="C163" i="63"/>
  <c r="C162" i="63"/>
  <c r="C161" i="63"/>
  <c r="D160" i="63"/>
  <c r="E160" i="63" s="1"/>
  <c r="F14" i="24"/>
  <c r="F12" i="57"/>
  <c r="F20" i="57"/>
  <c r="F19" i="57"/>
  <c r="F18" i="57"/>
  <c r="F17" i="57"/>
  <c r="F16" i="57"/>
  <c r="F15" i="57"/>
  <c r="F14" i="57"/>
  <c r="F13" i="57"/>
  <c r="D4" i="47"/>
  <c r="H104" i="63"/>
  <c r="I104" i="63" s="1"/>
  <c r="G156" i="63"/>
  <c r="J120" i="63"/>
  <c r="H119" i="63"/>
  <c r="I84" i="63"/>
  <c r="H84" i="63"/>
  <c r="I156" i="63"/>
  <c r="F13" i="24"/>
  <c r="F11" i="24"/>
  <c r="F12" i="24" l="1"/>
  <c r="H44" i="24"/>
  <c r="G44" i="24"/>
  <c r="J44" i="24" s="1"/>
  <c r="K44" i="24" s="1"/>
  <c r="E32" i="52" s="1"/>
  <c r="H43" i="24"/>
  <c r="G43" i="24"/>
  <c r="F32" i="52" l="1"/>
  <c r="G32" i="52" s="1"/>
  <c r="D32" i="52"/>
  <c r="J43" i="24"/>
  <c r="H27" i="50"/>
  <c r="K43" i="24" l="1"/>
  <c r="E31" i="52" s="1"/>
  <c r="D31" i="52"/>
  <c r="G26" i="50"/>
  <c r="H26" i="50" s="1"/>
  <c r="G25" i="50"/>
  <c r="H25" i="50" s="1"/>
  <c r="G24" i="50"/>
  <c r="H24" i="50" s="1"/>
  <c r="G23" i="50"/>
  <c r="H23" i="50" s="1"/>
  <c r="G22" i="50"/>
  <c r="H22" i="50" s="1"/>
  <c r="G21" i="50"/>
  <c r="H21" i="50" s="1"/>
  <c r="F5" i="44"/>
  <c r="H32" i="24"/>
  <c r="F31" i="52" l="1"/>
  <c r="G31" i="52" s="1"/>
  <c r="G12" i="57"/>
  <c r="G2" i="24"/>
  <c r="F2" i="24"/>
  <c r="G11" i="24"/>
  <c r="F38" i="24"/>
  <c r="F47" i="24"/>
  <c r="F44" i="63"/>
  <c r="H36" i="24" l="1"/>
  <c r="F5" i="57"/>
  <c r="F85" i="61"/>
  <c r="D85" i="61"/>
  <c r="G84" i="61"/>
  <c r="H84" i="61" s="1"/>
  <c r="F84" i="61"/>
  <c r="F83" i="61"/>
  <c r="G83" i="61" s="1"/>
  <c r="F82" i="61"/>
  <c r="F81" i="61"/>
  <c r="G81" i="61" s="1"/>
  <c r="H81" i="61" s="1"/>
  <c r="G80" i="61"/>
  <c r="H80" i="61" s="1"/>
  <c r="F80" i="61"/>
  <c r="F79" i="61"/>
  <c r="G79" i="61" s="1"/>
  <c r="F78" i="61"/>
  <c r="F77" i="61"/>
  <c r="G77" i="61" s="1"/>
  <c r="H77" i="61" s="1"/>
  <c r="G76" i="61"/>
  <c r="H76" i="61" s="1"/>
  <c r="F76" i="61"/>
  <c r="F75" i="61"/>
  <c r="G75" i="61" s="1"/>
  <c r="F74" i="61"/>
  <c r="F73" i="61"/>
  <c r="G73" i="61" s="1"/>
  <c r="H73" i="61" s="1"/>
  <c r="G72" i="61"/>
  <c r="H72" i="61" s="1"/>
  <c r="F72" i="61"/>
  <c r="F71" i="61"/>
  <c r="F70" i="61"/>
  <c r="F69" i="61"/>
  <c r="G69" i="61" s="1"/>
  <c r="H69" i="61" s="1"/>
  <c r="G68" i="61"/>
  <c r="H68" i="61" s="1"/>
  <c r="F68" i="61"/>
  <c r="F67" i="61"/>
  <c r="G67" i="61" s="1"/>
  <c r="F66" i="61"/>
  <c r="F65" i="61"/>
  <c r="G65" i="61" s="1"/>
  <c r="H65" i="61" s="1"/>
  <c r="G64" i="61"/>
  <c r="H64" i="61" s="1"/>
  <c r="F64" i="61"/>
  <c r="F63" i="61"/>
  <c r="F62" i="61"/>
  <c r="F61" i="61"/>
  <c r="G61" i="61" s="1"/>
  <c r="H61" i="61" s="1"/>
  <c r="G59" i="61"/>
  <c r="H59" i="61" s="1"/>
  <c r="F59" i="61"/>
  <c r="F58" i="61"/>
  <c r="G58" i="61" s="1"/>
  <c r="F57" i="61"/>
  <c r="F56" i="61"/>
  <c r="G56" i="61" s="1"/>
  <c r="H56" i="61" s="1"/>
  <c r="G55" i="61"/>
  <c r="H55" i="61" s="1"/>
  <c r="F55" i="61"/>
  <c r="F54" i="61"/>
  <c r="F53" i="61"/>
  <c r="F52" i="61"/>
  <c r="G52" i="61" s="1"/>
  <c r="H52" i="61" s="1"/>
  <c r="G51" i="61"/>
  <c r="H51" i="61" s="1"/>
  <c r="F51" i="61"/>
  <c r="F50" i="61"/>
  <c r="G50" i="61" s="1"/>
  <c r="F48" i="61"/>
  <c r="F47" i="61"/>
  <c r="G47" i="61" s="1"/>
  <c r="H47" i="61" s="1"/>
  <c r="G46" i="61"/>
  <c r="H46" i="61" s="1"/>
  <c r="F46" i="61"/>
  <c r="F45" i="61"/>
  <c r="F44" i="61"/>
  <c r="F43" i="61"/>
  <c r="G43" i="61" s="1"/>
  <c r="H43" i="61" s="1"/>
  <c r="G42" i="61"/>
  <c r="H42" i="61" s="1"/>
  <c r="F42" i="61"/>
  <c r="F41" i="61"/>
  <c r="G41" i="61" s="1"/>
  <c r="F40" i="61"/>
  <c r="F39" i="61"/>
  <c r="G39" i="61" s="1"/>
  <c r="H39" i="61" s="1"/>
  <c r="G38" i="61"/>
  <c r="H38" i="61" s="1"/>
  <c r="F38" i="61"/>
  <c r="F37" i="61"/>
  <c r="F36" i="61"/>
  <c r="F35" i="61"/>
  <c r="G35" i="61" s="1"/>
  <c r="H35" i="61" s="1"/>
  <c r="G34" i="61"/>
  <c r="H34" i="61" s="1"/>
  <c r="F34" i="61"/>
  <c r="F33" i="61"/>
  <c r="G33" i="61" s="1"/>
  <c r="F32" i="61"/>
  <c r="F31" i="61"/>
  <c r="G31" i="61" s="1"/>
  <c r="H31" i="61" s="1"/>
  <c r="G29" i="61"/>
  <c r="H29" i="61" s="1"/>
  <c r="F29" i="61"/>
  <c r="F28" i="61"/>
  <c r="G28" i="61" s="1"/>
  <c r="F27" i="61"/>
  <c r="F26" i="61"/>
  <c r="G26" i="61" s="1"/>
  <c r="H26" i="61" s="1"/>
  <c r="G25" i="61"/>
  <c r="H25" i="61" s="1"/>
  <c r="F25" i="61"/>
  <c r="F24" i="61"/>
  <c r="F23" i="61"/>
  <c r="F22" i="61"/>
  <c r="G22" i="61" s="1"/>
  <c r="H22" i="61" s="1"/>
  <c r="G20" i="61"/>
  <c r="H20" i="61" s="1"/>
  <c r="F20" i="61"/>
  <c r="F18" i="61"/>
  <c r="G18" i="61" s="1"/>
  <c r="F17" i="61"/>
  <c r="F16" i="61"/>
  <c r="G16" i="61" s="1"/>
  <c r="H16" i="61" s="1"/>
  <c r="G15" i="61"/>
  <c r="H15" i="61" s="1"/>
  <c r="F15" i="61"/>
  <c r="F14" i="61"/>
  <c r="F13" i="61"/>
  <c r="F12" i="61"/>
  <c r="G12" i="61" s="1"/>
  <c r="H12" i="61" s="1"/>
  <c r="G11" i="61"/>
  <c r="H11" i="61" s="1"/>
  <c r="F11" i="61"/>
  <c r="F10" i="61"/>
  <c r="F9" i="61"/>
  <c r="F8" i="61"/>
  <c r="G8" i="61" s="1"/>
  <c r="H8" i="61" s="1"/>
  <c r="F7" i="61"/>
  <c r="G7" i="61" s="1"/>
  <c r="H7" i="61" s="1"/>
  <c r="F6" i="61"/>
  <c r="F5" i="61"/>
  <c r="H37" i="61" l="1"/>
  <c r="H40" i="61"/>
  <c r="H71" i="61"/>
  <c r="H74" i="61"/>
  <c r="H62" i="61"/>
  <c r="H10" i="61"/>
  <c r="H45" i="61"/>
  <c r="H82" i="61"/>
  <c r="H14" i="61"/>
  <c r="H53" i="61"/>
  <c r="G6" i="61"/>
  <c r="H6" i="61" s="1"/>
  <c r="G10" i="61"/>
  <c r="G14" i="61"/>
  <c r="G24" i="61"/>
  <c r="H24" i="61" s="1"/>
  <c r="G37" i="61"/>
  <c r="G45" i="61"/>
  <c r="G54" i="61"/>
  <c r="H54" i="61" s="1"/>
  <c r="G63" i="61"/>
  <c r="H63" i="61" s="1"/>
  <c r="G71" i="61"/>
  <c r="G5" i="61"/>
  <c r="H5" i="61" s="1"/>
  <c r="G9" i="61"/>
  <c r="H9" i="61" s="1"/>
  <c r="G13" i="61"/>
  <c r="H13" i="61" s="1"/>
  <c r="G17" i="61"/>
  <c r="H17" i="61" s="1"/>
  <c r="H18" i="61"/>
  <c r="G23" i="61"/>
  <c r="H23" i="61" s="1"/>
  <c r="G27" i="61"/>
  <c r="H27" i="61" s="1"/>
  <c r="H28" i="61"/>
  <c r="G32" i="61"/>
  <c r="H32" i="61" s="1"/>
  <c r="H33" i="61"/>
  <c r="G36" i="61"/>
  <c r="H36" i="61" s="1"/>
  <c r="G40" i="61"/>
  <c r="H41" i="61"/>
  <c r="G44" i="61"/>
  <c r="H44" i="61" s="1"/>
  <c r="G48" i="61"/>
  <c r="H48" i="61" s="1"/>
  <c r="H50" i="61"/>
  <c r="G53" i="61"/>
  <c r="G57" i="61"/>
  <c r="H57" i="61" s="1"/>
  <c r="H58" i="61"/>
  <c r="G62" i="61"/>
  <c r="G66" i="61"/>
  <c r="H66" i="61" s="1"/>
  <c r="H67" i="61"/>
  <c r="G70" i="61"/>
  <c r="H70" i="61" s="1"/>
  <c r="G74" i="61"/>
  <c r="H75" i="61"/>
  <c r="G78" i="61"/>
  <c r="H78" i="61" s="1"/>
  <c r="H79" i="61"/>
  <c r="G82" i="61"/>
  <c r="H83" i="61"/>
  <c r="G13" i="50" l="1"/>
  <c r="H13" i="50" s="1"/>
  <c r="J19" i="24"/>
  <c r="I8" i="57"/>
  <c r="F42" i="59"/>
  <c r="F36" i="59"/>
  <c r="F35" i="59"/>
  <c r="F10" i="24"/>
  <c r="F15" i="59" l="1"/>
  <c r="F39" i="59"/>
  <c r="F37" i="59"/>
  <c r="G37" i="59" s="1"/>
  <c r="E54" i="59"/>
  <c r="P46" i="59"/>
  <c r="F46" i="59"/>
  <c r="P45" i="59"/>
  <c r="I45" i="59"/>
  <c r="J45" i="59" s="1"/>
  <c r="R45" i="59" s="1"/>
  <c r="H45" i="59"/>
  <c r="G45" i="59"/>
  <c r="P44" i="59"/>
  <c r="H44" i="59"/>
  <c r="G44" i="59"/>
  <c r="I44" i="59" s="1"/>
  <c r="J44" i="59" s="1"/>
  <c r="R44" i="59" s="1"/>
  <c r="F44" i="59"/>
  <c r="P43" i="59"/>
  <c r="F43" i="59"/>
  <c r="P42" i="59"/>
  <c r="G42" i="59"/>
  <c r="P41" i="59"/>
  <c r="H41" i="59"/>
  <c r="F41" i="59"/>
  <c r="G41" i="59" s="1"/>
  <c r="I41" i="59" s="1"/>
  <c r="J41" i="59" s="1"/>
  <c r="R41" i="59" s="1"/>
  <c r="P40" i="59"/>
  <c r="H40" i="59"/>
  <c r="G40" i="59"/>
  <c r="I40" i="59" s="1"/>
  <c r="J40" i="59" s="1"/>
  <c r="R40" i="59" s="1"/>
  <c r="F40" i="59"/>
  <c r="F38" i="59"/>
  <c r="P38" i="59" s="1"/>
  <c r="P37" i="59"/>
  <c r="P36" i="59"/>
  <c r="H36" i="59"/>
  <c r="G36" i="59"/>
  <c r="I36" i="59" s="1"/>
  <c r="J36" i="59" s="1"/>
  <c r="R36" i="59" s="1"/>
  <c r="P35" i="59"/>
  <c r="P34" i="59"/>
  <c r="H34" i="59"/>
  <c r="G34" i="59"/>
  <c r="I34" i="59" s="1"/>
  <c r="J34" i="59" s="1"/>
  <c r="R34" i="59" s="1"/>
  <c r="F34" i="59"/>
  <c r="P33" i="59"/>
  <c r="H33" i="59"/>
  <c r="F33" i="59"/>
  <c r="G33" i="59" s="1"/>
  <c r="I33" i="59" s="1"/>
  <c r="J33" i="59" s="1"/>
  <c r="P32" i="59"/>
  <c r="H32" i="59"/>
  <c r="G32" i="59"/>
  <c r="I32" i="59" s="1"/>
  <c r="J32" i="59" s="1"/>
  <c r="P31" i="59"/>
  <c r="H31" i="59"/>
  <c r="G31" i="59"/>
  <c r="I31" i="59" s="1"/>
  <c r="J31" i="59" s="1"/>
  <c r="R31" i="59" s="1"/>
  <c r="F31" i="59"/>
  <c r="F30" i="59"/>
  <c r="P29" i="59"/>
  <c r="L29" i="59"/>
  <c r="M29" i="59" s="1"/>
  <c r="H29" i="59"/>
  <c r="G29" i="59"/>
  <c r="I29" i="59" s="1"/>
  <c r="J29" i="59" s="1"/>
  <c r="R29" i="59" s="1"/>
  <c r="F29" i="59"/>
  <c r="F28" i="59"/>
  <c r="F27" i="59"/>
  <c r="P27" i="59" s="1"/>
  <c r="F26" i="59"/>
  <c r="E26" i="59"/>
  <c r="H19" i="59"/>
  <c r="G19" i="59"/>
  <c r="I19" i="59" s="1"/>
  <c r="J19" i="59" s="1"/>
  <c r="P18" i="59"/>
  <c r="I18" i="59"/>
  <c r="J18" i="59" s="1"/>
  <c r="R18" i="59" s="1"/>
  <c r="H18" i="59"/>
  <c r="G18" i="59"/>
  <c r="P17" i="59"/>
  <c r="H17" i="59"/>
  <c r="G17" i="59"/>
  <c r="F16" i="59"/>
  <c r="P15" i="59"/>
  <c r="G15" i="59"/>
  <c r="P13" i="59"/>
  <c r="H13" i="59"/>
  <c r="G13" i="59"/>
  <c r="P12" i="59"/>
  <c r="J12" i="59"/>
  <c r="R12" i="59" s="1"/>
  <c r="I12" i="59"/>
  <c r="H12" i="59"/>
  <c r="G12" i="59"/>
  <c r="P11" i="59"/>
  <c r="J11" i="59"/>
  <c r="R11" i="59" s="1"/>
  <c r="I11" i="59"/>
  <c r="H11" i="59"/>
  <c r="G11" i="59"/>
  <c r="P10" i="59"/>
  <c r="H10" i="59"/>
  <c r="G10" i="59"/>
  <c r="I10" i="59" s="1"/>
  <c r="J10" i="59" s="1"/>
  <c r="R10" i="59" s="1"/>
  <c r="F9" i="59"/>
  <c r="J4" i="59"/>
  <c r="K19" i="24"/>
  <c r="E23" i="52" s="1"/>
  <c r="D25" i="52"/>
  <c r="F10" i="57"/>
  <c r="E55" i="24"/>
  <c r="T22" i="50"/>
  <c r="S22" i="50" s="1"/>
  <c r="S12" i="50"/>
  <c r="S25" i="50"/>
  <c r="S24" i="50"/>
  <c r="S23" i="50"/>
  <c r="S21" i="50"/>
  <c r="U11" i="50"/>
  <c r="S26" i="50"/>
  <c r="S9" i="50"/>
  <c r="S8" i="50"/>
  <c r="Q40" i="24"/>
  <c r="F40" i="24"/>
  <c r="Q47" i="24"/>
  <c r="F14" i="59" l="1"/>
  <c r="F20" i="59" s="1"/>
  <c r="H37" i="59"/>
  <c r="I37" i="59" s="1"/>
  <c r="J37" i="59" s="1"/>
  <c r="R37" i="59" s="1"/>
  <c r="H16" i="59"/>
  <c r="P16" i="59"/>
  <c r="G16" i="59"/>
  <c r="G9" i="59"/>
  <c r="N9" i="59" s="1"/>
  <c r="R33" i="59"/>
  <c r="L33" i="59"/>
  <c r="M33" i="59" s="1"/>
  <c r="P9" i="59"/>
  <c r="H35" i="59"/>
  <c r="G35" i="59"/>
  <c r="I35" i="59" s="1"/>
  <c r="J35" i="59" s="1"/>
  <c r="R35" i="59" s="1"/>
  <c r="S9" i="59"/>
  <c r="T9" i="59" s="1"/>
  <c r="H9" i="59"/>
  <c r="I16" i="59"/>
  <c r="J16" i="59" s="1"/>
  <c r="R16" i="59" s="1"/>
  <c r="I13" i="59"/>
  <c r="J13" i="59" s="1"/>
  <c r="R13" i="59" s="1"/>
  <c r="H15" i="59"/>
  <c r="I15" i="59" s="1"/>
  <c r="J15" i="59" s="1"/>
  <c r="R15" i="59" s="1"/>
  <c r="I17" i="59"/>
  <c r="J17" i="59" s="1"/>
  <c r="R17" i="59" s="1"/>
  <c r="H26" i="59"/>
  <c r="G26" i="59"/>
  <c r="F47" i="59"/>
  <c r="P26" i="59"/>
  <c r="I26" i="59"/>
  <c r="H30" i="59"/>
  <c r="P30" i="59"/>
  <c r="G30" i="59"/>
  <c r="I30" i="59"/>
  <c r="J30" i="59" s="1"/>
  <c r="R30" i="59" s="1"/>
  <c r="L32" i="59"/>
  <c r="M32" i="59" s="1"/>
  <c r="R32" i="59"/>
  <c r="H39" i="59"/>
  <c r="I39" i="59" s="1"/>
  <c r="J39" i="59" s="1"/>
  <c r="R39" i="59" s="1"/>
  <c r="P39" i="59"/>
  <c r="G39" i="59"/>
  <c r="H46" i="59"/>
  <c r="G46" i="59"/>
  <c r="I46" i="59" s="1"/>
  <c r="J46" i="59" s="1"/>
  <c r="R46" i="59" s="1"/>
  <c r="H28" i="59"/>
  <c r="P28" i="59"/>
  <c r="G28" i="59"/>
  <c r="I28" i="59" s="1"/>
  <c r="J28" i="59" s="1"/>
  <c r="R28" i="59" s="1"/>
  <c r="L34" i="59"/>
  <c r="M34" i="59" s="1"/>
  <c r="H43" i="59"/>
  <c r="G43" i="59"/>
  <c r="I43" i="59" s="1"/>
  <c r="J43" i="59" s="1"/>
  <c r="R43" i="59" s="1"/>
  <c r="H27" i="59"/>
  <c r="H38" i="59"/>
  <c r="H42" i="59"/>
  <c r="I42" i="59" s="1"/>
  <c r="J42" i="59" s="1"/>
  <c r="R42" i="59" s="1"/>
  <c r="G27" i="59"/>
  <c r="G38" i="59"/>
  <c r="I38" i="59" s="1"/>
  <c r="J38" i="59" s="1"/>
  <c r="R38" i="59" s="1"/>
  <c r="Q46" i="24"/>
  <c r="Q38" i="24"/>
  <c r="G14" i="59" l="1"/>
  <c r="H14" i="59"/>
  <c r="I14" i="59" s="1"/>
  <c r="J14" i="59" s="1"/>
  <c r="R14" i="59" s="1"/>
  <c r="P14" i="59"/>
  <c r="P20" i="59" s="1"/>
  <c r="I27" i="59"/>
  <c r="J27" i="59" s="1"/>
  <c r="R27" i="59" s="1"/>
  <c r="I47" i="59"/>
  <c r="J26" i="59"/>
  <c r="P47" i="59"/>
  <c r="Y11" i="59"/>
  <c r="I9" i="59"/>
  <c r="Q32" i="24"/>
  <c r="Q18" i="24"/>
  <c r="Q17" i="24"/>
  <c r="Q14" i="24"/>
  <c r="Q13" i="24"/>
  <c r="Q12" i="24"/>
  <c r="Q11" i="24"/>
  <c r="Q10" i="24"/>
  <c r="F23" i="52"/>
  <c r="Q16" i="24"/>
  <c r="H20" i="59" l="1"/>
  <c r="Y9" i="59"/>
  <c r="AB11" i="59"/>
  <c r="AB9" i="59" s="1"/>
  <c r="J47" i="59"/>
  <c r="L47" i="59" s="1"/>
  <c r="M47" i="59" s="1"/>
  <c r="L26" i="59"/>
  <c r="M26" i="59" s="1"/>
  <c r="R26" i="59"/>
  <c r="R47" i="59" s="1"/>
  <c r="I20" i="59"/>
  <c r="J9" i="59"/>
  <c r="L9" i="59"/>
  <c r="M9" i="59" s="1"/>
  <c r="I15" i="50"/>
  <c r="G12" i="50"/>
  <c r="H12" i="50" s="1"/>
  <c r="H16" i="50" s="1"/>
  <c r="G9" i="50"/>
  <c r="H9" i="50" s="1"/>
  <c r="G8" i="50"/>
  <c r="H8" i="50" s="1"/>
  <c r="O6" i="50"/>
  <c r="T6" i="50" s="1"/>
  <c r="S6" i="50" s="1"/>
  <c r="S16" i="50" s="1"/>
  <c r="C6" i="50"/>
  <c r="O3" i="50"/>
  <c r="J20" i="59" l="1"/>
  <c r="R9" i="59"/>
  <c r="R20" i="59" s="1"/>
  <c r="U9" i="59"/>
  <c r="V9" i="59" s="1"/>
  <c r="AB14" i="59"/>
  <c r="AB15" i="59" s="1"/>
  <c r="Y14" i="59"/>
  <c r="Y15" i="59" s="1"/>
  <c r="E6" i="50"/>
  <c r="G6" i="50" s="1"/>
  <c r="H6" i="50" s="1"/>
  <c r="H15" i="50" s="1"/>
  <c r="J51" i="59" l="1"/>
  <c r="L20" i="59"/>
  <c r="M20" i="59" s="1"/>
  <c r="H17" i="50"/>
  <c r="H19" i="50" s="1"/>
  <c r="F45" i="24"/>
  <c r="H45" i="24" l="1"/>
  <c r="G45" i="24"/>
  <c r="J45" i="24" s="1"/>
  <c r="E28" i="52"/>
  <c r="Q45" i="24"/>
  <c r="E25" i="52"/>
  <c r="G23" i="52"/>
  <c r="F28" i="52" l="1"/>
  <c r="G28" i="52" s="1"/>
  <c r="D28" i="52"/>
  <c r="J52" i="59"/>
  <c r="J54" i="59" s="1"/>
  <c r="K45" i="24"/>
  <c r="D20" i="52"/>
  <c r="F25" i="52"/>
  <c r="G25" i="52" s="1"/>
  <c r="J53" i="59" l="1"/>
  <c r="S45" i="24"/>
  <c r="E20" i="52"/>
  <c r="H46" i="24"/>
  <c r="G46" i="24"/>
  <c r="H41" i="24"/>
  <c r="G41" i="24"/>
  <c r="G32" i="24"/>
  <c r="J32" i="24" s="1"/>
  <c r="H18" i="24"/>
  <c r="G18" i="24"/>
  <c r="J18" i="24" s="1"/>
  <c r="H17" i="24"/>
  <c r="G17" i="24"/>
  <c r="H14" i="24"/>
  <c r="G14" i="24"/>
  <c r="H13" i="24"/>
  <c r="G13" i="24"/>
  <c r="H12" i="24"/>
  <c r="G12" i="24"/>
  <c r="J12" i="24" s="1"/>
  <c r="H11" i="24"/>
  <c r="J11" i="24" s="1"/>
  <c r="H10" i="24"/>
  <c r="G10" i="24"/>
  <c r="F31" i="24"/>
  <c r="F30" i="24"/>
  <c r="G30" i="24" s="1"/>
  <c r="F29" i="24"/>
  <c r="F3" i="51"/>
  <c r="F39" i="24"/>
  <c r="G39" i="24" s="1"/>
  <c r="G42" i="24"/>
  <c r="G40" i="24"/>
  <c r="G47" i="24"/>
  <c r="G38" i="24"/>
  <c r="G36" i="24"/>
  <c r="J36" i="24" s="1"/>
  <c r="D18" i="52" s="1"/>
  <c r="J41" i="24" l="1"/>
  <c r="K41" i="24" s="1"/>
  <c r="J13" i="24"/>
  <c r="D8" i="52" s="1"/>
  <c r="J17" i="24"/>
  <c r="D17" i="52" s="1"/>
  <c r="J30" i="24"/>
  <c r="J10" i="24"/>
  <c r="J46" i="24"/>
  <c r="K46" i="24" s="1"/>
  <c r="S46" i="24" s="1"/>
  <c r="J14" i="24"/>
  <c r="D27" i="52" s="1"/>
  <c r="K18" i="24"/>
  <c r="Q31" i="24"/>
  <c r="Q29" i="24"/>
  <c r="Q37" i="24"/>
  <c r="Q30" i="24"/>
  <c r="Q39" i="24"/>
  <c r="Q36" i="24"/>
  <c r="H15" i="24"/>
  <c r="Q15" i="24"/>
  <c r="H39" i="24"/>
  <c r="J39" i="24" s="1"/>
  <c r="K32" i="24"/>
  <c r="H37" i="24"/>
  <c r="G29" i="24"/>
  <c r="G31" i="24"/>
  <c r="J31" i="24" s="1"/>
  <c r="G35" i="24"/>
  <c r="H16" i="24"/>
  <c r="G37" i="24"/>
  <c r="J37" i="24" s="1"/>
  <c r="G15" i="24"/>
  <c r="H30" i="24"/>
  <c r="G16" i="24"/>
  <c r="H29" i="24"/>
  <c r="H31" i="24"/>
  <c r="H35" i="24"/>
  <c r="H38" i="24"/>
  <c r="H40" i="24"/>
  <c r="J40" i="24" s="1"/>
  <c r="H42" i="24"/>
  <c r="J42" i="24" s="1"/>
  <c r="H47" i="24"/>
  <c r="J47" i="24" s="1"/>
  <c r="E7" i="44"/>
  <c r="D7" i="44"/>
  <c r="E6" i="44"/>
  <c r="E5" i="44"/>
  <c r="E4" i="44"/>
  <c r="D6" i="44"/>
  <c r="K17" i="24" l="1"/>
  <c r="J16" i="24"/>
  <c r="K16" i="24" s="1"/>
  <c r="J29" i="24"/>
  <c r="K29" i="24" s="1"/>
  <c r="J15" i="24"/>
  <c r="D9" i="52" s="1"/>
  <c r="J35" i="24"/>
  <c r="K13" i="24"/>
  <c r="E8" i="52" s="1"/>
  <c r="F8" i="52" s="1"/>
  <c r="G8" i="52" s="1"/>
  <c r="D12" i="52"/>
  <c r="K14" i="24"/>
  <c r="S14" i="24" s="1"/>
  <c r="K31" i="24"/>
  <c r="S31" i="24" s="1"/>
  <c r="K36" i="24"/>
  <c r="K39" i="24"/>
  <c r="S39" i="24" s="1"/>
  <c r="S17" i="24"/>
  <c r="E17" i="52"/>
  <c r="F17" i="52" s="1"/>
  <c r="G17" i="52" s="1"/>
  <c r="S41" i="24"/>
  <c r="K30" i="24"/>
  <c r="S30" i="24" s="1"/>
  <c r="S32" i="24"/>
  <c r="E24" i="52"/>
  <c r="F24" i="52" s="1"/>
  <c r="G24" i="52" s="1"/>
  <c r="D21" i="52"/>
  <c r="D30" i="52"/>
  <c r="K47" i="24"/>
  <c r="E12" i="52"/>
  <c r="F12" i="52" s="1"/>
  <c r="G12" i="52" s="1"/>
  <c r="S18" i="24"/>
  <c r="D16" i="52"/>
  <c r="K37" i="24"/>
  <c r="D4" i="52"/>
  <c r="K11" i="24"/>
  <c r="E4" i="52" s="1"/>
  <c r="K42" i="24"/>
  <c r="S42" i="24" s="1"/>
  <c r="D6" i="52"/>
  <c r="K10" i="24"/>
  <c r="D5" i="52"/>
  <c r="K12" i="24"/>
  <c r="E5" i="52" s="1"/>
  <c r="S36" i="24" l="1"/>
  <c r="E18" i="52"/>
  <c r="F18" i="52" s="1"/>
  <c r="G18" i="52" s="1"/>
  <c r="D11" i="52"/>
  <c r="D14" i="52"/>
  <c r="E11" i="52"/>
  <c r="S13" i="24"/>
  <c r="K15" i="24"/>
  <c r="S15" i="24" s="1"/>
  <c r="E27" i="52"/>
  <c r="F27" i="52" s="1"/>
  <c r="G27" i="52" s="1"/>
  <c r="K35" i="24"/>
  <c r="S35" i="24" s="1"/>
  <c r="K40" i="24"/>
  <c r="S47" i="24"/>
  <c r="E30" i="52"/>
  <c r="F30" i="52" s="1"/>
  <c r="G30" i="52" s="1"/>
  <c r="E16" i="52"/>
  <c r="F16" i="52" s="1"/>
  <c r="G16" i="52" s="1"/>
  <c r="S37" i="24"/>
  <c r="E6" i="52"/>
  <c r="S10" i="24"/>
  <c r="E14" i="52"/>
  <c r="F14" i="52" s="1"/>
  <c r="G14" i="52" s="1"/>
  <c r="S29" i="24"/>
  <c r="S11" i="24"/>
  <c r="F5" i="52"/>
  <c r="G5" i="52" s="1"/>
  <c r="S12" i="24"/>
  <c r="S38" i="24"/>
  <c r="F20" i="52"/>
  <c r="G20" i="52" s="1"/>
  <c r="F11" i="52" l="1"/>
  <c r="G11" i="52" s="1"/>
  <c r="S16" i="24"/>
  <c r="E9" i="52"/>
  <c r="F9" i="52" s="1"/>
  <c r="G9" i="52" s="1"/>
  <c r="S40" i="24"/>
  <c r="E21" i="52"/>
  <c r="F21" i="52" s="1"/>
  <c r="G21" i="52" s="1"/>
  <c r="F4" i="52"/>
  <c r="F6" i="52"/>
  <c r="G6" i="52" s="1"/>
  <c r="F28" i="24"/>
  <c r="F27" i="24"/>
  <c r="F26" i="24"/>
  <c r="F13" i="52" l="1"/>
  <c r="G13" i="52" s="1"/>
  <c r="Q28" i="24"/>
  <c r="G4" i="52"/>
  <c r="Q27" i="24"/>
  <c r="H28" i="24"/>
  <c r="G28" i="24"/>
  <c r="H26" i="24"/>
  <c r="G26" i="24"/>
  <c r="H27" i="24"/>
  <c r="G27" i="24"/>
  <c r="F34" i="24"/>
  <c r="F33" i="24"/>
  <c r="F9" i="24"/>
  <c r="D169" i="47"/>
  <c r="D168" i="47"/>
  <c r="D117" i="47"/>
  <c r="J26" i="24" l="1"/>
  <c r="J27" i="24"/>
  <c r="D22" i="52" s="1"/>
  <c r="J28" i="24"/>
  <c r="K28" i="24" s="1"/>
  <c r="S28" i="24" s="1"/>
  <c r="Q33" i="24"/>
  <c r="Q34" i="24"/>
  <c r="Q9" i="24"/>
  <c r="Q20" i="24" s="1"/>
  <c r="C13" i="58" s="1"/>
  <c r="G34" i="24"/>
  <c r="H34" i="24"/>
  <c r="H33" i="24"/>
  <c r="G33" i="24"/>
  <c r="J33" i="24" s="1"/>
  <c r="F20" i="24"/>
  <c r="G9" i="24"/>
  <c r="H9" i="24"/>
  <c r="E26" i="24"/>
  <c r="D33" i="45"/>
  <c r="F32" i="45"/>
  <c r="F31" i="45"/>
  <c r="F29" i="45"/>
  <c r="F28" i="45"/>
  <c r="F27" i="45"/>
  <c r="F26" i="45"/>
  <c r="F25" i="45"/>
  <c r="F23" i="45"/>
  <c r="F22" i="45"/>
  <c r="F20" i="45"/>
  <c r="F19" i="45"/>
  <c r="F18" i="45"/>
  <c r="F15" i="45"/>
  <c r="F14" i="45"/>
  <c r="F12" i="45"/>
  <c r="F11" i="45"/>
  <c r="F8" i="45"/>
  <c r="F6" i="45"/>
  <c r="F3" i="45"/>
  <c r="F2" i="45"/>
  <c r="C7" i="44"/>
  <c r="D5" i="44"/>
  <c r="D4" i="44"/>
  <c r="C6" i="44"/>
  <c r="J34" i="24" l="1"/>
  <c r="J9" i="24"/>
  <c r="O9" i="24"/>
  <c r="T9" i="24"/>
  <c r="U9" i="24" s="1"/>
  <c r="D15" i="52"/>
  <c r="K27" i="24"/>
  <c r="Z11" i="24"/>
  <c r="K26" i="24"/>
  <c r="S26" i="24" s="1"/>
  <c r="Q26" i="24"/>
  <c r="Q48" i="24" s="1"/>
  <c r="C14" i="58" s="1"/>
  <c r="K33" i="24"/>
  <c r="K4" i="24"/>
  <c r="M29" i="24"/>
  <c r="N29" i="24" s="1"/>
  <c r="K34" i="24" l="1"/>
  <c r="S34" i="24" s="1"/>
  <c r="M9" i="24"/>
  <c r="N9" i="24" s="1"/>
  <c r="K9" i="24"/>
  <c r="D10" i="52"/>
  <c r="E22" i="52"/>
  <c r="F22" i="52" s="1"/>
  <c r="G22" i="52" s="1"/>
  <c r="S27" i="24"/>
  <c r="E15" i="52"/>
  <c r="F15" i="52" s="1"/>
  <c r="G15" i="52" s="1"/>
  <c r="J20" i="24"/>
  <c r="E26" i="52"/>
  <c r="F26" i="52" s="1"/>
  <c r="G26" i="52" s="1"/>
  <c r="S33" i="24"/>
  <c r="S48" i="24" s="1"/>
  <c r="Z9" i="24"/>
  <c r="AC11" i="24"/>
  <c r="AC9" i="24" s="1"/>
  <c r="M34" i="24"/>
  <c r="N34" i="24" s="1"/>
  <c r="M33" i="24"/>
  <c r="N33" i="24" s="1"/>
  <c r="D26" i="52" l="1"/>
  <c r="K20" i="24"/>
  <c r="D4" i="7" s="1"/>
  <c r="V9" i="24"/>
  <c r="W9" i="24" s="1"/>
  <c r="E10" i="52"/>
  <c r="E33" i="52" s="1"/>
  <c r="S9" i="24"/>
  <c r="S20" i="24" s="1"/>
  <c r="K3" i="58" s="1"/>
  <c r="Z14" i="24"/>
  <c r="Z15" i="24" s="1"/>
  <c r="AC14" i="24"/>
  <c r="AC15" i="24" s="1"/>
  <c r="K48" i="24"/>
  <c r="M32" i="24"/>
  <c r="N32" i="24" s="1"/>
  <c r="M26" i="24"/>
  <c r="N26" i="24" s="1"/>
  <c r="F2" i="55" l="1"/>
  <c r="M20" i="24"/>
  <c r="F10" i="52"/>
  <c r="F33" i="52" s="1"/>
  <c r="K52" i="24"/>
  <c r="K53" i="24" s="1"/>
  <c r="K55" i="24" s="1"/>
  <c r="C6" i="58"/>
  <c r="C7" i="58"/>
  <c r="J48" i="24"/>
  <c r="G172" i="36"/>
  <c r="F171" i="36"/>
  <c r="F170" i="36"/>
  <c r="G167" i="36"/>
  <c r="F82" i="36"/>
  <c r="F2" i="36"/>
  <c r="F48" i="24"/>
  <c r="G10" i="52" l="1"/>
  <c r="G33" i="52" s="1"/>
  <c r="G2" i="55" s="1"/>
  <c r="C11" i="58"/>
  <c r="K54" i="24"/>
  <c r="J5" i="58"/>
  <c r="C19" i="58"/>
  <c r="C21" i="58" s="1"/>
  <c r="D7" i="7"/>
  <c r="M48" i="24"/>
  <c r="N48" i="24" s="1"/>
  <c r="P67" i="26"/>
  <c r="P68" i="26"/>
  <c r="P69" i="26"/>
  <c r="P70" i="26"/>
  <c r="P71" i="26"/>
  <c r="P66" i="26"/>
  <c r="P73" i="26" s="1"/>
  <c r="O67" i="26"/>
  <c r="O68" i="26"/>
  <c r="O69" i="26"/>
  <c r="O70" i="26"/>
  <c r="O71" i="26"/>
  <c r="O66" i="26"/>
  <c r="O73" i="26" s="1"/>
  <c r="N67" i="26"/>
  <c r="N68" i="26"/>
  <c r="N69" i="26"/>
  <c r="N70" i="26"/>
  <c r="N71" i="26"/>
  <c r="N66" i="26"/>
  <c r="N73" i="26" s="1"/>
  <c r="D72" i="26"/>
  <c r="E72" i="26"/>
  <c r="F72" i="26"/>
  <c r="G72" i="26"/>
  <c r="C72" i="26"/>
  <c r="D6" i="58" l="1"/>
  <c r="K2" i="58"/>
  <c r="I7" i="58" s="1"/>
  <c r="C37" i="58"/>
  <c r="C36" i="58"/>
  <c r="C30" i="58"/>
  <c r="C20" i="58"/>
  <c r="C23" i="58" s="1"/>
  <c r="H20" i="24"/>
  <c r="C39" i="26"/>
  <c r="C38" i="26"/>
  <c r="C37" i="26"/>
  <c r="B39" i="26"/>
  <c r="B38" i="26"/>
  <c r="B37" i="26"/>
  <c r="D37" i="26"/>
  <c r="I6" i="58" l="1"/>
  <c r="I5" i="58"/>
  <c r="K5" i="58" s="1"/>
  <c r="C28" i="58"/>
  <c r="N20" i="24"/>
  <c r="D8" i="7"/>
  <c r="K6" i="58" l="1"/>
  <c r="K7" i="58" s="1"/>
  <c r="L5" i="58"/>
  <c r="L8" i="58" s="1"/>
  <c r="C25" i="58" s="1"/>
  <c r="C26" i="58" s="1"/>
  <c r="D23" i="58"/>
  <c r="C29" i="58" l="1"/>
  <c r="D26" i="58"/>
</calcChain>
</file>

<file path=xl/sharedStrings.xml><?xml version="1.0" encoding="utf-8"?>
<sst xmlns="http://schemas.openxmlformats.org/spreadsheetml/2006/main" count="4198" uniqueCount="1371">
  <si>
    <t>Sr.No</t>
  </si>
  <si>
    <t>Function</t>
  </si>
  <si>
    <t xml:space="preserve">Total Amount </t>
  </si>
  <si>
    <t>A</t>
  </si>
  <si>
    <t>Hardware Cost + AMC</t>
  </si>
  <si>
    <t>B</t>
  </si>
  <si>
    <t>Software Cost</t>
  </si>
  <si>
    <t>Total Cost of Ownership (TCO).</t>
  </si>
  <si>
    <t>Assumptions/Consideration</t>
  </si>
  <si>
    <t>The product and services proposed in this BoM are proposed with OEM standard licenses policy and exclusive of any additional services or Add-Ons offer by the respective OEMs.</t>
  </si>
  <si>
    <t>Anything that is not mentioned in the proposal/commercial/BoQ/BoM submitted by ESDS at the time of finalization of PO, will not be delivered for whatsoever reason.</t>
  </si>
  <si>
    <t>In case client requires any new or additional item/service/license except what is mentioned in the proposal, will be charged at additional prices. Rates/Prices &amp; Scope for all such additional/new requirements over and above the BoM/BoQ/Proposal submitted at the time of finalization will be additional and such Rates/Prices &amp; Scope will be submitted to client based on the actual requirement</t>
  </si>
  <si>
    <t>For any such additional item or service required over and above the the BoM/BoQ/Proposal submitted at the time of finalization, client will have to either raise PO or Confirm over email with acceptance to the new requirement and its applicable charges submitted by ESDS post receiving the additional requirement.</t>
  </si>
  <si>
    <t>As per the discussion with the Amnex regarding security services, ESDS will only provide Firewall and Antivirus services. If any additional security services mentioned in the RFP are required, they will be managed by Amnex.</t>
  </si>
  <si>
    <t>In the event of an increase/decrease in the number of resources, additional charges will apply for the adjusted quantities.</t>
  </si>
  <si>
    <t>Any component or service not specified in the BOM/Commercials is beyond the scope of ESDS.</t>
  </si>
  <si>
    <t>The product and services proposed in this BoM are proposed with OEM standard licenses policy and exclusive of any additional services or add-Ons offer by the respective OEMs.</t>
  </si>
  <si>
    <t>Detailed Summary of Overall Cost</t>
  </si>
  <si>
    <t>S.no</t>
  </si>
  <si>
    <t>Type</t>
  </si>
  <si>
    <t>Class/Type  of Infrastructure/Function</t>
  </si>
  <si>
    <t>Quantity</t>
  </si>
  <si>
    <t>Year 1</t>
  </si>
  <si>
    <t>Year 2</t>
  </si>
  <si>
    <t>Year 3</t>
  </si>
  <si>
    <t>Year 4</t>
  </si>
  <si>
    <t>Year 5</t>
  </si>
  <si>
    <t>Total (without tax)</t>
  </si>
  <si>
    <t>Tax Amount</t>
  </si>
  <si>
    <t>Total With Tax</t>
  </si>
  <si>
    <t>A.</t>
  </si>
  <si>
    <t xml:space="preserve"> Managed Services (Domain &amp; Corss Functional Services) Cost</t>
  </si>
  <si>
    <t>Server Management</t>
  </si>
  <si>
    <t>Servers</t>
  </si>
  <si>
    <t>High Level</t>
  </si>
  <si>
    <t>Mid-Level</t>
  </si>
  <si>
    <t>Entry Level</t>
  </si>
  <si>
    <t>Storage Management</t>
  </si>
  <si>
    <t>Storage</t>
  </si>
  <si>
    <t>Enterprise</t>
  </si>
  <si>
    <t>Modular</t>
  </si>
  <si>
    <t>SAN Switches</t>
  </si>
  <si>
    <t>SAN Swicthes</t>
  </si>
  <si>
    <t>Backup and restore Services</t>
  </si>
  <si>
    <t>Backup Device</t>
  </si>
  <si>
    <t>Tape Library</t>
  </si>
  <si>
    <t>Database Management</t>
  </si>
  <si>
    <t>Database</t>
  </si>
  <si>
    <t>Critical Applications- production Environment</t>
  </si>
  <si>
    <t>Non Critical Applications- Production Environment</t>
  </si>
  <si>
    <t>Non Production Environment</t>
  </si>
  <si>
    <t>Network Management</t>
  </si>
  <si>
    <t>Networks</t>
  </si>
  <si>
    <t>Routers,L3 Switches,L2 Switches etc,load balancers</t>
  </si>
  <si>
    <t>Sub Total- Managed Services Cost (A)</t>
  </si>
  <si>
    <t>EMS Cost</t>
  </si>
  <si>
    <t>EMS Modules</t>
  </si>
  <si>
    <t>Product name &amp; version</t>
  </si>
  <si>
    <t>License Type</t>
  </si>
  <si>
    <t>No. of Licenses</t>
  </si>
  <si>
    <t>Data Base Management</t>
  </si>
  <si>
    <t>Backup</t>
  </si>
  <si>
    <t>SLA Management Module</t>
  </si>
  <si>
    <t>Asset and Configuration Management Database (CMDB)</t>
  </si>
  <si>
    <t>Service Level Management</t>
  </si>
  <si>
    <t>Incident Management</t>
  </si>
  <si>
    <t>Problem Management</t>
  </si>
  <si>
    <t>Change Management</t>
  </si>
  <si>
    <t>Patch Management</t>
  </si>
  <si>
    <t>Performance Management</t>
  </si>
  <si>
    <t>any other , please specify*</t>
  </si>
  <si>
    <t>Sub Total- EMS Cost (B)</t>
  </si>
  <si>
    <t>D.</t>
  </si>
  <si>
    <t>Infrastructure Cost for EMS Tools</t>
  </si>
  <si>
    <t>S.No</t>
  </si>
  <si>
    <t>Hardware/Software Type</t>
  </si>
  <si>
    <t>Configuration</t>
  </si>
  <si>
    <t>Quantity required (to be filled by Bidder)</t>
  </si>
  <si>
    <t>Per Unit Price (Fixed)</t>
  </si>
  <si>
    <t>Server</t>
  </si>
  <si>
    <t>2 CPU, Quad Core, 32 GB RAM,</t>
  </si>
  <si>
    <t>Enterprise Storage</t>
  </si>
  <si>
    <t>OS</t>
  </si>
  <si>
    <t>Enterprise Version</t>
  </si>
  <si>
    <t>Enterprise Edition</t>
  </si>
  <si>
    <t>Sub-  Infrastructure Cost for EMS &amp; Helpdesk  (D)</t>
  </si>
  <si>
    <t>E.</t>
  </si>
  <si>
    <t>Performance Assessment Cost</t>
  </si>
  <si>
    <t>Performance Assessment</t>
  </si>
  <si>
    <t>Frequency</t>
  </si>
  <si>
    <r>
      <t xml:space="preserve">Performance Analysis for systems – </t>
    </r>
    <r>
      <rPr>
        <sz val="11"/>
        <rFont val="Calibri"/>
        <family val="2"/>
        <scheme val="minor"/>
      </rPr>
      <t>Server OEM</t>
    </r>
  </si>
  <si>
    <t xml:space="preserve">Quarterly </t>
  </si>
  <si>
    <r>
      <t xml:space="preserve">Storage Assessment Service  - </t>
    </r>
    <r>
      <rPr>
        <sz val="11"/>
        <rFont val="Calibri"/>
        <family val="2"/>
        <scheme val="minor"/>
      </rPr>
      <t>Storage OEM</t>
    </r>
  </si>
  <si>
    <t xml:space="preserve">Bi-Annual </t>
  </si>
  <si>
    <r>
      <t xml:space="preserve">Backup Assessment Service  - </t>
    </r>
    <r>
      <rPr>
        <sz val="11"/>
        <rFont val="Calibri"/>
        <family val="2"/>
        <scheme val="minor"/>
      </rPr>
      <t>Storage/Backup OEM</t>
    </r>
  </si>
  <si>
    <t>Database Performance Assessment Services</t>
  </si>
  <si>
    <t>Sub Total- Performance Assessment Cost ( E)</t>
  </si>
  <si>
    <t>Total (A)+(B)+C)+(D)+( E)</t>
  </si>
  <si>
    <t>QRadar Network Insights 1920 specifications</t>
  </si>
  <si>
    <t>Requirement</t>
  </si>
  <si>
    <t>Details</t>
  </si>
  <si>
    <t>Remarks</t>
  </si>
  <si>
    <t>CPU</t>
  </si>
  <si>
    <t>2 x Gold 6354 18 C 3.0 GHz 205 W</t>
  </si>
  <si>
    <t>https://www.ibm.com/docs/en/qsip/7.5?topic=overview-qradar-network-insights-1920-m7-appliance</t>
  </si>
  <si>
    <t>Network capture transceivers</t>
  </si>
  <si>
    <t>4 x 1 Gb TX Copper SFP transceivers Finisar FCLF8522P2BTL-IG</t>
  </si>
  <si>
    <t>4 x 1 Gb SX SFP transceivers Finisar FCLF8519P3BNL-IG</t>
  </si>
  <si>
    <t>4 x 10 Gb SR SFP+ transceivers Finisar FCLF8574D3BCL-IG</t>
  </si>
  <si>
    <t>Use these transceivers with the network packet capture card, labeled as [5] in the appliance diagram.</t>
  </si>
  <si>
    <t>Network management transceivers</t>
  </si>
  <si>
    <t>Lenovo Dual Rate 10G/25G SFP28 Transceiver,</t>
  </si>
  <si>
    <t>The transceivers has the following part numbers: AFBR-735ASMZ-LVX</t>
  </si>
  <si>
    <t>Use these transceivers with the management ports, labeled as [4] in the appliance diagram</t>
  </si>
  <si>
    <t>Ports</t>
  </si>
  <si>
    <t>4-port 1 GbE TX OCP</t>
  </si>
  <si>
    <t>2-port 10/25 GbE SFP28</t>
  </si>
  <si>
    <t>4 x Network capture (SFP+) ports</t>
  </si>
  <si>
    <t>1 x 1 GbE RJ-45 Ethernet systems management IPMI (XCC) port</t>
  </si>
  <si>
    <t>480 GB: 2 x 480 GB 2.5” SSD RAID 1</t>
  </si>
  <si>
    <t>Controller: RAID 540-8i</t>
  </si>
  <si>
    <t>Memory</t>
  </si>
  <si>
    <t>256 GB (8 x 32 GB)</t>
  </si>
  <si>
    <t>Traffic</t>
  </si>
  <si>
    <t>10 Gbps</t>
  </si>
  <si>
    <t>Power supply</t>
  </si>
  <si>
    <t>Dual redundant 1100 W AC power supply</t>
  </si>
  <si>
    <t>Dimensions</t>
  </si>
  <si>
    <t>30.1 inches deep x 17.5 inches wide x 3.4 inches high</t>
  </si>
  <si>
    <t>Note:</t>
  </si>
  <si>
    <t>NBAD is appliance based tap/span/port mirroring done by IBM hardware which is known as QNI. and it typically requires Throughput information from Point of capture (such as router, switches, firewall) to identify North-South and/or East-West (vice versa) packet traffic and is converted to qflow and sent to Flow processor. Since we do not have throughput information right now, we can take 10 Gbps as ball park and suggest 1920 QNI Appliance.</t>
  </si>
  <si>
    <t>PIM users - 50</t>
  </si>
  <si>
    <t>Description</t>
  </si>
  <si>
    <t>PAM Application Server(User will connect to PAM Server to access any devices)</t>
  </si>
  <si>
    <t>PAM Database Server (Privilege credentials will be stored in database in encrypted manner)</t>
  </si>
  <si>
    <t>PAM Distributed engine(optional)</t>
  </si>
  <si>
    <t>No of VM</t>
  </si>
  <si>
    <t>3(considering HA + DR)</t>
  </si>
  <si>
    <t>3(Considering HA + DR)</t>
  </si>
  <si>
    <t>Operating System</t>
  </si>
  <si>
    <t>Windows Server</t>
  </si>
  <si>
    <t>Windows</t>
  </si>
  <si>
    <t>VCPU</t>
  </si>
  <si>
    <t>RAM</t>
  </si>
  <si>
    <t>HDD</t>
  </si>
  <si>
    <t>Required Component</t>
  </si>
  <si>
    <t>IIS</t>
  </si>
  <si>
    <t>Microsoft SQL Standard Database </t>
  </si>
  <si>
    <t>DC</t>
  </si>
  <si>
    <t>DR</t>
  </si>
  <si>
    <t>EPS - 5000</t>
  </si>
  <si>
    <t>https://www.ibm.com/docs/en/qsip/7.5?topic=vai-requirements</t>
  </si>
  <si>
    <t>Application</t>
  </si>
  <si>
    <t>Location</t>
  </si>
  <si>
    <t>Solution Component</t>
  </si>
  <si>
    <t>VM Qty</t>
  </si>
  <si>
    <t>HA (Optional)</t>
  </si>
  <si>
    <t>Peak EPS/FPM</t>
  </si>
  <si>
    <t>Core</t>
  </si>
  <si>
    <t>P/VM</t>
  </si>
  <si>
    <t>Virtualization</t>
  </si>
  <si>
    <t>(in GB)</t>
  </si>
  <si>
    <t>(in TB)</t>
  </si>
  <si>
    <t>SIEM</t>
  </si>
  <si>
    <t>Console</t>
  </si>
  <si>
    <t>yes</t>
  </si>
  <si>
    <t>Included</t>
  </si>
  <si>
    <t>30K EPS &amp; 1000K FPM</t>
  </si>
  <si>
    <t>V</t>
  </si>
  <si>
    <t>VMWare/Hyperv/KVM</t>
  </si>
  <si>
    <t>App Host</t>
  </si>
  <si>
    <t>Yes</t>
  </si>
  <si>
    <t>NA</t>
  </si>
  <si>
    <t>S.No.</t>
  </si>
  <si>
    <t>Solution</t>
  </si>
  <si>
    <t>Qty - DC</t>
  </si>
  <si>
    <t>Virtual CPU - Minimum</t>
  </si>
  <si>
    <t>Virtual RAM - Minimum</t>
  </si>
  <si>
    <t>OS &amp; App Storage</t>
  </si>
  <si>
    <t>HA</t>
  </si>
  <si>
    <t>Type (Physical / VM)</t>
  </si>
  <si>
    <t>OS Version</t>
  </si>
  <si>
    <t>Interface</t>
  </si>
  <si>
    <t>IoPs</t>
  </si>
  <si>
    <t>Master Nodes</t>
  </si>
  <si>
    <t>Virtual</t>
  </si>
  <si>
    <t>inbuilt</t>
  </si>
  <si>
    <t>VM</t>
  </si>
  <si>
    <t>RHEL CoreOS</t>
  </si>
  <si>
    <t>Worker Nodes - UAX</t>
  </si>
  <si>
    <t>HAProxy Load Balancer 2</t>
  </si>
  <si>
    <t>RHEL</t>
  </si>
  <si>
    <t>Preferable is a physical loadbalancer.</t>
  </si>
  <si>
    <t>Kubernetes Persistent Storage</t>
  </si>
  <si>
    <t>10 IOPS/GB</t>
  </si>
  <si>
    <t>https://www.ibm.com/docs/en/cloud-paks/cp-security/1.10?topic=planning-storage-requirements</t>
  </si>
  <si>
    <t>Bastion Node</t>
  </si>
  <si>
    <t>Edge Gateway</t>
  </si>
  <si>
    <t>Total</t>
  </si>
  <si>
    <t>Qty - DR</t>
  </si>
  <si>
    <t>Finance Cost</t>
  </si>
  <si>
    <t xml:space="preserve">Gross Profit Margin - Hardware </t>
  </si>
  <si>
    <t xml:space="preserve">Gross Profit Margin - Software </t>
  </si>
  <si>
    <t>Sr.No.</t>
  </si>
  <si>
    <t>Product</t>
  </si>
  <si>
    <t>Discription</t>
  </si>
  <si>
    <t>Qty</t>
  </si>
  <si>
    <t>Input Cost One Time + 3Y AMC</t>
  </si>
  <si>
    <t>Gross Profit Margin</t>
  </si>
  <si>
    <t xml:space="preserve">TOTAL AMOUNT </t>
  </si>
  <si>
    <t>With GST</t>
  </si>
  <si>
    <t>N</t>
  </si>
  <si>
    <t>Physical Server</t>
  </si>
  <si>
    <t>ThinkAgile HX630 V3 Base</t>
  </si>
  <si>
    <t>ThinkAgile HX650 V3 Base</t>
  </si>
  <si>
    <t>Service</t>
  </si>
  <si>
    <t>Total Hardware Cost</t>
  </si>
  <si>
    <t>Software</t>
  </si>
  <si>
    <t>Acropolis Hypervisor</t>
  </si>
  <si>
    <t>Win Server Standard Core SLng LSA OLV 16L NL 3Y Aq Y1 AP</t>
  </si>
  <si>
    <t>Migration charges</t>
  </si>
  <si>
    <t>Total Software and Services Cost</t>
  </si>
  <si>
    <t>Product description</t>
  </si>
  <si>
    <t>Component Description</t>
  </si>
  <si>
    <t>Component Quantity</t>
  </si>
  <si>
    <t>ThinkAgile HX630 V3 Certified Node</t>
  </si>
  <si>
    <t>1</t>
  </si>
  <si>
    <t/>
  </si>
  <si>
    <t>Data Center Environment 30 Degree Celsius / 86 Degree Fahrenheit</t>
  </si>
  <si>
    <t>XClarity Pro</t>
  </si>
  <si>
    <t>Nutanix SW Stack on Nutanix AHV</t>
  </si>
  <si>
    <t>3 Years</t>
  </si>
  <si>
    <t>ThinkAgile HX Remote Deployment</t>
  </si>
  <si>
    <t>None</t>
  </si>
  <si>
    <t>Intel Xeon Gold 6542Y 24C 250W 2.9GHz Processor</t>
  </si>
  <si>
    <t>2</t>
  </si>
  <si>
    <t>ThinkSystem 64GB TruDDR5 5600MHz (2Rx4) RDIMM</t>
  </si>
  <si>
    <t>16</t>
  </si>
  <si>
    <t>ThinkSystem 1U 10x2.5" NVMe Backplane</t>
  </si>
  <si>
    <t>Nutanix Flash Node Config</t>
  </si>
  <si>
    <t>ThinkSystem 2.5" U.2 Solidigm P5520 7.68TB Read Intensive NVMe PCIe 4.0 x4 HS SSD</t>
  </si>
  <si>
    <t>6</t>
  </si>
  <si>
    <t>ThinkSystem M.2 NVMe 2-Bay RAID Adapter</t>
  </si>
  <si>
    <t>M.2 NVMe</t>
  </si>
  <si>
    <t>ThinkSystem M.2 7450 PRO 960GB Read Intensive NVMe PCIe 4.0 x4 NHS SSD</t>
  </si>
  <si>
    <t>ThinkSystem Broadcom 57414 10/25GbE SFP28 2-Port OCP Ethernet Adapter</t>
  </si>
  <si>
    <t>SFP+ SR Transceiver</t>
  </si>
  <si>
    <t>ThinkSystem V3 1U x16/x16 BF PCIe Gen5 Riser1</t>
  </si>
  <si>
    <t>ThinkSystem V3 1U LP+FH BF Riser Cage</t>
  </si>
  <si>
    <t>ThinkSystem 1100W 230V/115V Platinum Hot-Swap Gen2 Power Supply v3</t>
  </si>
  <si>
    <t>2.8m, 10A/250V, C13(2P+Gnd) (India) Line Cord</t>
  </si>
  <si>
    <t>ThinkSystem Toolless Slide Rail Kit v2</t>
  </si>
  <si>
    <t>ThinkSystem 1U V3 10x2.5" Media Bay w/ Ext. Diagnostics Port</t>
  </si>
  <si>
    <t>ThinkSystem V3 1U Performance Fan Option Kit v2</t>
  </si>
  <si>
    <t>8</t>
  </si>
  <si>
    <t>Enable System Guard</t>
  </si>
  <si>
    <t>ThinkSystem 1U Intrusion Cable</t>
  </si>
  <si>
    <t>TPM 2.0</t>
  </si>
  <si>
    <t>Enable IPMI-over-LAN</t>
  </si>
  <si>
    <t>ThinkSystem SR630 V3 MB</t>
  </si>
  <si>
    <t>SR630 V3 Laser service indicator</t>
  </si>
  <si>
    <t>Trigger MFG to scan the SN from the CPU Board via this MI</t>
  </si>
  <si>
    <t>MI for PXE with RJ45 Network port</t>
  </si>
  <si>
    <t>Node Cores</t>
  </si>
  <si>
    <t>48</t>
  </si>
  <si>
    <t>Node Tebibytes</t>
  </si>
  <si>
    <t>42</t>
  </si>
  <si>
    <t>Preload by Hardware Feature Specify</t>
  </si>
  <si>
    <t>Select Storage devices - no configured RAID required</t>
  </si>
  <si>
    <t>XCC Platinum</t>
  </si>
  <si>
    <t>High voltage (200V+)</t>
  </si>
  <si>
    <t>ThinkSystem 1U 10x2.5" NVMe HDD Type Label</t>
  </si>
  <si>
    <t>ThinkSystem WW Lenovo LPK</t>
  </si>
  <si>
    <t>ThinkAgile SR630 V3 Agency Label</t>
  </si>
  <si>
    <t>ThinkSystem Response time Service Label LI</t>
  </si>
  <si>
    <t>ThinkSystem 1100W Pt Power Rating Label WW</t>
  </si>
  <si>
    <t>XCC Label</t>
  </si>
  <si>
    <t>Package Label for India (MRP Label)</t>
  </si>
  <si>
    <t>ThinkSystem small Lenovo Label for 24x2.5"/12x3.5"/10x2.5"</t>
  </si>
  <si>
    <t>ThinkSystem SR645 V3 M.2 Signal &amp; Power Cable, SLx4 with 2X10/1X6 sideband, 730/300/250mm</t>
  </si>
  <si>
    <t>ThinkSystem SR630 V3 MCIO8x 3in1 flat PCIe4 Cable from PCIe3/4/5 to 10AnyBay</t>
  </si>
  <si>
    <t>ThinkSystem SR630 V3 MCIO8x flat 2in1 PCIe4 Cable from PCIe1/2 to 10AnyBay</t>
  </si>
  <si>
    <t>ThinkSystem SR630 V2 10x2.5" BP Power Cable v2</t>
  </si>
  <si>
    <t>N+N Redundancy With Over-Subscription</t>
  </si>
  <si>
    <t>ThinkAgile EIA Plate logo Label</t>
  </si>
  <si>
    <t>HX All-NVMe configuration</t>
  </si>
  <si>
    <t>ThinkSystem MCC CPU Clip</t>
  </si>
  <si>
    <t>ThinkSystem V2 1U Package</t>
  </si>
  <si>
    <t>ThinkAgile HX630 V3 CN</t>
  </si>
  <si>
    <t>ThinkSystem SR630 V3 Firmware and Root of Trust Security Module v2</t>
  </si>
  <si>
    <t>ThinkSystem 1U PLV Top Cover Sponge</t>
  </si>
  <si>
    <t>ThinkAgile SR630 V3 Service Label - WW</t>
  </si>
  <si>
    <t>HX Badge 1</t>
  </si>
  <si>
    <t>ThinkAgile HX630 V3 - Nutanix IP</t>
  </si>
  <si>
    <t>ThinkSystem SR630 V3 Performance Heatsink</t>
  </si>
  <si>
    <t>Nutanix Solution Code MFG Instruction</t>
  </si>
  <si>
    <t>HX First Power-On Label</t>
  </si>
  <si>
    <t>ThinkSystem 1x1 2.5" HDD Filler</t>
  </si>
  <si>
    <t>4</t>
  </si>
  <si>
    <t>Lenovo ThinkSystem 1U VGA Filler</t>
  </si>
  <si>
    <t>Lenovo ThinkSystem Memory Dummy</t>
  </si>
  <si>
    <t>ThinkSystem 1U Super Cap Holder Dummy</t>
  </si>
  <si>
    <t>XClarity Controller Platin-FOD</t>
  </si>
  <si>
    <t>Lenovo XClarity XCC2 Platinum Upgrade (FOD)</t>
  </si>
  <si>
    <t>XClarity Pro, Per Endpoint w/5 Yr SW S&amp;S</t>
  </si>
  <si>
    <t>Lenovo XClarity Pro, Per Managed Endpoint w/3 Yr SW S&amp;S</t>
  </si>
  <si>
    <t>Registration only</t>
  </si>
  <si>
    <t>3Yr Premier 24x7 4Hr Resp ThinkAgile CN HX630 V3</t>
  </si>
  <si>
    <t>3Yr KYD Add-On ThinkAgile CN HX630 V3</t>
  </si>
  <si>
    <t>Hardware Installation Standard Server (Business Hours)</t>
  </si>
  <si>
    <t>ThinkAgile HX Remote Deployment (up to 3 node cluster)</t>
  </si>
  <si>
    <t>ThinkSystem External USB DVD-RW Optical Disk Drive</t>
  </si>
  <si>
    <t>ThinkAgile HX650 V3 Certified Node-HX</t>
  </si>
  <si>
    <t>3</t>
  </si>
  <si>
    <t>ThinkAgile HX Onsite Deployment</t>
  </si>
  <si>
    <t>24</t>
  </si>
  <si>
    <t>ThinkSystem 2U/4U 8x2.5" NVMe Backplane</t>
  </si>
  <si>
    <t>ThinkSystem Broadcom 57416 10GBASE-T 2-port OCP Ethernet Adapter</t>
  </si>
  <si>
    <t>ThinkSystem Broadcom 57414 10/25GbE SFP28 2-port PCIe Ethernet Adapter</t>
  </si>
  <si>
    <t>ThinkSystem V3 2U x16/x16/E PCIe Gen5 Riser1 or 2</t>
  </si>
  <si>
    <t>ThinkSystem V3 2U x16/x8/x8 PCIe Gen4 Riser1 or 2</t>
  </si>
  <si>
    <t>ThinkSystem 2U V3 EIA Latch Standard</t>
  </si>
  <si>
    <t>ThinkSystem 2U V3 Performance Fan Module</t>
  </si>
  <si>
    <t>ThinkSystem SR650 V3 MB</t>
  </si>
  <si>
    <t>SR650 V3 Laser service indicator</t>
  </si>
  <si>
    <t>56</t>
  </si>
  <si>
    <t>ThinkSystem SR650 V3 MCIO8x to SL8x CBL, PCIe4, 8x2.5AnyBay, 200mm</t>
  </si>
  <si>
    <t>ThinkSystem SR650 V3 Swift8x to SL8x CBL from SWIFT 4/3 to BP2, 320mm</t>
  </si>
  <si>
    <t>ThinkSystem 2U V3 M.2 Signal &amp; Power Cable, SLx4 with 2X10/1X6 Sideband, 330/267/267mm</t>
  </si>
  <si>
    <t>ThinkSystem SR650 V3 MCIO8x to SL8x CBL, PCIe4, 8x2.5AnyBay, 160mm</t>
  </si>
  <si>
    <t>ThinkSystem V3 2U Power Cable from MB to Front 2.5" BP v2</t>
  </si>
  <si>
    <t>ThinkSystem SR650 V3 Swift8x to SL8x CBL, PCIe4， PCIe5/6-BP2, 250mm</t>
  </si>
  <si>
    <t>G4 x16/x8/x8 PCIe Riser BLKL for Riser 2 Placement</t>
  </si>
  <si>
    <t>G5 x16/x16/E PCIe Riser BPQV for Riser 1 Placement</t>
  </si>
  <si>
    <t>ThinkSystem V4 2U Standard Heatsink</t>
  </si>
  <si>
    <t>ThinkAgile SR650 V3 Agency Label</t>
  </si>
  <si>
    <t>ThinkAgile SR650 V3 Service Label - WW</t>
  </si>
  <si>
    <t>ThinkSystem 2U V3 EIA right with FIO</t>
  </si>
  <si>
    <t>ThinkSystem 2U Main Air Duct</t>
  </si>
  <si>
    <t>Right EIA with FIO assembly</t>
  </si>
  <si>
    <t>ThinkSystem 2U MS 3FH Riser 1&amp;2 Cage w/ lbl2</t>
  </si>
  <si>
    <t>ThinkSystem 2U MS 24x2.5" NVMe HDD Type Label1</t>
  </si>
  <si>
    <t>ThinkSystem HV 2U WW General PKG BOM</t>
  </si>
  <si>
    <t>ThinkSystem SR650 V3 Firmware and Root of Trust Security Module v2</t>
  </si>
  <si>
    <t>ThinkSystem SR650 V3 PSU Duct</t>
  </si>
  <si>
    <t>ThinkAgile HX650 V3 - Nutanix IP</t>
  </si>
  <si>
    <t>ThinkSystem 2U MS 3FH Riser 1&amp;2 Cage w/Label1</t>
  </si>
  <si>
    <t>MS 2FH Riser Filler</t>
  </si>
  <si>
    <t>ThinkAgile HX650 V3 CN</t>
  </si>
  <si>
    <t>ThinkSystem 4x1 2.5" HDD Filler</t>
  </si>
  <si>
    <t>ThinkSystem 8x1 2.5" HDD Filler</t>
  </si>
  <si>
    <t>XClarity Pro, Per Endpoint w/3 Yr SW S&amp;S</t>
  </si>
  <si>
    <t>3Yr Premier 24x7 4Hr Resp ThinkAgile CN HX650 V3</t>
  </si>
  <si>
    <t>ThinkAgile HX Onsite Deployment (up to 3 node cluster)</t>
  </si>
  <si>
    <t>2.8m, 13A/100-250V, C13 to C14 Jumper Cord</t>
  </si>
  <si>
    <t>Extended 2Y HW support &amp; 2Y Nutanix License - HX 630 Node</t>
  </si>
  <si>
    <t>Extended 2Y HW support &amp; 2Y Nutanix License - HX 650 Node</t>
  </si>
  <si>
    <t>Nutanix License</t>
  </si>
  <si>
    <t>Cores</t>
  </si>
  <si>
    <t>Nutanix Cloud Infrastructure Pro, Production Support Per Core</t>
  </si>
  <si>
    <t>Nutanix Cloud Manager Starter, Production Support Per Core</t>
  </si>
  <si>
    <t>Nested In</t>
  </si>
  <si>
    <t>Unit Price</t>
  </si>
  <si>
    <t>Total Price</t>
  </si>
  <si>
    <t>9</t>
  </si>
  <si>
    <t>Total in INR</t>
  </si>
  <si>
    <t>1920 Network Insights (QNI) Appliance M7 </t>
  </si>
  <si>
    <t>Partcode</t>
  </si>
  <si>
    <t>Renewal</t>
  </si>
  <si>
    <t>License Quantity</t>
  </si>
  <si>
    <t>D0DJ5ZX</t>
  </si>
  <si>
    <t>E0DJ4ZX</t>
  </si>
  <si>
    <t>IBM QRadar Network Insights Appliance 1920 G3 Appliance Install Appliance + Subscription and Support 12 Months</t>
  </si>
  <si>
    <t>1 Qty QNI 1920 Appliance</t>
  </si>
  <si>
    <t>D0DJ7ZX</t>
  </si>
  <si>
    <t>E0DJ8ZX</t>
  </si>
  <si>
    <t>IBM QRadar Network Insights Appliance 1920 G3 Appliance Install Initial Appliance Business Critical Service Upgrade 12 Months</t>
  </si>
  <si>
    <t>Business Critical Service</t>
  </si>
  <si>
    <t>D0DJ9ZX</t>
  </si>
  <si>
    <t>E0DJAZX</t>
  </si>
  <si>
    <t>IBM QRadar Network Insights Appliance 1920 G3 Appliance Install Initial Appliance Hard Drive Retention Service Upgrade 12 Months</t>
  </si>
  <si>
    <t>Hard Drive Retention Service</t>
  </si>
  <si>
    <t>Part Code</t>
  </si>
  <si>
    <t>D0AE4ZX</t>
  </si>
  <si>
    <t>E0AE3ZX</t>
  </si>
  <si>
    <t>IBM Security QRadar Suite Software 100 Resource Unit License + Subscription &amp; Support 12 Months</t>
  </si>
  <si>
    <t>Qradar NDR</t>
  </si>
  <si>
    <t>D0AEIZX</t>
  </si>
  <si>
    <t>E0AEHZX       </t>
  </si>
  <si>
    <t>IBM Security QRadar Suite Software Disaster Recovery 100 Resource Unit License + SW Subscription &amp; Support 12 Months</t>
  </si>
  <si>
    <t xml:space="preserve">8.9        Payment Terms &amp; Milestones: </t>
  </si>
  <si>
    <t xml:space="preserve">a. Payment shall be made on completion of each Milestone and would be at the discretion of IBPS within one month on submission of invoice. </t>
  </si>
  <si>
    <t xml:space="preserve">b. Listed below Table consist of the activities and timelines for Completion of Milestones.   </t>
  </si>
  <si>
    <t xml:space="preserve">c. Payment shall only be made after satisfactory completion of issued Milestone / submission of report / delivery of items &amp; licenses and due certification to the effect by IBPS.  </t>
  </si>
  <si>
    <t xml:space="preserve">Each Bill shall be accompanied with the following information: </t>
  </si>
  <si>
    <t xml:space="preserve">a. Work done satisfactory certificates signed jointly by IBPS and the System Integrator. </t>
  </si>
  <si>
    <t xml:space="preserve">b. Submission of Invoice </t>
  </si>
  <si>
    <t xml:space="preserve">c. 40% Payment shall be made to the System Integrator after completion of Milestone 1, and with software licence with other necessary components delivered at DR Site shall be mentioned in the Purchase Order issued.  </t>
  </si>
  <si>
    <t xml:space="preserve">d. 50% Payment shall be made on completion of Milestone 2 and after acceptance sign-off from IBPS.  </t>
  </si>
  <si>
    <t xml:space="preserve">e. Post completion of Milestone 3, Balance amount of 10% will be released after six (6) months of acceptance sign-off from IBPS and solution implemented working smoothly. </t>
  </si>
  <si>
    <r>
      <rPr>
        <sz val="12"/>
        <color rgb="FF000000"/>
        <rFont val="Times New Roman"/>
        <family val="1"/>
      </rPr>
      <t>S</t>
    </r>
    <r>
      <rPr>
        <sz val="12"/>
        <color rgb="FF000000"/>
        <rFont val="Times New Roman"/>
        <family val="1"/>
      </rPr>
      <t xml:space="preserve">r
</t>
    </r>
    <r>
      <rPr>
        <sz val="12"/>
        <color rgb="FF000000"/>
        <rFont val="Times New Roman"/>
        <family val="1"/>
      </rPr>
      <t>N</t>
    </r>
    <r>
      <rPr>
        <sz val="12"/>
        <color rgb="FF000000"/>
        <rFont val="Times New Roman"/>
        <family val="1"/>
      </rPr>
      <t>o</t>
    </r>
    <r>
      <rPr>
        <sz val="12"/>
        <color rgb="FF000000"/>
        <rFont val="Times New Roman"/>
        <family val="1"/>
      </rPr>
      <t>.</t>
    </r>
  </si>
  <si>
    <r>
      <rPr>
        <sz val="12"/>
        <color rgb="FF000000"/>
        <rFont val="Times New Roman"/>
        <family val="1"/>
      </rPr>
      <t>A</t>
    </r>
    <r>
      <rPr>
        <sz val="12"/>
        <color rgb="FF000000"/>
        <rFont val="Times New Roman"/>
        <family val="1"/>
      </rPr>
      <t>c</t>
    </r>
    <r>
      <rPr>
        <sz val="12"/>
        <color rgb="FF000000"/>
        <rFont val="Times New Roman"/>
        <family val="1"/>
      </rPr>
      <t>t</t>
    </r>
    <r>
      <rPr>
        <sz val="12"/>
        <color rgb="FF000000"/>
        <rFont val="Times New Roman"/>
        <family val="1"/>
      </rPr>
      <t>i</t>
    </r>
    <r>
      <rPr>
        <sz val="12"/>
        <color rgb="FF000000"/>
        <rFont val="Times New Roman"/>
        <family val="1"/>
      </rPr>
      <t>v</t>
    </r>
    <r>
      <rPr>
        <sz val="12"/>
        <color rgb="FF000000"/>
        <rFont val="Times New Roman"/>
        <family val="1"/>
      </rPr>
      <t>i</t>
    </r>
    <r>
      <rPr>
        <sz val="12"/>
        <color rgb="FF000000"/>
        <rFont val="Times New Roman"/>
        <family val="1"/>
      </rPr>
      <t>t</t>
    </r>
    <r>
      <rPr>
        <sz val="12"/>
        <color rgb="FF000000"/>
        <rFont val="Times New Roman"/>
        <family val="1"/>
      </rPr>
      <t>y</t>
    </r>
  </si>
  <si>
    <r>
      <rPr>
        <sz val="12"/>
        <color rgb="FF000000"/>
        <rFont val="Times New Roman"/>
        <family val="1"/>
      </rPr>
      <t>T</t>
    </r>
    <r>
      <rPr>
        <sz val="12"/>
        <color rgb="FF000000"/>
        <rFont val="Times New Roman"/>
        <family val="1"/>
      </rPr>
      <t>i</t>
    </r>
    <r>
      <rPr>
        <sz val="12"/>
        <color rgb="FF000000"/>
        <rFont val="Times New Roman"/>
        <family val="1"/>
      </rPr>
      <t>m</t>
    </r>
    <r>
      <rPr>
        <sz val="12"/>
        <color rgb="FF000000"/>
        <rFont val="Times New Roman"/>
        <family val="1"/>
      </rPr>
      <t>e</t>
    </r>
    <r>
      <rPr>
        <sz val="12"/>
        <color rgb="FF000000"/>
        <rFont val="Times New Roman"/>
        <family val="1"/>
      </rPr>
      <t>li</t>
    </r>
    <r>
      <rPr>
        <sz val="12"/>
        <color rgb="FF000000"/>
        <rFont val="Times New Roman"/>
        <family val="1"/>
      </rPr>
      <t>n</t>
    </r>
    <r>
      <rPr>
        <sz val="12"/>
        <color rgb="FF000000"/>
        <rFont val="Times New Roman"/>
        <family val="1"/>
      </rPr>
      <t>e</t>
    </r>
    <r>
      <rPr>
        <sz val="12"/>
        <color rgb="FF000000"/>
        <rFont val="Times New Roman"/>
        <family val="1"/>
      </rPr>
      <t xml:space="preserve"> </t>
    </r>
    <r>
      <rPr>
        <sz val="12"/>
        <color rgb="FF000000"/>
        <rFont val="Times New Roman"/>
        <family val="1"/>
      </rPr>
      <t>t</t>
    </r>
    <r>
      <rPr>
        <sz val="12"/>
        <color rgb="FF000000"/>
        <rFont val="Times New Roman"/>
        <family val="1"/>
      </rPr>
      <t>o</t>
    </r>
    <r>
      <rPr>
        <sz val="12"/>
        <color rgb="FF000000"/>
        <rFont val="Times New Roman"/>
        <family val="1"/>
      </rPr>
      <t xml:space="preserve"> </t>
    </r>
    <r>
      <rPr>
        <sz val="12"/>
        <color rgb="FF000000"/>
        <rFont val="Times New Roman"/>
        <family val="1"/>
      </rPr>
      <t>a</t>
    </r>
    <r>
      <rPr>
        <sz val="12"/>
        <color rgb="FF000000"/>
        <rFont val="Times New Roman"/>
        <family val="1"/>
      </rPr>
      <t>c</t>
    </r>
    <r>
      <rPr>
        <sz val="12"/>
        <color rgb="FF000000"/>
        <rFont val="Times New Roman"/>
        <family val="1"/>
      </rPr>
      <t>h</t>
    </r>
    <r>
      <rPr>
        <sz val="12"/>
        <color rgb="FF000000"/>
        <rFont val="Times New Roman"/>
        <family val="1"/>
      </rPr>
      <t>i</t>
    </r>
    <r>
      <rPr>
        <sz val="12"/>
        <color rgb="FF000000"/>
        <rFont val="Times New Roman"/>
        <family val="1"/>
      </rPr>
      <t>e</t>
    </r>
    <r>
      <rPr>
        <sz val="12"/>
        <color rgb="FF000000"/>
        <rFont val="Times New Roman"/>
        <family val="1"/>
      </rPr>
      <t>v</t>
    </r>
    <r>
      <rPr>
        <sz val="12"/>
        <color rgb="FF000000"/>
        <rFont val="Times New Roman"/>
        <family val="1"/>
      </rPr>
      <t>e</t>
    </r>
    <r>
      <rPr>
        <sz val="12"/>
        <color rgb="FF000000"/>
        <rFont val="Times New Roman"/>
        <family val="1"/>
      </rPr>
      <t xml:space="preserve"> </t>
    </r>
    <r>
      <rPr>
        <sz val="12"/>
        <color rgb="FF000000"/>
        <rFont val="Times New Roman"/>
        <family val="1"/>
      </rPr>
      <t>M</t>
    </r>
    <r>
      <rPr>
        <sz val="12"/>
        <color rgb="FF000000"/>
        <rFont val="Times New Roman"/>
        <family val="1"/>
      </rPr>
      <t>il</t>
    </r>
    <r>
      <rPr>
        <sz val="12"/>
        <color rgb="FF000000"/>
        <rFont val="Times New Roman"/>
        <family val="1"/>
      </rPr>
      <t>e</t>
    </r>
    <r>
      <rPr>
        <sz val="12"/>
        <color rgb="FF000000"/>
        <rFont val="Times New Roman"/>
        <family val="1"/>
      </rPr>
      <t>s</t>
    </r>
    <r>
      <rPr>
        <sz val="12"/>
        <color rgb="FF000000"/>
        <rFont val="Times New Roman"/>
        <family val="1"/>
      </rPr>
      <t>t</t>
    </r>
    <r>
      <rPr>
        <sz val="12"/>
        <color rgb="FF000000"/>
        <rFont val="Times New Roman"/>
        <family val="1"/>
      </rPr>
      <t>o</t>
    </r>
    <r>
      <rPr>
        <sz val="12"/>
        <color rgb="FF000000"/>
        <rFont val="Times New Roman"/>
        <family val="1"/>
      </rPr>
      <t>n</t>
    </r>
    <r>
      <rPr>
        <sz val="12"/>
        <color rgb="FF000000"/>
        <rFont val="Times New Roman"/>
        <family val="1"/>
      </rPr>
      <t>e</t>
    </r>
  </si>
  <si>
    <r>
      <rPr>
        <sz val="12"/>
        <color rgb="FF000000"/>
        <rFont val="Times New Roman"/>
        <family val="1"/>
      </rPr>
      <t>O</t>
    </r>
    <r>
      <rPr>
        <sz val="12"/>
        <color rgb="FF000000"/>
        <rFont val="Times New Roman"/>
        <family val="1"/>
      </rPr>
      <t>u</t>
    </r>
    <r>
      <rPr>
        <sz val="12"/>
        <color rgb="FF000000"/>
        <rFont val="Times New Roman"/>
        <family val="1"/>
      </rPr>
      <t>t</t>
    </r>
    <r>
      <rPr>
        <sz val="12"/>
        <color rgb="FF000000"/>
        <rFont val="Times New Roman"/>
        <family val="1"/>
      </rPr>
      <t>c</t>
    </r>
    <r>
      <rPr>
        <sz val="12"/>
        <color rgb="FF000000"/>
        <rFont val="Times New Roman"/>
        <family val="1"/>
      </rPr>
      <t>o</t>
    </r>
    <r>
      <rPr>
        <sz val="12"/>
        <color rgb="FF000000"/>
        <rFont val="Times New Roman"/>
        <family val="1"/>
      </rPr>
      <t>m</t>
    </r>
    <r>
      <rPr>
        <sz val="12"/>
        <color rgb="FF000000"/>
        <rFont val="Times New Roman"/>
        <family val="1"/>
      </rPr>
      <t>e</t>
    </r>
  </si>
  <si>
    <r>
      <rPr>
        <sz val="12"/>
        <color rgb="FF000000"/>
        <rFont val="Times New Roman"/>
        <family val="1"/>
      </rPr>
      <t>P</t>
    </r>
    <r>
      <rPr>
        <sz val="12"/>
        <color rgb="FF000000"/>
        <rFont val="Times New Roman"/>
        <family val="1"/>
      </rPr>
      <t>r</t>
    </r>
    <r>
      <rPr>
        <sz val="12"/>
        <color rgb="FF000000"/>
        <rFont val="Times New Roman"/>
        <family val="1"/>
      </rPr>
      <t>o</t>
    </r>
    <r>
      <rPr>
        <sz val="12"/>
        <color rgb="FF000000"/>
        <rFont val="Times New Roman"/>
        <family val="1"/>
      </rPr>
      <t>j</t>
    </r>
    <r>
      <rPr>
        <sz val="12"/>
        <color rgb="FF000000"/>
        <rFont val="Times New Roman"/>
        <family val="1"/>
      </rPr>
      <t>e</t>
    </r>
    <r>
      <rPr>
        <sz val="12"/>
        <color rgb="FF000000"/>
        <rFont val="Times New Roman"/>
        <family val="1"/>
      </rPr>
      <t>c</t>
    </r>
    <r>
      <rPr>
        <sz val="12"/>
        <color rgb="FF000000"/>
        <rFont val="Times New Roman"/>
        <family val="1"/>
      </rPr>
      <t xml:space="preserve">t
</t>
    </r>
    <r>
      <rPr>
        <sz val="12"/>
        <color rgb="FF000000"/>
        <rFont val="Times New Roman"/>
        <family val="1"/>
      </rPr>
      <t>M</t>
    </r>
    <r>
      <rPr>
        <sz val="12"/>
        <color rgb="FF000000"/>
        <rFont val="Times New Roman"/>
        <family val="1"/>
      </rPr>
      <t>il</t>
    </r>
    <r>
      <rPr>
        <sz val="12"/>
        <color rgb="FF000000"/>
        <rFont val="Times New Roman"/>
        <family val="1"/>
      </rPr>
      <t>e</t>
    </r>
    <r>
      <rPr>
        <sz val="12"/>
        <color rgb="FF000000"/>
        <rFont val="Times New Roman"/>
        <family val="1"/>
      </rPr>
      <t>s</t>
    </r>
    <r>
      <rPr>
        <sz val="12"/>
        <color rgb="FF000000"/>
        <rFont val="Times New Roman"/>
        <family val="1"/>
      </rPr>
      <t>t</t>
    </r>
    <r>
      <rPr>
        <sz val="12"/>
        <color rgb="FF000000"/>
        <rFont val="Times New Roman"/>
        <family val="1"/>
      </rPr>
      <t>o</t>
    </r>
    <r>
      <rPr>
        <sz val="12"/>
        <color rgb="FF000000"/>
        <rFont val="Times New Roman"/>
        <family val="1"/>
      </rPr>
      <t>n</t>
    </r>
    <r>
      <rPr>
        <sz val="12"/>
        <color rgb="FF000000"/>
        <rFont val="Times New Roman"/>
        <family val="1"/>
      </rPr>
      <t>e</t>
    </r>
  </si>
  <si>
    <r>
      <rPr>
        <sz val="12"/>
        <color rgb="FF000000"/>
        <rFont val="Times New Roman"/>
        <family val="1"/>
      </rPr>
      <t>D</t>
    </r>
    <r>
      <rPr>
        <sz val="12"/>
        <color rgb="FF000000"/>
        <rFont val="Times New Roman"/>
        <family val="1"/>
      </rPr>
      <t>a</t>
    </r>
    <r>
      <rPr>
        <sz val="12"/>
        <color rgb="FF000000"/>
        <rFont val="Times New Roman"/>
        <family val="1"/>
      </rPr>
      <t>t</t>
    </r>
    <r>
      <rPr>
        <sz val="12"/>
        <color rgb="FF000000"/>
        <rFont val="Times New Roman"/>
        <family val="1"/>
      </rPr>
      <t>e</t>
    </r>
    <r>
      <rPr>
        <sz val="12"/>
        <color rgb="FF000000"/>
        <rFont val="Times New Roman"/>
        <family val="1"/>
      </rPr>
      <t xml:space="preserve"> </t>
    </r>
    <r>
      <rPr>
        <sz val="12"/>
        <color rgb="FF000000"/>
        <rFont val="Times New Roman"/>
        <family val="1"/>
      </rPr>
      <t>o</t>
    </r>
    <r>
      <rPr>
        <sz val="12"/>
        <color rgb="FF000000"/>
        <rFont val="Times New Roman"/>
        <family val="1"/>
      </rPr>
      <t>f</t>
    </r>
    <r>
      <rPr>
        <sz val="12"/>
        <color rgb="FF000000"/>
        <rFont val="Times New Roman"/>
        <family val="1"/>
      </rPr>
      <t xml:space="preserve"> </t>
    </r>
    <r>
      <rPr>
        <sz val="12"/>
        <color rgb="FF000000"/>
        <rFont val="Times New Roman"/>
        <family val="1"/>
      </rPr>
      <t>i</t>
    </r>
    <r>
      <rPr>
        <sz val="12"/>
        <color rgb="FF000000"/>
        <rFont val="Times New Roman"/>
        <family val="1"/>
      </rPr>
      <t>s</t>
    </r>
    <r>
      <rPr>
        <sz val="12"/>
        <color rgb="FF000000"/>
        <rFont val="Times New Roman"/>
        <family val="1"/>
      </rPr>
      <t>s</t>
    </r>
    <r>
      <rPr>
        <sz val="12"/>
        <color rgb="FF000000"/>
        <rFont val="Times New Roman"/>
        <family val="1"/>
      </rPr>
      <t>u</t>
    </r>
    <r>
      <rPr>
        <sz val="12"/>
        <color rgb="FF000000"/>
        <rFont val="Times New Roman"/>
        <family val="1"/>
      </rPr>
      <t>e</t>
    </r>
    <r>
      <rPr>
        <sz val="12"/>
        <color rgb="FF000000"/>
        <rFont val="Times New Roman"/>
        <family val="1"/>
      </rPr>
      <t xml:space="preserve"> </t>
    </r>
    <r>
      <rPr>
        <sz val="12"/>
        <color rgb="FF000000"/>
        <rFont val="Times New Roman"/>
        <family val="1"/>
      </rPr>
      <t>o</t>
    </r>
    <r>
      <rPr>
        <sz val="12"/>
        <color rgb="FF000000"/>
        <rFont val="Times New Roman"/>
        <family val="1"/>
      </rPr>
      <t>f</t>
    </r>
    <r>
      <rPr>
        <sz val="12"/>
        <color rgb="FF000000"/>
        <rFont val="Times New Roman"/>
        <family val="1"/>
      </rPr>
      <t xml:space="preserve"> </t>
    </r>
    <r>
      <rPr>
        <sz val="12"/>
        <color rgb="FF000000"/>
        <rFont val="Times New Roman"/>
        <family val="1"/>
      </rPr>
      <t>c</t>
    </r>
    <r>
      <rPr>
        <sz val="12"/>
        <color rgb="FF000000"/>
        <rFont val="Times New Roman"/>
        <family val="1"/>
      </rPr>
      <t>o</t>
    </r>
    <r>
      <rPr>
        <sz val="12"/>
        <color rgb="FF000000"/>
        <rFont val="Times New Roman"/>
        <family val="1"/>
      </rPr>
      <t>n</t>
    </r>
    <r>
      <rPr>
        <sz val="12"/>
        <color rgb="FF000000"/>
        <rFont val="Times New Roman"/>
        <family val="1"/>
      </rPr>
      <t>t</t>
    </r>
    <r>
      <rPr>
        <sz val="12"/>
        <color rgb="FF000000"/>
        <rFont val="Times New Roman"/>
        <family val="1"/>
      </rPr>
      <t>r</t>
    </r>
    <r>
      <rPr>
        <sz val="12"/>
        <color rgb="FF000000"/>
        <rFont val="Times New Roman"/>
        <family val="1"/>
      </rPr>
      <t>a</t>
    </r>
    <r>
      <rPr>
        <sz val="12"/>
        <color rgb="FF000000"/>
        <rFont val="Times New Roman"/>
        <family val="1"/>
      </rPr>
      <t>c</t>
    </r>
    <r>
      <rPr>
        <sz val="12"/>
        <color rgb="FF000000"/>
        <rFont val="Times New Roman"/>
        <family val="1"/>
      </rPr>
      <t>t</t>
    </r>
    <r>
      <rPr>
        <sz val="12"/>
        <color rgb="FF000000"/>
        <rFont val="Times New Roman"/>
        <family val="1"/>
      </rPr>
      <t>.</t>
    </r>
    <r>
      <rPr>
        <sz val="12"/>
        <color rgb="FF000000"/>
        <rFont val="Times New Roman"/>
        <family val="1"/>
      </rPr>
      <t xml:space="preserve"> </t>
    </r>
    <r>
      <rPr>
        <sz val="12"/>
        <color rgb="FF000000"/>
        <rFont val="Times New Roman"/>
        <family val="1"/>
      </rPr>
      <t>T</t>
    </r>
    <r>
      <rPr>
        <sz val="12"/>
        <color rgb="FF000000"/>
        <rFont val="Times New Roman"/>
        <family val="1"/>
      </rPr>
      <t>h</t>
    </r>
    <r>
      <rPr>
        <sz val="12"/>
        <color rgb="FF000000"/>
        <rFont val="Times New Roman"/>
        <family val="1"/>
      </rPr>
      <t>i</t>
    </r>
    <r>
      <rPr>
        <sz val="12"/>
        <color rgb="FF000000"/>
        <rFont val="Times New Roman"/>
        <family val="1"/>
      </rPr>
      <t>s</t>
    </r>
    <r>
      <rPr>
        <sz val="12"/>
        <color rgb="FF000000"/>
        <rFont val="Times New Roman"/>
        <family val="1"/>
      </rPr>
      <t xml:space="preserve"> </t>
    </r>
    <r>
      <rPr>
        <sz val="12"/>
        <color rgb="FF000000"/>
        <rFont val="Times New Roman"/>
        <family val="1"/>
      </rPr>
      <t>i</t>
    </r>
    <r>
      <rPr>
        <sz val="12"/>
        <color rgb="FF000000"/>
        <rFont val="Times New Roman"/>
        <family val="1"/>
      </rPr>
      <t>s</t>
    </r>
    <r>
      <rPr>
        <sz val="12"/>
        <color rgb="FF000000"/>
        <rFont val="Times New Roman"/>
        <family val="1"/>
      </rPr>
      <t xml:space="preserve"> </t>
    </r>
    <r>
      <rPr>
        <sz val="12"/>
        <color rgb="FF000000"/>
        <rFont val="Times New Roman"/>
        <family val="1"/>
      </rPr>
      <t>b</t>
    </r>
    <r>
      <rPr>
        <sz val="12"/>
        <color rgb="FF000000"/>
        <rFont val="Times New Roman"/>
        <family val="1"/>
      </rPr>
      <t>e</t>
    </r>
    <r>
      <rPr>
        <sz val="12"/>
        <color rgb="FF000000"/>
        <rFont val="Times New Roman"/>
        <family val="1"/>
      </rPr>
      <t>i</t>
    </r>
    <r>
      <rPr>
        <sz val="12"/>
        <color rgb="FF000000"/>
        <rFont val="Times New Roman"/>
        <family val="1"/>
      </rPr>
      <t>n</t>
    </r>
    <r>
      <rPr>
        <sz val="12"/>
        <color rgb="FF000000"/>
        <rFont val="Times New Roman"/>
        <family val="1"/>
      </rPr>
      <t>g</t>
    </r>
    <r>
      <rPr>
        <sz val="12"/>
        <color rgb="FF000000"/>
        <rFont val="Times New Roman"/>
        <family val="1"/>
      </rPr>
      <t xml:space="preserve"> </t>
    </r>
    <r>
      <rPr>
        <sz val="12"/>
        <color rgb="FF000000"/>
        <rFont val="Times New Roman"/>
        <family val="1"/>
      </rPr>
      <t>r</t>
    </r>
    <r>
      <rPr>
        <sz val="12"/>
        <color rgb="FF000000"/>
        <rFont val="Times New Roman"/>
        <family val="1"/>
      </rPr>
      <t>e</t>
    </r>
    <r>
      <rPr>
        <sz val="12"/>
        <color rgb="FF000000"/>
        <rFont val="Times New Roman"/>
        <family val="1"/>
      </rPr>
      <t>f</t>
    </r>
    <r>
      <rPr>
        <sz val="12"/>
        <color rgb="FF000000"/>
        <rFont val="Times New Roman"/>
        <family val="1"/>
      </rPr>
      <t>e</t>
    </r>
    <r>
      <rPr>
        <sz val="12"/>
        <color rgb="FF000000"/>
        <rFont val="Times New Roman"/>
        <family val="1"/>
      </rPr>
      <t>r</t>
    </r>
    <r>
      <rPr>
        <sz val="12"/>
        <color rgb="FF000000"/>
        <rFont val="Times New Roman"/>
        <family val="1"/>
      </rPr>
      <t>r</t>
    </r>
    <r>
      <rPr>
        <sz val="12"/>
        <color rgb="FF000000"/>
        <rFont val="Times New Roman"/>
        <family val="1"/>
      </rPr>
      <t>e</t>
    </r>
    <r>
      <rPr>
        <sz val="12"/>
        <color rgb="FF000000"/>
        <rFont val="Times New Roman"/>
        <family val="1"/>
      </rPr>
      <t>d</t>
    </r>
    <r>
      <rPr>
        <sz val="12"/>
        <color rgb="FF000000"/>
        <rFont val="Times New Roman"/>
        <family val="1"/>
      </rPr>
      <t xml:space="preserve"> </t>
    </r>
    <r>
      <rPr>
        <sz val="12"/>
        <color rgb="FF000000"/>
        <rFont val="Times New Roman"/>
        <family val="1"/>
      </rPr>
      <t>t</t>
    </r>
    <r>
      <rPr>
        <sz val="12"/>
        <color rgb="FF000000"/>
        <rFont val="Times New Roman"/>
        <family val="1"/>
      </rPr>
      <t>o</t>
    </r>
    <r>
      <rPr>
        <sz val="12"/>
        <color rgb="FF000000"/>
        <rFont val="Times New Roman"/>
        <family val="1"/>
      </rPr>
      <t xml:space="preserve"> </t>
    </r>
    <r>
      <rPr>
        <sz val="12"/>
        <color rgb="FF000000"/>
        <rFont val="Times New Roman"/>
        <family val="1"/>
      </rPr>
      <t>a</t>
    </r>
    <r>
      <rPr>
        <sz val="12"/>
        <color rgb="FF000000"/>
        <rFont val="Times New Roman"/>
        <family val="1"/>
      </rPr>
      <t>s</t>
    </r>
    <r>
      <rPr>
        <sz val="12"/>
        <color rgb="FF000000"/>
        <rFont val="Times New Roman"/>
        <family val="1"/>
      </rPr>
      <t xml:space="preserve"> </t>
    </r>
    <r>
      <rPr>
        <sz val="12"/>
        <color rgb="FF000000"/>
        <rFont val="Times New Roman"/>
        <family val="1"/>
      </rPr>
      <t>’</t>
    </r>
    <r>
      <rPr>
        <sz val="12"/>
        <color rgb="FF000000"/>
        <rFont val="Times New Roman"/>
        <family val="1"/>
      </rPr>
      <t>T</t>
    </r>
    <r>
      <rPr>
        <sz val="12"/>
        <color rgb="FF000000"/>
        <rFont val="Times New Roman"/>
        <family val="1"/>
      </rPr>
      <t>’</t>
    </r>
    <r>
      <rPr>
        <sz val="12"/>
        <color rgb="FF000000"/>
        <rFont val="Times New Roman"/>
        <family val="1"/>
      </rPr>
      <t xml:space="preserve"> </t>
    </r>
    <r>
      <rPr>
        <sz val="12"/>
        <color rgb="FF000000"/>
        <rFont val="Times New Roman"/>
        <family val="1"/>
      </rPr>
      <t>i</t>
    </r>
    <r>
      <rPr>
        <sz val="12"/>
        <color rgb="FF000000"/>
        <rFont val="Times New Roman"/>
        <family val="1"/>
      </rPr>
      <t>n</t>
    </r>
    <r>
      <rPr>
        <sz val="12"/>
        <color rgb="FF000000"/>
        <rFont val="Times New Roman"/>
        <family val="1"/>
      </rPr>
      <t xml:space="preserve"> </t>
    </r>
    <r>
      <rPr>
        <sz val="12"/>
        <color rgb="FF000000"/>
        <rFont val="Times New Roman"/>
        <family val="1"/>
      </rPr>
      <t>t</t>
    </r>
    <r>
      <rPr>
        <sz val="12"/>
        <color rgb="FF000000"/>
        <rFont val="Times New Roman"/>
        <family val="1"/>
      </rPr>
      <t>h</t>
    </r>
    <r>
      <rPr>
        <sz val="12"/>
        <color rgb="FF000000"/>
        <rFont val="Times New Roman"/>
        <family val="1"/>
      </rPr>
      <t>e</t>
    </r>
    <r>
      <rPr>
        <sz val="12"/>
        <color rgb="FF000000"/>
        <rFont val="Times New Roman"/>
        <family val="1"/>
      </rPr>
      <t xml:space="preserve"> </t>
    </r>
    <r>
      <rPr>
        <sz val="12"/>
        <color rgb="FF000000"/>
        <rFont val="Times New Roman"/>
        <family val="1"/>
      </rPr>
      <t>t</t>
    </r>
    <r>
      <rPr>
        <sz val="12"/>
        <color rgb="FF000000"/>
        <rFont val="Times New Roman"/>
        <family val="1"/>
      </rPr>
      <t>i</t>
    </r>
    <r>
      <rPr>
        <sz val="12"/>
        <color rgb="FF000000"/>
        <rFont val="Times New Roman"/>
        <family val="1"/>
      </rPr>
      <t>m</t>
    </r>
    <r>
      <rPr>
        <sz val="12"/>
        <color rgb="FF000000"/>
        <rFont val="Times New Roman"/>
        <family val="1"/>
      </rPr>
      <t>e</t>
    </r>
    <r>
      <rPr>
        <sz val="12"/>
        <color rgb="FF000000"/>
        <rFont val="Times New Roman"/>
        <family val="1"/>
      </rPr>
      <t>l</t>
    </r>
    <r>
      <rPr>
        <sz val="12"/>
        <color rgb="FF000000"/>
        <rFont val="Times New Roman"/>
        <family val="1"/>
      </rPr>
      <t>i</t>
    </r>
    <r>
      <rPr>
        <sz val="12"/>
        <color rgb="FF000000"/>
        <rFont val="Times New Roman"/>
        <family val="1"/>
      </rPr>
      <t>n</t>
    </r>
    <r>
      <rPr>
        <sz val="12"/>
        <color rgb="FF000000"/>
        <rFont val="Times New Roman"/>
        <family val="1"/>
      </rPr>
      <t>e</t>
    </r>
    <r>
      <rPr>
        <sz val="12"/>
        <color rgb="FF000000"/>
        <rFont val="Times New Roman"/>
        <family val="1"/>
      </rPr>
      <t xml:space="preserve"> </t>
    </r>
    <r>
      <rPr>
        <sz val="12"/>
        <color rgb="FF000000"/>
        <rFont val="Times New Roman"/>
        <family val="1"/>
      </rPr>
      <t>c</t>
    </r>
    <r>
      <rPr>
        <sz val="12"/>
        <color rgb="FF000000"/>
        <rFont val="Times New Roman"/>
        <family val="1"/>
      </rPr>
      <t>o</t>
    </r>
    <r>
      <rPr>
        <sz val="12"/>
        <color rgb="FF000000"/>
        <rFont val="Times New Roman"/>
        <family val="1"/>
      </rPr>
      <t>l</t>
    </r>
    <r>
      <rPr>
        <sz val="12"/>
        <color rgb="FF000000"/>
        <rFont val="Times New Roman"/>
        <family val="1"/>
      </rPr>
      <t>u</t>
    </r>
    <r>
      <rPr>
        <sz val="12"/>
        <color rgb="FF000000"/>
        <rFont val="Times New Roman"/>
        <family val="1"/>
      </rPr>
      <t>m</t>
    </r>
    <r>
      <rPr>
        <sz val="12"/>
        <color rgb="FF000000"/>
        <rFont val="Times New Roman"/>
        <family val="1"/>
      </rPr>
      <t>n</t>
    </r>
    <r>
      <rPr>
        <sz val="12"/>
        <color rgb="FF000000"/>
        <rFont val="Times New Roman"/>
        <family val="1"/>
      </rPr>
      <t xml:space="preserve"> </t>
    </r>
    <r>
      <rPr>
        <sz val="12"/>
        <color rgb="FF000000"/>
        <rFont val="Times New Roman"/>
        <family val="1"/>
      </rPr>
      <t>o</t>
    </r>
    <r>
      <rPr>
        <sz val="12"/>
        <color rgb="FF000000"/>
        <rFont val="Times New Roman"/>
        <family val="1"/>
      </rPr>
      <t>f</t>
    </r>
    <r>
      <rPr>
        <sz val="12"/>
        <color rgb="FF000000"/>
        <rFont val="Times New Roman"/>
        <family val="1"/>
      </rPr>
      <t xml:space="preserve"> </t>
    </r>
    <r>
      <rPr>
        <sz val="12"/>
        <color rgb="FF000000"/>
        <rFont val="Times New Roman"/>
        <family val="1"/>
      </rPr>
      <t>t</t>
    </r>
    <r>
      <rPr>
        <sz val="12"/>
        <color rgb="FF000000"/>
        <rFont val="Times New Roman"/>
        <family val="1"/>
      </rPr>
      <t>h</t>
    </r>
    <r>
      <rPr>
        <sz val="12"/>
        <color rgb="FF000000"/>
        <rFont val="Times New Roman"/>
        <family val="1"/>
      </rPr>
      <t>i</t>
    </r>
    <r>
      <rPr>
        <sz val="12"/>
        <color rgb="FF000000"/>
        <rFont val="Times New Roman"/>
        <family val="1"/>
      </rPr>
      <t>s</t>
    </r>
    <r>
      <rPr>
        <sz val="12"/>
        <color rgb="FF000000"/>
        <rFont val="Times New Roman"/>
        <family val="1"/>
      </rPr>
      <t xml:space="preserve"> </t>
    </r>
    <r>
      <rPr>
        <sz val="12"/>
        <color rgb="FF000000"/>
        <rFont val="Times New Roman"/>
        <family val="1"/>
      </rPr>
      <t>t</t>
    </r>
    <r>
      <rPr>
        <sz val="12"/>
        <color rgb="FF000000"/>
        <rFont val="Times New Roman"/>
        <family val="1"/>
      </rPr>
      <t>a</t>
    </r>
    <r>
      <rPr>
        <sz val="12"/>
        <color rgb="FF000000"/>
        <rFont val="Times New Roman"/>
        <family val="1"/>
      </rPr>
      <t>b</t>
    </r>
    <r>
      <rPr>
        <sz val="12"/>
        <color rgb="FF000000"/>
        <rFont val="Times New Roman"/>
        <family val="1"/>
      </rPr>
      <t>l</t>
    </r>
    <r>
      <rPr>
        <sz val="12"/>
        <color rgb="FF000000"/>
        <rFont val="Times New Roman"/>
        <family val="1"/>
      </rPr>
      <t>e</t>
    </r>
    <r>
      <rPr>
        <sz val="12"/>
        <color rgb="FF000000"/>
        <rFont val="Times New Roman"/>
        <family val="1"/>
      </rPr>
      <t>.</t>
    </r>
  </si>
  <si>
    <r>
      <rPr>
        <sz val="12"/>
        <color rgb="FF000000"/>
        <rFont val="Times New Roman"/>
        <family val="1"/>
      </rPr>
      <t>1</t>
    </r>
  </si>
  <si>
    <r>
      <rPr>
        <sz val="12"/>
        <color rgb="FF000000"/>
        <rFont val="Times New Roman"/>
        <family val="1"/>
      </rPr>
      <t>P</t>
    </r>
    <r>
      <rPr>
        <sz val="12"/>
        <color rgb="FF000000"/>
        <rFont val="Times New Roman"/>
        <family val="1"/>
      </rPr>
      <t>r</t>
    </r>
    <r>
      <rPr>
        <sz val="12"/>
        <color rgb="FF000000"/>
        <rFont val="Times New Roman"/>
        <family val="1"/>
      </rPr>
      <t>o</t>
    </r>
    <r>
      <rPr>
        <sz val="12"/>
        <color rgb="FF000000"/>
        <rFont val="Times New Roman"/>
        <family val="1"/>
      </rPr>
      <t>j</t>
    </r>
    <r>
      <rPr>
        <sz val="12"/>
        <color rgb="FF000000"/>
        <rFont val="Times New Roman"/>
        <family val="1"/>
      </rPr>
      <t>e</t>
    </r>
    <r>
      <rPr>
        <sz val="12"/>
        <color rgb="FF000000"/>
        <rFont val="Times New Roman"/>
        <family val="1"/>
      </rPr>
      <t>c</t>
    </r>
    <r>
      <rPr>
        <sz val="12"/>
        <color rgb="FF000000"/>
        <rFont val="Times New Roman"/>
        <family val="1"/>
      </rPr>
      <t>t</t>
    </r>
    <r>
      <rPr>
        <sz val="12"/>
        <color rgb="FF000000"/>
        <rFont val="Times New Roman"/>
        <family val="1"/>
      </rPr>
      <t xml:space="preserve"> </t>
    </r>
    <r>
      <rPr>
        <sz val="12"/>
        <color rgb="FF000000"/>
        <rFont val="Times New Roman"/>
        <family val="1"/>
      </rPr>
      <t>I</t>
    </r>
    <r>
      <rPr>
        <sz val="12"/>
        <color rgb="FF000000"/>
        <rFont val="Times New Roman"/>
        <family val="1"/>
      </rPr>
      <t>n</t>
    </r>
    <r>
      <rPr>
        <sz val="12"/>
        <color rgb="FF000000"/>
        <rFont val="Times New Roman"/>
        <family val="1"/>
      </rPr>
      <t>i</t>
    </r>
    <r>
      <rPr>
        <sz val="12"/>
        <color rgb="FF000000"/>
        <rFont val="Times New Roman"/>
        <family val="1"/>
      </rPr>
      <t>t</t>
    </r>
    <r>
      <rPr>
        <sz val="12"/>
        <color rgb="FF000000"/>
        <rFont val="Times New Roman"/>
        <family val="1"/>
      </rPr>
      <t>i</t>
    </r>
    <r>
      <rPr>
        <sz val="12"/>
        <color rgb="FF000000"/>
        <rFont val="Times New Roman"/>
        <family val="1"/>
      </rPr>
      <t>a</t>
    </r>
    <r>
      <rPr>
        <sz val="12"/>
        <color rgb="FF000000"/>
        <rFont val="Times New Roman"/>
        <family val="1"/>
      </rPr>
      <t>t</t>
    </r>
    <r>
      <rPr>
        <sz val="12"/>
        <color rgb="FF000000"/>
        <rFont val="Times New Roman"/>
        <family val="1"/>
      </rPr>
      <t>i</t>
    </r>
    <r>
      <rPr>
        <sz val="12"/>
        <color rgb="FF000000"/>
        <rFont val="Times New Roman"/>
        <family val="1"/>
      </rPr>
      <t>o</t>
    </r>
    <r>
      <rPr>
        <sz val="12"/>
        <color rgb="FF000000"/>
        <rFont val="Times New Roman"/>
        <family val="1"/>
      </rPr>
      <t>n</t>
    </r>
    <r>
      <rPr>
        <sz val="12"/>
        <color rgb="FF000000"/>
        <rFont val="Times New Roman"/>
        <family val="1"/>
      </rPr>
      <t xml:space="preserve"> </t>
    </r>
    <r>
      <rPr>
        <sz val="12"/>
        <color rgb="FF000000"/>
        <rFont val="Times New Roman"/>
        <family val="1"/>
      </rPr>
      <t>&amp;</t>
    </r>
    <r>
      <rPr>
        <sz val="12"/>
        <color rgb="FF000000"/>
        <rFont val="Times New Roman"/>
        <family val="1"/>
      </rPr>
      <t xml:space="preserve"> </t>
    </r>
    <r>
      <rPr>
        <sz val="12"/>
        <color rgb="FF000000"/>
        <rFont val="Times New Roman"/>
        <family val="1"/>
      </rPr>
      <t>P</t>
    </r>
    <r>
      <rPr>
        <sz val="12"/>
        <color rgb="FF000000"/>
        <rFont val="Times New Roman"/>
        <family val="1"/>
      </rPr>
      <t>l</t>
    </r>
    <r>
      <rPr>
        <sz val="12"/>
        <color rgb="FF000000"/>
        <rFont val="Times New Roman"/>
        <family val="1"/>
      </rPr>
      <t>a</t>
    </r>
    <r>
      <rPr>
        <sz val="12"/>
        <color rgb="FF000000"/>
        <rFont val="Times New Roman"/>
        <family val="1"/>
      </rPr>
      <t>n</t>
    </r>
    <r>
      <rPr>
        <sz val="12"/>
        <color rgb="FF000000"/>
        <rFont val="Times New Roman"/>
        <family val="1"/>
      </rPr>
      <t>n</t>
    </r>
    <r>
      <rPr>
        <sz val="12"/>
        <color rgb="FF000000"/>
        <rFont val="Times New Roman"/>
        <family val="1"/>
      </rPr>
      <t>i</t>
    </r>
    <r>
      <rPr>
        <sz val="12"/>
        <color rgb="FF000000"/>
        <rFont val="Times New Roman"/>
        <family val="1"/>
      </rPr>
      <t>n</t>
    </r>
    <r>
      <rPr>
        <sz val="12"/>
        <color rgb="FF000000"/>
        <rFont val="Times New Roman"/>
        <family val="1"/>
      </rPr>
      <t>g</t>
    </r>
  </si>
  <si>
    <r>
      <rPr>
        <sz val="12"/>
        <color rgb="FF000000"/>
        <rFont val="Times New Roman"/>
        <family val="1"/>
      </rPr>
      <t>T</t>
    </r>
  </si>
  <si>
    <r>
      <rPr>
        <sz val="12"/>
        <color rgb="FF000000"/>
        <rFont val="Times New Roman"/>
        <family val="1"/>
      </rPr>
      <t>R</t>
    </r>
    <r>
      <rPr>
        <sz val="12"/>
        <color rgb="FF000000"/>
        <rFont val="Times New Roman"/>
        <family val="1"/>
      </rPr>
      <t>e</t>
    </r>
    <r>
      <rPr>
        <sz val="12"/>
        <color rgb="FF000000"/>
        <rFont val="Times New Roman"/>
        <family val="1"/>
      </rPr>
      <t>qu</t>
    </r>
    <r>
      <rPr>
        <sz val="12"/>
        <color rgb="FF000000"/>
        <rFont val="Times New Roman"/>
        <family val="1"/>
      </rPr>
      <t>i</t>
    </r>
    <r>
      <rPr>
        <sz val="12"/>
        <color rgb="FF000000"/>
        <rFont val="Times New Roman"/>
        <family val="1"/>
      </rPr>
      <t>r</t>
    </r>
    <r>
      <rPr>
        <sz val="12"/>
        <color rgb="FF000000"/>
        <rFont val="Times New Roman"/>
        <family val="1"/>
      </rPr>
      <t>e</t>
    </r>
    <r>
      <rPr>
        <sz val="12"/>
        <color rgb="FF000000"/>
        <rFont val="Times New Roman"/>
        <family val="1"/>
      </rPr>
      <t>m</t>
    </r>
    <r>
      <rPr>
        <sz val="12"/>
        <color rgb="FF000000"/>
        <rFont val="Times New Roman"/>
        <family val="1"/>
      </rPr>
      <t>e</t>
    </r>
    <r>
      <rPr>
        <sz val="12"/>
        <color rgb="FF000000"/>
        <rFont val="Times New Roman"/>
        <family val="1"/>
      </rPr>
      <t>n</t>
    </r>
    <r>
      <rPr>
        <sz val="12"/>
        <color rgb="FF000000"/>
        <rFont val="Times New Roman"/>
        <family val="1"/>
      </rPr>
      <t>t</t>
    </r>
    <r>
      <rPr>
        <sz val="12"/>
        <color rgb="FF000000"/>
        <rFont val="Times New Roman"/>
        <family val="1"/>
      </rPr>
      <t>s</t>
    </r>
    <r>
      <rPr>
        <sz val="12"/>
        <color rgb="FF000000"/>
        <rFont val="Times New Roman"/>
        <family val="1"/>
      </rPr>
      <t>,</t>
    </r>
    <r>
      <rPr>
        <sz val="12"/>
        <color rgb="FF000000"/>
        <rFont val="Times New Roman"/>
        <family val="1"/>
      </rPr>
      <t xml:space="preserve"> </t>
    </r>
    <r>
      <rPr>
        <sz val="12"/>
        <color rgb="FF000000"/>
        <rFont val="Times New Roman"/>
        <family val="1"/>
      </rPr>
      <t>S</t>
    </r>
    <r>
      <rPr>
        <sz val="12"/>
        <color rgb="FF000000"/>
        <rFont val="Times New Roman"/>
        <family val="1"/>
      </rPr>
      <t>c</t>
    </r>
    <r>
      <rPr>
        <sz val="12"/>
        <color rgb="FF000000"/>
        <rFont val="Times New Roman"/>
        <family val="1"/>
      </rPr>
      <t>o</t>
    </r>
    <r>
      <rPr>
        <sz val="12"/>
        <color rgb="FF000000"/>
        <rFont val="Times New Roman"/>
        <family val="1"/>
      </rPr>
      <t>p</t>
    </r>
    <r>
      <rPr>
        <sz val="12"/>
        <color rgb="FF000000"/>
        <rFont val="Times New Roman"/>
        <family val="1"/>
      </rPr>
      <t>e</t>
    </r>
    <r>
      <rPr>
        <sz val="12"/>
        <color rgb="FF000000"/>
        <rFont val="Times New Roman"/>
        <family val="1"/>
      </rPr>
      <t>,</t>
    </r>
    <r>
      <rPr>
        <sz val="12"/>
        <color rgb="FF000000"/>
        <rFont val="Times New Roman"/>
        <family val="1"/>
      </rPr>
      <t xml:space="preserve"> </t>
    </r>
    <r>
      <rPr>
        <sz val="12"/>
        <color rgb="FF000000"/>
        <rFont val="Times New Roman"/>
        <family val="1"/>
      </rPr>
      <t>T</t>
    </r>
    <r>
      <rPr>
        <sz val="12"/>
        <color rgb="FF000000"/>
        <rFont val="Times New Roman"/>
        <family val="1"/>
      </rPr>
      <t>i</t>
    </r>
    <r>
      <rPr>
        <sz val="12"/>
        <color rgb="FF000000"/>
        <rFont val="Times New Roman"/>
        <family val="1"/>
      </rPr>
      <t>m</t>
    </r>
    <r>
      <rPr>
        <sz val="12"/>
        <color rgb="FF000000"/>
        <rFont val="Times New Roman"/>
        <family val="1"/>
      </rPr>
      <t>e</t>
    </r>
    <r>
      <rPr>
        <sz val="12"/>
        <color rgb="FF000000"/>
        <rFont val="Times New Roman"/>
        <family val="1"/>
      </rPr>
      <t>l</t>
    </r>
    <r>
      <rPr>
        <sz val="12"/>
        <color rgb="FF000000"/>
        <rFont val="Times New Roman"/>
        <family val="1"/>
      </rPr>
      <t>i</t>
    </r>
    <r>
      <rPr>
        <sz val="12"/>
        <color rgb="FF000000"/>
        <rFont val="Times New Roman"/>
        <family val="1"/>
      </rPr>
      <t>n</t>
    </r>
    <r>
      <rPr>
        <sz val="12"/>
        <color rgb="FF000000"/>
        <rFont val="Times New Roman"/>
        <family val="1"/>
      </rPr>
      <t>e</t>
    </r>
    <r>
      <rPr>
        <sz val="12"/>
        <color rgb="FF000000"/>
        <rFont val="Times New Roman"/>
        <family val="1"/>
      </rPr>
      <t>s</t>
    </r>
  </si>
  <si>
    <r>
      <rPr>
        <sz val="12"/>
        <color rgb="FF000000"/>
        <rFont val="Times New Roman"/>
        <family val="1"/>
      </rPr>
      <t>S</t>
    </r>
    <r>
      <rPr>
        <sz val="12"/>
        <color rgb="FF000000"/>
        <rFont val="Times New Roman"/>
        <family val="1"/>
      </rPr>
      <t>t</t>
    </r>
    <r>
      <rPr>
        <sz val="12"/>
        <color rgb="FF000000"/>
        <rFont val="Times New Roman"/>
        <family val="1"/>
      </rPr>
      <t>a</t>
    </r>
    <r>
      <rPr>
        <sz val="12"/>
        <color rgb="FF000000"/>
        <rFont val="Times New Roman"/>
        <family val="1"/>
      </rPr>
      <t>r</t>
    </r>
    <r>
      <rPr>
        <sz val="12"/>
        <color rgb="FF000000"/>
        <rFont val="Times New Roman"/>
        <family val="1"/>
      </rPr>
      <t>t</t>
    </r>
    <r>
      <rPr>
        <sz val="12"/>
        <color rgb="FF000000"/>
        <rFont val="Times New Roman"/>
        <family val="1"/>
      </rPr>
      <t xml:space="preserve"> </t>
    </r>
    <r>
      <rPr>
        <sz val="12"/>
        <color rgb="FF000000"/>
        <rFont val="Times New Roman"/>
        <family val="1"/>
      </rPr>
      <t>o</t>
    </r>
    <r>
      <rPr>
        <sz val="12"/>
        <color rgb="FF000000"/>
        <rFont val="Times New Roman"/>
        <family val="1"/>
      </rPr>
      <t xml:space="preserve">f
</t>
    </r>
    <r>
      <rPr>
        <sz val="12"/>
        <color rgb="FF000000"/>
        <rFont val="Times New Roman"/>
        <family val="1"/>
      </rPr>
      <t>M</t>
    </r>
    <r>
      <rPr>
        <sz val="12"/>
        <color rgb="FF000000"/>
        <rFont val="Times New Roman"/>
        <family val="1"/>
      </rPr>
      <t>il</t>
    </r>
    <r>
      <rPr>
        <sz val="12"/>
        <color rgb="FF000000"/>
        <rFont val="Times New Roman"/>
        <family val="1"/>
      </rPr>
      <t>e</t>
    </r>
    <r>
      <rPr>
        <sz val="12"/>
        <color rgb="FF000000"/>
        <rFont val="Times New Roman"/>
        <family val="1"/>
      </rPr>
      <t>s</t>
    </r>
    <r>
      <rPr>
        <sz val="12"/>
        <color rgb="FF000000"/>
        <rFont val="Times New Roman"/>
        <family val="1"/>
      </rPr>
      <t>t</t>
    </r>
    <r>
      <rPr>
        <sz val="12"/>
        <color rgb="FF000000"/>
        <rFont val="Times New Roman"/>
        <family val="1"/>
      </rPr>
      <t>o</t>
    </r>
    <r>
      <rPr>
        <sz val="12"/>
        <color rgb="FF000000"/>
        <rFont val="Times New Roman"/>
        <family val="1"/>
      </rPr>
      <t>n</t>
    </r>
    <r>
      <rPr>
        <sz val="12"/>
        <color rgb="FF000000"/>
        <rFont val="Times New Roman"/>
        <family val="1"/>
      </rPr>
      <t>e</t>
    </r>
    <r>
      <rPr>
        <sz val="12"/>
        <color rgb="FF000000"/>
        <rFont val="Times New Roman"/>
        <family val="1"/>
      </rPr>
      <t xml:space="preserve"> </t>
    </r>
    <r>
      <rPr>
        <sz val="12"/>
        <color rgb="FF000000"/>
        <rFont val="Times New Roman"/>
        <family val="1"/>
      </rPr>
      <t>1</t>
    </r>
  </si>
  <si>
    <r>
      <rPr>
        <sz val="12"/>
        <color rgb="FF000000"/>
        <rFont val="Times New Roman"/>
        <family val="1"/>
      </rPr>
      <t>2</t>
    </r>
  </si>
  <si>
    <r>
      <rPr>
        <sz val="12"/>
        <color rgb="FF000000"/>
        <rFont val="Times New Roman"/>
        <family val="1"/>
      </rPr>
      <t>D</t>
    </r>
    <r>
      <rPr>
        <sz val="12"/>
        <color rgb="FF000000"/>
        <rFont val="Times New Roman"/>
        <family val="1"/>
      </rPr>
      <t>R</t>
    </r>
    <r>
      <rPr>
        <sz val="12"/>
        <color rgb="FF000000"/>
        <rFont val="Times New Roman"/>
        <family val="1"/>
      </rPr>
      <t xml:space="preserve"> </t>
    </r>
    <r>
      <rPr>
        <sz val="12"/>
        <color rgb="FF000000"/>
        <rFont val="Times New Roman"/>
        <family val="1"/>
      </rPr>
      <t>D</t>
    </r>
    <r>
      <rPr>
        <sz val="12"/>
        <color rgb="FF000000"/>
        <rFont val="Times New Roman"/>
        <family val="1"/>
      </rPr>
      <t>e</t>
    </r>
    <r>
      <rPr>
        <sz val="12"/>
        <color rgb="FF000000"/>
        <rFont val="Times New Roman"/>
        <family val="1"/>
      </rPr>
      <t>s</t>
    </r>
    <r>
      <rPr>
        <sz val="12"/>
        <color rgb="FF000000"/>
        <rFont val="Times New Roman"/>
        <family val="1"/>
      </rPr>
      <t>i</t>
    </r>
    <r>
      <rPr>
        <sz val="12"/>
        <color rgb="FF000000"/>
        <rFont val="Times New Roman"/>
        <family val="1"/>
      </rPr>
      <t>g</t>
    </r>
    <r>
      <rPr>
        <sz val="12"/>
        <color rgb="FF000000"/>
        <rFont val="Times New Roman"/>
        <family val="1"/>
      </rPr>
      <t>n</t>
    </r>
    <r>
      <rPr>
        <sz val="12"/>
        <color rgb="FF000000"/>
        <rFont val="Times New Roman"/>
        <family val="1"/>
      </rPr>
      <t xml:space="preserve"> </t>
    </r>
    <r>
      <rPr>
        <sz val="12"/>
        <color rgb="FF000000"/>
        <rFont val="Times New Roman"/>
        <family val="1"/>
      </rPr>
      <t>F</t>
    </r>
    <r>
      <rPr>
        <sz val="12"/>
        <color rgb="FF000000"/>
        <rFont val="Times New Roman"/>
        <family val="1"/>
      </rPr>
      <t>i</t>
    </r>
    <r>
      <rPr>
        <sz val="12"/>
        <color rgb="FF000000"/>
        <rFont val="Times New Roman"/>
        <family val="1"/>
      </rPr>
      <t>n</t>
    </r>
    <r>
      <rPr>
        <sz val="12"/>
        <color rgb="FF000000"/>
        <rFont val="Times New Roman"/>
        <family val="1"/>
      </rPr>
      <t>a</t>
    </r>
    <r>
      <rPr>
        <sz val="12"/>
        <color rgb="FF000000"/>
        <rFont val="Times New Roman"/>
        <family val="1"/>
      </rPr>
      <t>li</t>
    </r>
    <r>
      <rPr>
        <sz val="12"/>
        <color rgb="FF000000"/>
        <rFont val="Times New Roman"/>
        <family val="1"/>
      </rPr>
      <t>z</t>
    </r>
    <r>
      <rPr>
        <sz val="12"/>
        <color rgb="FF000000"/>
        <rFont val="Times New Roman"/>
        <family val="1"/>
      </rPr>
      <t>e</t>
    </r>
    <r>
      <rPr>
        <sz val="12"/>
        <color rgb="FF000000"/>
        <rFont val="Times New Roman"/>
        <family val="1"/>
      </rPr>
      <t>d</t>
    </r>
  </si>
  <si>
    <r>
      <rPr>
        <sz val="12"/>
        <color rgb="FF000000"/>
        <rFont val="Times New Roman"/>
        <family val="1"/>
      </rPr>
      <t>T</t>
    </r>
    <r>
      <rPr>
        <sz val="12"/>
        <color rgb="FF000000"/>
        <rFont val="Times New Roman"/>
        <family val="1"/>
      </rPr>
      <t xml:space="preserve"> </t>
    </r>
    <r>
      <rPr>
        <sz val="12"/>
        <color rgb="FF000000"/>
        <rFont val="Times New Roman"/>
        <family val="1"/>
      </rPr>
      <t>+</t>
    </r>
    <r>
      <rPr>
        <sz val="12"/>
        <color rgb="FF000000"/>
        <rFont val="Times New Roman"/>
        <family val="1"/>
      </rPr>
      <t xml:space="preserve"> </t>
    </r>
    <r>
      <rPr>
        <sz val="12"/>
        <color rgb="FF000000"/>
        <rFont val="Times New Roman"/>
        <family val="1"/>
      </rPr>
      <t>2</t>
    </r>
    <r>
      <rPr>
        <sz val="12"/>
        <color rgb="FF000000"/>
        <rFont val="Times New Roman"/>
        <family val="1"/>
      </rPr>
      <t xml:space="preserve"> </t>
    </r>
    <r>
      <rPr>
        <sz val="12"/>
        <color rgb="FF000000"/>
        <rFont val="Times New Roman"/>
        <family val="1"/>
      </rPr>
      <t>W</t>
    </r>
    <r>
      <rPr>
        <sz val="12"/>
        <color rgb="FF000000"/>
        <rFont val="Times New Roman"/>
        <family val="1"/>
      </rPr>
      <t>e</t>
    </r>
    <r>
      <rPr>
        <sz val="12"/>
        <color rgb="FF000000"/>
        <rFont val="Times New Roman"/>
        <family val="1"/>
      </rPr>
      <t>e</t>
    </r>
    <r>
      <rPr>
        <sz val="12"/>
        <color rgb="FF000000"/>
        <rFont val="Times New Roman"/>
        <family val="1"/>
      </rPr>
      <t>k</t>
    </r>
    <r>
      <rPr>
        <sz val="12"/>
        <color rgb="FF000000"/>
        <rFont val="Times New Roman"/>
        <family val="1"/>
      </rPr>
      <t>s</t>
    </r>
  </si>
  <si>
    <r>
      <rPr>
        <sz val="12"/>
        <color rgb="FF000000"/>
        <rFont val="Times New Roman"/>
        <family val="1"/>
      </rPr>
      <t>A</t>
    </r>
    <r>
      <rPr>
        <sz val="12"/>
        <color rgb="FF000000"/>
        <rFont val="Times New Roman"/>
        <family val="1"/>
      </rPr>
      <t>p</t>
    </r>
    <r>
      <rPr>
        <sz val="12"/>
        <color rgb="FF000000"/>
        <rFont val="Times New Roman"/>
        <family val="1"/>
      </rPr>
      <t>p</t>
    </r>
    <r>
      <rPr>
        <sz val="12"/>
        <color rgb="FF000000"/>
        <rFont val="Times New Roman"/>
        <family val="1"/>
      </rPr>
      <t>r</t>
    </r>
    <r>
      <rPr>
        <sz val="12"/>
        <color rgb="FF000000"/>
        <rFont val="Times New Roman"/>
        <family val="1"/>
      </rPr>
      <t>o</t>
    </r>
    <r>
      <rPr>
        <sz val="12"/>
        <color rgb="FF000000"/>
        <rFont val="Times New Roman"/>
        <family val="1"/>
      </rPr>
      <t>v</t>
    </r>
    <r>
      <rPr>
        <sz val="12"/>
        <color rgb="FF000000"/>
        <rFont val="Times New Roman"/>
        <family val="1"/>
      </rPr>
      <t>e</t>
    </r>
    <r>
      <rPr>
        <sz val="12"/>
        <color rgb="FF000000"/>
        <rFont val="Times New Roman"/>
        <family val="1"/>
      </rPr>
      <t>d</t>
    </r>
    <r>
      <rPr>
        <sz val="12"/>
        <color rgb="FF000000"/>
        <rFont val="Times New Roman"/>
        <family val="1"/>
      </rPr>
      <t xml:space="preserve"> </t>
    </r>
    <r>
      <rPr>
        <sz val="12"/>
        <color rgb="FF000000"/>
        <rFont val="Times New Roman"/>
        <family val="1"/>
      </rPr>
      <t>A</t>
    </r>
    <r>
      <rPr>
        <sz val="12"/>
        <color rgb="FF000000"/>
        <rFont val="Times New Roman"/>
        <family val="1"/>
      </rPr>
      <t>r</t>
    </r>
    <r>
      <rPr>
        <sz val="12"/>
        <color rgb="FF000000"/>
        <rFont val="Times New Roman"/>
        <family val="1"/>
      </rPr>
      <t>c</t>
    </r>
    <r>
      <rPr>
        <sz val="12"/>
        <color rgb="FF000000"/>
        <rFont val="Times New Roman"/>
        <family val="1"/>
      </rPr>
      <t>h</t>
    </r>
    <r>
      <rPr>
        <sz val="12"/>
        <color rgb="FF000000"/>
        <rFont val="Times New Roman"/>
        <family val="1"/>
      </rPr>
      <t>i</t>
    </r>
    <r>
      <rPr>
        <sz val="12"/>
        <color rgb="FF000000"/>
        <rFont val="Times New Roman"/>
        <family val="1"/>
      </rPr>
      <t>t</t>
    </r>
    <r>
      <rPr>
        <sz val="12"/>
        <color rgb="FF000000"/>
        <rFont val="Times New Roman"/>
        <family val="1"/>
      </rPr>
      <t>e</t>
    </r>
    <r>
      <rPr>
        <sz val="12"/>
        <color rgb="FF000000"/>
        <rFont val="Times New Roman"/>
        <family val="1"/>
      </rPr>
      <t>c</t>
    </r>
    <r>
      <rPr>
        <sz val="12"/>
        <color rgb="FF000000"/>
        <rFont val="Times New Roman"/>
        <family val="1"/>
      </rPr>
      <t>t</t>
    </r>
    <r>
      <rPr>
        <sz val="12"/>
        <color rgb="FF000000"/>
        <rFont val="Times New Roman"/>
        <family val="1"/>
      </rPr>
      <t>u</t>
    </r>
    <r>
      <rPr>
        <sz val="12"/>
        <color rgb="FF000000"/>
        <rFont val="Times New Roman"/>
        <family val="1"/>
      </rPr>
      <t>r</t>
    </r>
    <r>
      <rPr>
        <sz val="12"/>
        <color rgb="FF000000"/>
        <rFont val="Times New Roman"/>
        <family val="1"/>
      </rPr>
      <t>e</t>
    </r>
    <r>
      <rPr>
        <sz val="12"/>
        <color rgb="FF000000"/>
        <rFont val="Times New Roman"/>
        <family val="1"/>
      </rPr>
      <t xml:space="preserve"> </t>
    </r>
    <r>
      <rPr>
        <sz val="12"/>
        <color rgb="FF000000"/>
        <rFont val="Times New Roman"/>
        <family val="1"/>
      </rPr>
      <t>&amp;</t>
    </r>
    <r>
      <rPr>
        <sz val="12"/>
        <color rgb="FF000000"/>
        <rFont val="Times New Roman"/>
        <family val="1"/>
      </rPr>
      <t xml:space="preserve"> </t>
    </r>
    <r>
      <rPr>
        <sz val="12"/>
        <color rgb="FF000000"/>
        <rFont val="Times New Roman"/>
        <family val="1"/>
      </rPr>
      <t>D</t>
    </r>
    <r>
      <rPr>
        <sz val="12"/>
        <color rgb="FF000000"/>
        <rFont val="Times New Roman"/>
        <family val="1"/>
      </rPr>
      <t>e</t>
    </r>
    <r>
      <rPr>
        <sz val="12"/>
        <color rgb="FF000000"/>
        <rFont val="Times New Roman"/>
        <family val="1"/>
      </rPr>
      <t>s</t>
    </r>
    <r>
      <rPr>
        <sz val="12"/>
        <color rgb="FF000000"/>
        <rFont val="Times New Roman"/>
        <family val="1"/>
      </rPr>
      <t>i</t>
    </r>
    <r>
      <rPr>
        <sz val="12"/>
        <color rgb="FF000000"/>
        <rFont val="Times New Roman"/>
        <family val="1"/>
      </rPr>
      <t>g</t>
    </r>
    <r>
      <rPr>
        <sz val="12"/>
        <color rgb="FF000000"/>
        <rFont val="Times New Roman"/>
        <family val="1"/>
      </rPr>
      <t>n</t>
    </r>
    <r>
      <rPr>
        <sz val="12"/>
        <color rgb="FF000000"/>
        <rFont val="Times New Roman"/>
        <family val="1"/>
      </rPr>
      <t xml:space="preserve"> </t>
    </r>
    <r>
      <rPr>
        <sz val="12"/>
        <color rgb="FF000000"/>
        <rFont val="Times New Roman"/>
        <family val="1"/>
      </rPr>
      <t>D</t>
    </r>
    <r>
      <rPr>
        <sz val="12"/>
        <color rgb="FF000000"/>
        <rFont val="Times New Roman"/>
        <family val="1"/>
      </rPr>
      <t>o</t>
    </r>
    <r>
      <rPr>
        <sz val="12"/>
        <color rgb="FF000000"/>
        <rFont val="Times New Roman"/>
        <family val="1"/>
      </rPr>
      <t>c</t>
    </r>
    <r>
      <rPr>
        <sz val="12"/>
        <color rgb="FF000000"/>
        <rFont val="Times New Roman"/>
        <family val="1"/>
      </rPr>
      <t>s</t>
    </r>
  </si>
  <si>
    <r>
      <rPr>
        <sz val="12"/>
        <color rgb="FF000000"/>
        <rFont val="Times New Roman"/>
        <family val="1"/>
      </rPr>
      <t>3</t>
    </r>
  </si>
  <si>
    <r>
      <rPr>
        <sz val="12"/>
        <color rgb="FF000000"/>
        <rFont val="Times New Roman"/>
        <family val="1"/>
      </rPr>
      <t>P</t>
    </r>
    <r>
      <rPr>
        <sz val="12"/>
        <color rgb="FF000000"/>
        <rFont val="Times New Roman"/>
        <family val="1"/>
      </rPr>
      <t>r</t>
    </r>
    <r>
      <rPr>
        <sz val="12"/>
        <color rgb="FF000000"/>
        <rFont val="Times New Roman"/>
        <family val="1"/>
      </rPr>
      <t>o</t>
    </r>
    <r>
      <rPr>
        <sz val="12"/>
        <color rgb="FF000000"/>
        <rFont val="Times New Roman"/>
        <family val="1"/>
      </rPr>
      <t>c</t>
    </r>
    <r>
      <rPr>
        <sz val="12"/>
        <color rgb="FF000000"/>
        <rFont val="Times New Roman"/>
        <family val="1"/>
      </rPr>
      <t>u</t>
    </r>
    <r>
      <rPr>
        <sz val="12"/>
        <color rgb="FF000000"/>
        <rFont val="Times New Roman"/>
        <family val="1"/>
      </rPr>
      <t>r</t>
    </r>
    <r>
      <rPr>
        <sz val="12"/>
        <color rgb="FF000000"/>
        <rFont val="Times New Roman"/>
        <family val="1"/>
      </rPr>
      <t>e</t>
    </r>
    <r>
      <rPr>
        <sz val="12"/>
        <color rgb="FF000000"/>
        <rFont val="Times New Roman"/>
        <family val="1"/>
      </rPr>
      <t>m</t>
    </r>
    <r>
      <rPr>
        <sz val="12"/>
        <color rgb="FF000000"/>
        <rFont val="Times New Roman"/>
        <family val="1"/>
      </rPr>
      <t>e</t>
    </r>
    <r>
      <rPr>
        <sz val="12"/>
        <color rgb="FF000000"/>
        <rFont val="Times New Roman"/>
        <family val="1"/>
      </rPr>
      <t>n</t>
    </r>
    <r>
      <rPr>
        <sz val="12"/>
        <color rgb="FF000000"/>
        <rFont val="Times New Roman"/>
        <family val="1"/>
      </rPr>
      <t>t</t>
    </r>
    <r>
      <rPr>
        <sz val="12"/>
        <color rgb="FF000000"/>
        <rFont val="Times New Roman"/>
        <family val="1"/>
      </rPr>
      <t xml:space="preserve"> </t>
    </r>
    <r>
      <rPr>
        <sz val="12"/>
        <color rgb="FF000000"/>
        <rFont val="Times New Roman"/>
        <family val="1"/>
      </rPr>
      <t>&amp;</t>
    </r>
    <r>
      <rPr>
        <sz val="12"/>
        <color rgb="FF000000"/>
        <rFont val="Times New Roman"/>
        <family val="1"/>
      </rPr>
      <t xml:space="preserve"> </t>
    </r>
    <r>
      <rPr>
        <sz val="12"/>
        <color rgb="FF000000"/>
        <rFont val="Times New Roman"/>
        <family val="1"/>
      </rPr>
      <t>P</t>
    </r>
    <r>
      <rPr>
        <sz val="12"/>
        <color rgb="FF000000"/>
        <rFont val="Times New Roman"/>
        <family val="1"/>
      </rPr>
      <t>r</t>
    </r>
    <r>
      <rPr>
        <sz val="12"/>
        <color rgb="FF000000"/>
        <rFont val="Times New Roman"/>
        <family val="1"/>
      </rPr>
      <t>o</t>
    </r>
    <r>
      <rPr>
        <sz val="12"/>
        <color rgb="FF000000"/>
        <rFont val="Times New Roman"/>
        <family val="1"/>
      </rPr>
      <t>v</t>
    </r>
    <r>
      <rPr>
        <sz val="12"/>
        <color rgb="FF000000"/>
        <rFont val="Times New Roman"/>
        <family val="1"/>
      </rPr>
      <t>i</t>
    </r>
    <r>
      <rPr>
        <sz val="12"/>
        <color rgb="FF000000"/>
        <rFont val="Times New Roman"/>
        <family val="1"/>
      </rPr>
      <t>s</t>
    </r>
    <r>
      <rPr>
        <sz val="12"/>
        <color rgb="FF000000"/>
        <rFont val="Times New Roman"/>
        <family val="1"/>
      </rPr>
      <t>i</t>
    </r>
    <r>
      <rPr>
        <sz val="12"/>
        <color rgb="FF000000"/>
        <rFont val="Times New Roman"/>
        <family val="1"/>
      </rPr>
      <t>on</t>
    </r>
    <r>
      <rPr>
        <sz val="12"/>
        <color rgb="FF000000"/>
        <rFont val="Times New Roman"/>
        <family val="1"/>
      </rPr>
      <t>i</t>
    </r>
    <r>
      <rPr>
        <sz val="12"/>
        <color rgb="FF000000"/>
        <rFont val="Times New Roman"/>
        <family val="1"/>
      </rPr>
      <t>n</t>
    </r>
    <r>
      <rPr>
        <sz val="12"/>
        <color rgb="FF000000"/>
        <rFont val="Times New Roman"/>
        <family val="1"/>
      </rPr>
      <t>g</t>
    </r>
  </si>
  <si>
    <r>
      <rPr>
        <sz val="12"/>
        <color rgb="FF000000"/>
        <rFont val="Times New Roman"/>
        <family val="1"/>
      </rPr>
      <t>T</t>
    </r>
    <r>
      <rPr>
        <sz val="12"/>
        <color rgb="FF000000"/>
        <rFont val="Times New Roman"/>
        <family val="1"/>
      </rPr>
      <t xml:space="preserve"> </t>
    </r>
    <r>
      <rPr>
        <sz val="12"/>
        <color rgb="FF000000"/>
        <rFont val="Times New Roman"/>
        <family val="1"/>
      </rPr>
      <t>+</t>
    </r>
    <r>
      <rPr>
        <sz val="12"/>
        <color rgb="FF000000"/>
        <rFont val="Times New Roman"/>
        <family val="1"/>
      </rPr>
      <t xml:space="preserve"> </t>
    </r>
    <r>
      <rPr>
        <sz val="12"/>
        <color rgb="FF000000"/>
        <rFont val="Times New Roman"/>
        <family val="1"/>
      </rPr>
      <t>4</t>
    </r>
    <r>
      <rPr>
        <sz val="12"/>
        <color rgb="FF000000"/>
        <rFont val="Times New Roman"/>
        <family val="1"/>
      </rPr>
      <t xml:space="preserve"> </t>
    </r>
    <r>
      <rPr>
        <sz val="12"/>
        <color rgb="FF000000"/>
        <rFont val="Times New Roman"/>
        <family val="1"/>
      </rPr>
      <t>W</t>
    </r>
    <r>
      <rPr>
        <sz val="12"/>
        <color rgb="FF000000"/>
        <rFont val="Times New Roman"/>
        <family val="1"/>
      </rPr>
      <t>e</t>
    </r>
    <r>
      <rPr>
        <sz val="12"/>
        <color rgb="FF000000"/>
        <rFont val="Times New Roman"/>
        <family val="1"/>
      </rPr>
      <t>e</t>
    </r>
    <r>
      <rPr>
        <sz val="12"/>
        <color rgb="FF000000"/>
        <rFont val="Times New Roman"/>
        <family val="1"/>
      </rPr>
      <t>k</t>
    </r>
    <r>
      <rPr>
        <sz val="12"/>
        <color rgb="FF000000"/>
        <rFont val="Times New Roman"/>
        <family val="1"/>
      </rPr>
      <t>s</t>
    </r>
  </si>
  <si>
    <r>
      <rPr>
        <sz val="12"/>
        <color rgb="FF000000"/>
        <rFont val="Times New Roman"/>
        <family val="1"/>
      </rPr>
      <t>R</t>
    </r>
    <r>
      <rPr>
        <sz val="12"/>
        <color rgb="FF000000"/>
        <rFont val="Times New Roman"/>
        <family val="1"/>
      </rPr>
      <t>e</t>
    </r>
    <r>
      <rPr>
        <sz val="12"/>
        <color rgb="FF000000"/>
        <rFont val="Times New Roman"/>
        <family val="1"/>
      </rPr>
      <t>s</t>
    </r>
    <r>
      <rPr>
        <sz val="12"/>
        <color rgb="FF000000"/>
        <rFont val="Times New Roman"/>
        <family val="1"/>
      </rPr>
      <t>ou</t>
    </r>
    <r>
      <rPr>
        <sz val="12"/>
        <color rgb="FF000000"/>
        <rFont val="Times New Roman"/>
        <family val="1"/>
      </rPr>
      <t>r</t>
    </r>
    <r>
      <rPr>
        <sz val="12"/>
        <color rgb="FF000000"/>
        <rFont val="Times New Roman"/>
        <family val="1"/>
      </rPr>
      <t>c</t>
    </r>
    <r>
      <rPr>
        <sz val="12"/>
        <color rgb="FF000000"/>
        <rFont val="Times New Roman"/>
        <family val="1"/>
      </rPr>
      <t>e</t>
    </r>
    <r>
      <rPr>
        <sz val="12"/>
        <color rgb="FF000000"/>
        <rFont val="Times New Roman"/>
        <family val="1"/>
      </rPr>
      <t>s</t>
    </r>
    <r>
      <rPr>
        <sz val="12"/>
        <color rgb="FF000000"/>
        <rFont val="Times New Roman"/>
        <family val="1"/>
      </rPr>
      <t xml:space="preserve"> </t>
    </r>
    <r>
      <rPr>
        <sz val="12"/>
        <color rgb="FF000000"/>
        <rFont val="Times New Roman"/>
        <family val="1"/>
      </rPr>
      <t>A</t>
    </r>
    <r>
      <rPr>
        <sz val="12"/>
        <color rgb="FF000000"/>
        <rFont val="Times New Roman"/>
        <family val="1"/>
      </rPr>
      <t>v</t>
    </r>
    <r>
      <rPr>
        <sz val="12"/>
        <color rgb="FF000000"/>
        <rFont val="Times New Roman"/>
        <family val="1"/>
      </rPr>
      <t>a</t>
    </r>
    <r>
      <rPr>
        <sz val="12"/>
        <color rgb="FF000000"/>
        <rFont val="Times New Roman"/>
        <family val="1"/>
      </rPr>
      <t>il</t>
    </r>
    <r>
      <rPr>
        <sz val="12"/>
        <color rgb="FF000000"/>
        <rFont val="Times New Roman"/>
        <family val="1"/>
      </rPr>
      <t>a</t>
    </r>
    <r>
      <rPr>
        <sz val="12"/>
        <color rgb="FF000000"/>
        <rFont val="Times New Roman"/>
        <family val="1"/>
      </rPr>
      <t>b</t>
    </r>
    <r>
      <rPr>
        <sz val="12"/>
        <color rgb="FF000000"/>
        <rFont val="Times New Roman"/>
        <family val="1"/>
      </rPr>
      <t>l</t>
    </r>
    <r>
      <rPr>
        <sz val="12"/>
        <color rgb="FF000000"/>
        <rFont val="Times New Roman"/>
        <family val="1"/>
      </rPr>
      <t>e</t>
    </r>
  </si>
  <si>
    <r>
      <rPr>
        <sz val="12"/>
        <color rgb="FF000000"/>
        <rFont val="Times New Roman"/>
        <family val="1"/>
      </rPr>
      <t>4</t>
    </r>
  </si>
  <si>
    <r>
      <rPr>
        <sz val="12"/>
        <color rgb="FF000000"/>
        <rFont val="Times New Roman"/>
        <family val="1"/>
      </rPr>
      <t>T</t>
    </r>
    <r>
      <rPr>
        <sz val="12"/>
        <color rgb="FF000000"/>
        <rFont val="Times New Roman"/>
        <family val="1"/>
      </rPr>
      <t xml:space="preserve"> </t>
    </r>
    <r>
      <rPr>
        <sz val="12"/>
        <color rgb="FF000000"/>
        <rFont val="Times New Roman"/>
        <family val="1"/>
      </rPr>
      <t>+</t>
    </r>
    <r>
      <rPr>
        <sz val="12"/>
        <color rgb="FF000000"/>
        <rFont val="Times New Roman"/>
        <family val="1"/>
      </rPr>
      <t xml:space="preserve"> </t>
    </r>
    <r>
      <rPr>
        <sz val="12"/>
        <color rgb="FF000000"/>
        <rFont val="Times New Roman"/>
        <family val="1"/>
      </rPr>
      <t>5</t>
    </r>
    <r>
      <rPr>
        <sz val="12"/>
        <color rgb="FF000000"/>
        <rFont val="Times New Roman"/>
        <family val="1"/>
      </rPr>
      <t xml:space="preserve"> </t>
    </r>
    <r>
      <rPr>
        <sz val="12"/>
        <color rgb="FF000000"/>
        <rFont val="Times New Roman"/>
        <family val="1"/>
      </rPr>
      <t>W</t>
    </r>
    <r>
      <rPr>
        <sz val="12"/>
        <color rgb="FF000000"/>
        <rFont val="Times New Roman"/>
        <family val="1"/>
      </rPr>
      <t>e</t>
    </r>
    <r>
      <rPr>
        <sz val="12"/>
        <color rgb="FF000000"/>
        <rFont val="Times New Roman"/>
        <family val="1"/>
      </rPr>
      <t>e</t>
    </r>
    <r>
      <rPr>
        <sz val="12"/>
        <color rgb="FF000000"/>
        <rFont val="Times New Roman"/>
        <family val="1"/>
      </rPr>
      <t>k</t>
    </r>
    <r>
      <rPr>
        <sz val="12"/>
        <color rgb="FF000000"/>
        <rFont val="Times New Roman"/>
        <family val="1"/>
      </rPr>
      <t>s</t>
    </r>
  </si>
  <si>
    <r>
      <rPr>
        <sz val="12"/>
        <color rgb="FF000000"/>
        <rFont val="Times New Roman"/>
        <family val="1"/>
      </rPr>
      <t>A</t>
    </r>
    <r>
      <rPr>
        <sz val="12"/>
        <color rgb="FF000000"/>
        <rFont val="Times New Roman"/>
        <family val="1"/>
      </rPr>
      <t>cc</t>
    </r>
    <r>
      <rPr>
        <sz val="12"/>
        <color rgb="FF000000"/>
        <rFont val="Times New Roman"/>
        <family val="1"/>
      </rPr>
      <t>e</t>
    </r>
    <r>
      <rPr>
        <sz val="12"/>
        <color rgb="FF000000"/>
        <rFont val="Times New Roman"/>
        <family val="1"/>
      </rPr>
      <t>p</t>
    </r>
    <r>
      <rPr>
        <sz val="12"/>
        <color rgb="FF000000"/>
        <rFont val="Times New Roman"/>
        <family val="1"/>
      </rPr>
      <t>t</t>
    </r>
    <r>
      <rPr>
        <sz val="12"/>
        <color rgb="FF000000"/>
        <rFont val="Times New Roman"/>
        <family val="1"/>
      </rPr>
      <t>a</t>
    </r>
    <r>
      <rPr>
        <sz val="12"/>
        <color rgb="FF000000"/>
        <rFont val="Times New Roman"/>
        <family val="1"/>
      </rPr>
      <t>n</t>
    </r>
    <r>
      <rPr>
        <sz val="12"/>
        <color rgb="FF000000"/>
        <rFont val="Times New Roman"/>
        <family val="1"/>
      </rPr>
      <t>c</t>
    </r>
    <r>
      <rPr>
        <sz val="12"/>
        <color rgb="FF000000"/>
        <rFont val="Times New Roman"/>
        <family val="1"/>
      </rPr>
      <t>e</t>
    </r>
    <r>
      <rPr>
        <sz val="12"/>
        <color rgb="FF000000"/>
        <rFont val="Times New Roman"/>
        <family val="1"/>
      </rPr>
      <t xml:space="preserve"> </t>
    </r>
    <r>
      <rPr>
        <sz val="12"/>
        <color rgb="FF000000"/>
        <rFont val="Times New Roman"/>
        <family val="1"/>
      </rPr>
      <t>b</t>
    </r>
    <r>
      <rPr>
        <sz val="12"/>
        <color rgb="FF000000"/>
        <rFont val="Times New Roman"/>
        <family val="1"/>
      </rPr>
      <t>y</t>
    </r>
    <r>
      <rPr>
        <sz val="12"/>
        <color rgb="FF000000"/>
        <rFont val="Times New Roman"/>
        <family val="1"/>
      </rPr>
      <t xml:space="preserve"> </t>
    </r>
    <r>
      <rPr>
        <sz val="12"/>
        <color rgb="FF000000"/>
        <rFont val="Times New Roman"/>
        <family val="1"/>
      </rPr>
      <t>I</t>
    </r>
    <r>
      <rPr>
        <sz val="12"/>
        <color rgb="FF000000"/>
        <rFont val="Times New Roman"/>
        <family val="1"/>
      </rPr>
      <t>B</t>
    </r>
    <r>
      <rPr>
        <sz val="12"/>
        <color rgb="FF000000"/>
        <rFont val="Times New Roman"/>
        <family val="1"/>
      </rPr>
      <t>P</t>
    </r>
    <r>
      <rPr>
        <sz val="12"/>
        <color rgb="FF000000"/>
        <rFont val="Times New Roman"/>
        <family val="1"/>
      </rPr>
      <t>S</t>
    </r>
    <r>
      <rPr>
        <sz val="12"/>
        <color rgb="FF000000"/>
        <rFont val="Times New Roman"/>
        <family val="1"/>
      </rPr>
      <t xml:space="preserve"> </t>
    </r>
    <r>
      <rPr>
        <sz val="12"/>
        <color rgb="FF000000"/>
        <rFont val="Times New Roman"/>
        <family val="1"/>
      </rPr>
      <t>o</t>
    </r>
    <r>
      <rPr>
        <sz val="12"/>
        <color rgb="FF000000"/>
        <rFont val="Times New Roman"/>
        <family val="1"/>
      </rPr>
      <t xml:space="preserve">f
</t>
    </r>
    <r>
      <rPr>
        <sz val="12"/>
        <color rgb="FF000000"/>
        <rFont val="Times New Roman"/>
        <family val="1"/>
      </rPr>
      <t>R</t>
    </r>
    <r>
      <rPr>
        <sz val="12"/>
        <color rgb="FF000000"/>
        <rFont val="Times New Roman"/>
        <family val="1"/>
      </rPr>
      <t>e</t>
    </r>
    <r>
      <rPr>
        <sz val="12"/>
        <color rgb="FF000000"/>
        <rFont val="Times New Roman"/>
        <family val="1"/>
      </rPr>
      <t>c</t>
    </r>
    <r>
      <rPr>
        <sz val="12"/>
        <color rgb="FF000000"/>
        <rFont val="Times New Roman"/>
        <family val="1"/>
      </rPr>
      <t>e</t>
    </r>
    <r>
      <rPr>
        <sz val="12"/>
        <color rgb="FF000000"/>
        <rFont val="Times New Roman"/>
        <family val="1"/>
      </rPr>
      <t>i</t>
    </r>
    <r>
      <rPr>
        <sz val="12"/>
        <color rgb="FF000000"/>
        <rFont val="Times New Roman"/>
        <family val="1"/>
      </rPr>
      <t>v</t>
    </r>
    <r>
      <rPr>
        <sz val="12"/>
        <color rgb="FF000000"/>
        <rFont val="Times New Roman"/>
        <family val="1"/>
      </rPr>
      <t>i</t>
    </r>
    <r>
      <rPr>
        <sz val="12"/>
        <color rgb="FF000000"/>
        <rFont val="Times New Roman"/>
        <family val="1"/>
      </rPr>
      <t>n</t>
    </r>
    <r>
      <rPr>
        <sz val="12"/>
        <color rgb="FF000000"/>
        <rFont val="Times New Roman"/>
        <family val="1"/>
      </rPr>
      <t>g</t>
    </r>
    <r>
      <rPr>
        <sz val="12"/>
        <color rgb="FF000000"/>
        <rFont val="Times New Roman"/>
        <family val="1"/>
      </rPr>
      <t xml:space="preserve"> </t>
    </r>
    <r>
      <rPr>
        <sz val="12"/>
        <color rgb="FF000000"/>
        <rFont val="Times New Roman"/>
        <family val="1"/>
      </rPr>
      <t>t</t>
    </r>
    <r>
      <rPr>
        <sz val="12"/>
        <color rgb="FF000000"/>
        <rFont val="Times New Roman"/>
        <family val="1"/>
      </rPr>
      <t>h</t>
    </r>
    <r>
      <rPr>
        <sz val="12"/>
        <color rgb="FF000000"/>
        <rFont val="Times New Roman"/>
        <family val="1"/>
      </rPr>
      <t>e</t>
    </r>
    <r>
      <rPr>
        <sz val="12"/>
        <color rgb="FF000000"/>
        <rFont val="Times New Roman"/>
        <family val="1"/>
      </rPr>
      <t xml:space="preserve"> </t>
    </r>
    <r>
      <rPr>
        <sz val="12"/>
        <color rgb="FF000000"/>
        <rFont val="Times New Roman"/>
        <family val="1"/>
      </rPr>
      <t>E</t>
    </r>
    <r>
      <rPr>
        <sz val="12"/>
        <color rgb="FF000000"/>
        <rFont val="Times New Roman"/>
        <family val="1"/>
      </rPr>
      <t>qu</t>
    </r>
    <r>
      <rPr>
        <sz val="12"/>
        <color rgb="FF000000"/>
        <rFont val="Times New Roman"/>
        <family val="1"/>
      </rPr>
      <t>i</t>
    </r>
    <r>
      <rPr>
        <sz val="12"/>
        <color rgb="FF000000"/>
        <rFont val="Times New Roman"/>
        <family val="1"/>
      </rPr>
      <t>p</t>
    </r>
    <r>
      <rPr>
        <sz val="12"/>
        <color rgb="FF000000"/>
        <rFont val="Times New Roman"/>
        <family val="1"/>
      </rPr>
      <t>m</t>
    </r>
    <r>
      <rPr>
        <sz val="12"/>
        <color rgb="FF000000"/>
        <rFont val="Times New Roman"/>
        <family val="1"/>
      </rPr>
      <t>e</t>
    </r>
    <r>
      <rPr>
        <sz val="12"/>
        <color rgb="FF000000"/>
        <rFont val="Times New Roman"/>
        <family val="1"/>
      </rPr>
      <t>n</t>
    </r>
    <r>
      <rPr>
        <sz val="12"/>
        <color rgb="FF000000"/>
        <rFont val="Times New Roman"/>
        <family val="1"/>
      </rPr>
      <t>t</t>
    </r>
  </si>
  <si>
    <r>
      <rPr>
        <sz val="12"/>
        <color rgb="FF000000"/>
        <rFont val="Times New Roman"/>
        <family val="1"/>
      </rPr>
      <t>5</t>
    </r>
  </si>
  <si>
    <r>
      <rPr>
        <sz val="12"/>
        <color rgb="FF000000"/>
        <rFont val="Times New Roman"/>
        <family val="1"/>
      </rPr>
      <t>S</t>
    </r>
    <r>
      <rPr>
        <sz val="12"/>
        <color rgb="FF000000"/>
        <rFont val="Times New Roman"/>
        <family val="1"/>
      </rPr>
      <t>u</t>
    </r>
    <r>
      <rPr>
        <sz val="12"/>
        <color rgb="FF000000"/>
        <rFont val="Times New Roman"/>
        <family val="1"/>
      </rPr>
      <t>b</t>
    </r>
    <r>
      <rPr>
        <sz val="12"/>
        <color rgb="FF000000"/>
        <rFont val="Times New Roman"/>
        <family val="1"/>
      </rPr>
      <t>m</t>
    </r>
    <r>
      <rPr>
        <sz val="12"/>
        <color rgb="FF000000"/>
        <rFont val="Times New Roman"/>
        <family val="1"/>
      </rPr>
      <t>i</t>
    </r>
    <r>
      <rPr>
        <sz val="12"/>
        <color rgb="FF000000"/>
        <rFont val="Times New Roman"/>
        <family val="1"/>
      </rPr>
      <t>ss</t>
    </r>
    <r>
      <rPr>
        <sz val="12"/>
        <color rgb="FF000000"/>
        <rFont val="Times New Roman"/>
        <family val="1"/>
      </rPr>
      <t>i</t>
    </r>
    <r>
      <rPr>
        <sz val="12"/>
        <color rgb="FF000000"/>
        <rFont val="Times New Roman"/>
        <family val="1"/>
      </rPr>
      <t>o</t>
    </r>
    <r>
      <rPr>
        <sz val="12"/>
        <color rgb="FF000000"/>
        <rFont val="Times New Roman"/>
        <family val="1"/>
      </rPr>
      <t>n</t>
    </r>
    <r>
      <rPr>
        <sz val="12"/>
        <color rgb="FF000000"/>
        <rFont val="Times New Roman"/>
        <family val="1"/>
      </rPr>
      <t xml:space="preserve"> </t>
    </r>
    <r>
      <rPr>
        <sz val="12"/>
        <color rgb="FF000000"/>
        <rFont val="Times New Roman"/>
        <family val="1"/>
      </rPr>
      <t>o</t>
    </r>
    <r>
      <rPr>
        <sz val="12"/>
        <color rgb="FF000000"/>
        <rFont val="Times New Roman"/>
        <family val="1"/>
      </rPr>
      <t>f</t>
    </r>
    <r>
      <rPr>
        <sz val="12"/>
        <color rgb="FF000000"/>
        <rFont val="Times New Roman"/>
        <family val="1"/>
      </rPr>
      <t xml:space="preserve"> </t>
    </r>
    <r>
      <rPr>
        <sz val="12"/>
        <color rgb="FF000000"/>
        <rFont val="Times New Roman"/>
        <family val="1"/>
      </rPr>
      <t>D</t>
    </r>
    <r>
      <rPr>
        <sz val="12"/>
        <color rgb="FF000000"/>
        <rFont val="Times New Roman"/>
        <family val="1"/>
      </rPr>
      <t>R</t>
    </r>
    <r>
      <rPr>
        <sz val="12"/>
        <color rgb="FF000000"/>
        <rFont val="Times New Roman"/>
        <family val="1"/>
      </rPr>
      <t xml:space="preserve"> </t>
    </r>
    <r>
      <rPr>
        <sz val="12"/>
        <color rgb="FF000000"/>
        <rFont val="Times New Roman"/>
        <family val="1"/>
      </rPr>
      <t>H</t>
    </r>
    <r>
      <rPr>
        <sz val="12"/>
        <color rgb="FF000000"/>
        <rFont val="Times New Roman"/>
        <family val="1"/>
      </rPr>
      <t>a</t>
    </r>
    <r>
      <rPr>
        <sz val="12"/>
        <color rgb="FF000000"/>
        <rFont val="Times New Roman"/>
        <family val="1"/>
      </rPr>
      <t>nd</t>
    </r>
    <r>
      <rPr>
        <sz val="12"/>
        <color rgb="FF000000"/>
        <rFont val="Times New Roman"/>
        <family val="1"/>
      </rPr>
      <t>o</t>
    </r>
    <r>
      <rPr>
        <sz val="12"/>
        <color rgb="FF000000"/>
        <rFont val="Times New Roman"/>
        <family val="1"/>
      </rPr>
      <t>v</t>
    </r>
    <r>
      <rPr>
        <sz val="12"/>
        <color rgb="FF000000"/>
        <rFont val="Times New Roman"/>
        <family val="1"/>
      </rPr>
      <t>e</t>
    </r>
    <r>
      <rPr>
        <sz val="12"/>
        <color rgb="FF000000"/>
        <rFont val="Times New Roman"/>
        <family val="1"/>
      </rPr>
      <t>r</t>
    </r>
    <r>
      <rPr>
        <sz val="12"/>
        <color rgb="FF000000"/>
        <rFont val="Times New Roman"/>
        <family val="1"/>
      </rPr>
      <t xml:space="preserve"> </t>
    </r>
    <r>
      <rPr>
        <sz val="12"/>
        <color rgb="FF000000"/>
        <rFont val="Times New Roman"/>
        <family val="1"/>
      </rPr>
      <t>P</t>
    </r>
    <r>
      <rPr>
        <sz val="12"/>
        <color rgb="FF000000"/>
        <rFont val="Times New Roman"/>
        <family val="1"/>
      </rPr>
      <t>l</t>
    </r>
    <r>
      <rPr>
        <sz val="12"/>
        <color rgb="FF000000"/>
        <rFont val="Times New Roman"/>
        <family val="1"/>
      </rPr>
      <t>a</t>
    </r>
    <r>
      <rPr>
        <sz val="12"/>
        <color rgb="FF000000"/>
        <rFont val="Times New Roman"/>
        <family val="1"/>
      </rPr>
      <t>n</t>
    </r>
    <r>
      <rPr>
        <sz val="12"/>
        <color rgb="FF000000"/>
        <rFont val="Times New Roman"/>
        <family val="1"/>
      </rPr>
      <t xml:space="preserve"> </t>
    </r>
    <r>
      <rPr>
        <sz val="12"/>
        <color rgb="FF000000"/>
        <rFont val="Times New Roman"/>
        <family val="1"/>
      </rPr>
      <t>"</t>
    </r>
    <r>
      <rPr>
        <sz val="12"/>
        <color rgb="FF000000"/>
        <rFont val="Times New Roman"/>
        <family val="1"/>
      </rPr>
      <t>H</t>
    </r>
    <r>
      <rPr>
        <sz val="12"/>
        <color rgb="FF000000"/>
        <rFont val="Times New Roman"/>
        <family val="1"/>
      </rPr>
      <t>O</t>
    </r>
    <r>
      <rPr>
        <sz val="12"/>
        <color rgb="FF000000"/>
        <rFont val="Times New Roman"/>
        <family val="1"/>
      </rPr>
      <t xml:space="preserve"> </t>
    </r>
    <r>
      <rPr>
        <sz val="12"/>
        <color rgb="FF000000"/>
        <rFont val="Times New Roman"/>
        <family val="1"/>
      </rPr>
      <t>P</t>
    </r>
    <r>
      <rPr>
        <sz val="12"/>
        <color rgb="FF000000"/>
        <rFont val="Times New Roman"/>
        <family val="1"/>
      </rPr>
      <t>l</t>
    </r>
    <r>
      <rPr>
        <sz val="12"/>
        <color rgb="FF000000"/>
        <rFont val="Times New Roman"/>
        <family val="1"/>
      </rPr>
      <t>a</t>
    </r>
    <r>
      <rPr>
        <sz val="12"/>
        <color rgb="FF000000"/>
        <rFont val="Times New Roman"/>
        <family val="1"/>
      </rPr>
      <t>n</t>
    </r>
    <r>
      <rPr>
        <sz val="12"/>
        <color rgb="FF000000"/>
        <rFont val="Times New Roman"/>
        <family val="1"/>
      </rPr>
      <t>"</t>
    </r>
  </si>
  <si>
    <r>
      <rPr>
        <sz val="12"/>
        <color rgb="FF000000"/>
        <rFont val="Times New Roman"/>
        <family val="1"/>
      </rPr>
      <t>T</t>
    </r>
    <r>
      <rPr>
        <sz val="12"/>
        <color rgb="FF000000"/>
        <rFont val="Times New Roman"/>
        <family val="1"/>
      </rPr>
      <t xml:space="preserve"> </t>
    </r>
    <r>
      <rPr>
        <sz val="12"/>
        <color rgb="FF000000"/>
        <rFont val="Times New Roman"/>
        <family val="1"/>
      </rPr>
      <t>+</t>
    </r>
    <r>
      <rPr>
        <sz val="12"/>
        <color rgb="FF000000"/>
        <rFont val="Times New Roman"/>
        <family val="1"/>
      </rPr>
      <t xml:space="preserve"> </t>
    </r>
    <r>
      <rPr>
        <sz val="12"/>
        <color rgb="FF000000"/>
        <rFont val="Times New Roman"/>
        <family val="1"/>
      </rPr>
      <t>6</t>
    </r>
    <r>
      <rPr>
        <sz val="12"/>
        <color rgb="FF000000"/>
        <rFont val="Times New Roman"/>
        <family val="1"/>
      </rPr>
      <t xml:space="preserve"> </t>
    </r>
    <r>
      <rPr>
        <sz val="12"/>
        <color rgb="FF000000"/>
        <rFont val="Times New Roman"/>
        <family val="1"/>
      </rPr>
      <t>W</t>
    </r>
    <r>
      <rPr>
        <sz val="12"/>
        <color rgb="FF000000"/>
        <rFont val="Times New Roman"/>
        <family val="1"/>
      </rPr>
      <t>e</t>
    </r>
    <r>
      <rPr>
        <sz val="12"/>
        <color rgb="FF000000"/>
        <rFont val="Times New Roman"/>
        <family val="1"/>
      </rPr>
      <t>e</t>
    </r>
    <r>
      <rPr>
        <sz val="12"/>
        <color rgb="FF000000"/>
        <rFont val="Times New Roman"/>
        <family val="1"/>
      </rPr>
      <t>k</t>
    </r>
    <r>
      <rPr>
        <sz val="12"/>
        <color rgb="FF000000"/>
        <rFont val="Times New Roman"/>
        <family val="1"/>
      </rPr>
      <t>s</t>
    </r>
  </si>
  <si>
    <r>
      <rPr>
        <sz val="12"/>
        <color rgb="FF000000"/>
        <rFont val="Times New Roman"/>
        <family val="1"/>
      </rPr>
      <t>A</t>
    </r>
    <r>
      <rPr>
        <sz val="12"/>
        <color rgb="FF000000"/>
        <rFont val="Times New Roman"/>
        <family val="1"/>
      </rPr>
      <t>cc</t>
    </r>
    <r>
      <rPr>
        <sz val="12"/>
        <color rgb="FF000000"/>
        <rFont val="Times New Roman"/>
        <family val="1"/>
      </rPr>
      <t>e</t>
    </r>
    <r>
      <rPr>
        <sz val="12"/>
        <color rgb="FF000000"/>
        <rFont val="Times New Roman"/>
        <family val="1"/>
      </rPr>
      <t>p</t>
    </r>
    <r>
      <rPr>
        <sz val="12"/>
        <color rgb="FF000000"/>
        <rFont val="Times New Roman"/>
        <family val="1"/>
      </rPr>
      <t>t</t>
    </r>
    <r>
      <rPr>
        <sz val="12"/>
        <color rgb="FF000000"/>
        <rFont val="Times New Roman"/>
        <family val="1"/>
      </rPr>
      <t>a</t>
    </r>
    <r>
      <rPr>
        <sz val="12"/>
        <color rgb="FF000000"/>
        <rFont val="Times New Roman"/>
        <family val="1"/>
      </rPr>
      <t>n</t>
    </r>
    <r>
      <rPr>
        <sz val="12"/>
        <color rgb="FF000000"/>
        <rFont val="Times New Roman"/>
        <family val="1"/>
      </rPr>
      <t>c</t>
    </r>
    <r>
      <rPr>
        <sz val="12"/>
        <color rgb="FF000000"/>
        <rFont val="Times New Roman"/>
        <family val="1"/>
      </rPr>
      <t>e</t>
    </r>
    <r>
      <rPr>
        <sz val="12"/>
        <color rgb="FF000000"/>
        <rFont val="Times New Roman"/>
        <family val="1"/>
      </rPr>
      <t xml:space="preserve"> </t>
    </r>
    <r>
      <rPr>
        <sz val="12"/>
        <color rgb="FF000000"/>
        <rFont val="Times New Roman"/>
        <family val="1"/>
      </rPr>
      <t>f</t>
    </r>
    <r>
      <rPr>
        <sz val="12"/>
        <color rgb="FF000000"/>
        <rFont val="Times New Roman"/>
        <family val="1"/>
      </rPr>
      <t>o</t>
    </r>
    <r>
      <rPr>
        <sz val="12"/>
        <color rgb="FF000000"/>
        <rFont val="Times New Roman"/>
        <family val="1"/>
      </rPr>
      <t>r</t>
    </r>
    <r>
      <rPr>
        <sz val="12"/>
        <color rgb="FF000000"/>
        <rFont val="Times New Roman"/>
        <family val="1"/>
      </rPr>
      <t xml:space="preserve"> </t>
    </r>
    <r>
      <rPr>
        <sz val="12"/>
        <color rgb="FF000000"/>
        <rFont val="Times New Roman"/>
        <family val="1"/>
      </rPr>
      <t>C</t>
    </r>
    <r>
      <rPr>
        <sz val="12"/>
        <color rgb="FF000000"/>
        <rFont val="Times New Roman"/>
        <family val="1"/>
      </rPr>
      <t>o</t>
    </r>
    <r>
      <rPr>
        <sz val="12"/>
        <color rgb="FF000000"/>
        <rFont val="Times New Roman"/>
        <family val="1"/>
      </rPr>
      <t>m</t>
    </r>
    <r>
      <rPr>
        <sz val="12"/>
        <color rgb="FF000000"/>
        <rFont val="Times New Roman"/>
        <family val="1"/>
      </rPr>
      <t>p</t>
    </r>
    <r>
      <rPr>
        <sz val="12"/>
        <color rgb="FF000000"/>
        <rFont val="Times New Roman"/>
        <family val="1"/>
      </rPr>
      <t>l</t>
    </r>
    <r>
      <rPr>
        <sz val="12"/>
        <color rgb="FF000000"/>
        <rFont val="Times New Roman"/>
        <family val="1"/>
      </rPr>
      <t>e</t>
    </r>
    <r>
      <rPr>
        <sz val="12"/>
        <color rgb="FF000000"/>
        <rFont val="Times New Roman"/>
        <family val="1"/>
      </rPr>
      <t>t</t>
    </r>
    <r>
      <rPr>
        <sz val="12"/>
        <color rgb="FF000000"/>
        <rFont val="Times New Roman"/>
        <family val="1"/>
      </rPr>
      <t>e</t>
    </r>
    <r>
      <rPr>
        <sz val="12"/>
        <color rgb="FF000000"/>
        <rFont val="Times New Roman"/>
        <family val="1"/>
      </rPr>
      <t xml:space="preserve"> </t>
    </r>
    <r>
      <rPr>
        <sz val="12"/>
        <color rgb="FF000000"/>
        <rFont val="Times New Roman"/>
        <family val="1"/>
      </rPr>
      <t>M</t>
    </r>
    <r>
      <rPr>
        <sz val="12"/>
        <color rgb="FF000000"/>
        <rFont val="Times New Roman"/>
        <family val="1"/>
      </rPr>
      <t>il</t>
    </r>
    <r>
      <rPr>
        <sz val="12"/>
        <color rgb="FF000000"/>
        <rFont val="Times New Roman"/>
        <family val="1"/>
      </rPr>
      <t>e</t>
    </r>
    <r>
      <rPr>
        <sz val="12"/>
        <color rgb="FF000000"/>
        <rFont val="Times New Roman"/>
        <family val="1"/>
      </rPr>
      <t>s</t>
    </r>
    <r>
      <rPr>
        <sz val="12"/>
        <color rgb="FF000000"/>
        <rFont val="Times New Roman"/>
        <family val="1"/>
      </rPr>
      <t>t</t>
    </r>
    <r>
      <rPr>
        <sz val="12"/>
        <color rgb="FF000000"/>
        <rFont val="Times New Roman"/>
        <family val="1"/>
      </rPr>
      <t>o</t>
    </r>
    <r>
      <rPr>
        <sz val="12"/>
        <color rgb="FF000000"/>
        <rFont val="Times New Roman"/>
        <family val="1"/>
      </rPr>
      <t>n</t>
    </r>
    <r>
      <rPr>
        <sz val="12"/>
        <color rgb="FF000000"/>
        <rFont val="Times New Roman"/>
        <family val="1"/>
      </rPr>
      <t>e</t>
    </r>
    <r>
      <rPr>
        <sz val="12"/>
        <color rgb="FF000000"/>
        <rFont val="Times New Roman"/>
        <family val="1"/>
      </rPr>
      <t xml:space="preserve"> </t>
    </r>
    <r>
      <rPr>
        <sz val="12"/>
        <color rgb="FF000000"/>
        <rFont val="Times New Roman"/>
        <family val="1"/>
      </rPr>
      <t>1</t>
    </r>
    <r>
      <rPr>
        <sz val="12"/>
        <color rgb="FF000000"/>
        <rFont val="Times New Roman"/>
        <family val="1"/>
      </rPr>
      <t xml:space="preserve"> </t>
    </r>
    <r>
      <rPr>
        <sz val="12"/>
        <color rgb="FF000000"/>
        <rFont val="Times New Roman"/>
        <family val="1"/>
      </rPr>
      <t>a</t>
    </r>
    <r>
      <rPr>
        <sz val="12"/>
        <color rgb="FF000000"/>
        <rFont val="Times New Roman"/>
        <family val="1"/>
      </rPr>
      <t>nd</t>
    </r>
    <r>
      <rPr>
        <sz val="12"/>
        <color rgb="FF000000"/>
        <rFont val="Times New Roman"/>
        <family val="1"/>
      </rPr>
      <t xml:space="preserve"> </t>
    </r>
    <r>
      <rPr>
        <sz val="12"/>
        <color rgb="FF000000"/>
        <rFont val="Times New Roman"/>
        <family val="1"/>
      </rPr>
      <t>i</t>
    </r>
    <r>
      <rPr>
        <sz val="12"/>
        <color rgb="FF000000"/>
        <rFont val="Times New Roman"/>
        <family val="1"/>
      </rPr>
      <t>s</t>
    </r>
    <r>
      <rPr>
        <sz val="12"/>
        <color rgb="FF000000"/>
        <rFont val="Times New Roman"/>
        <family val="1"/>
      </rPr>
      <t>s</t>
    </r>
    <r>
      <rPr>
        <sz val="12"/>
        <color rgb="FF000000"/>
        <rFont val="Times New Roman"/>
        <family val="1"/>
      </rPr>
      <t>u</t>
    </r>
    <r>
      <rPr>
        <sz val="12"/>
        <color rgb="FF000000"/>
        <rFont val="Times New Roman"/>
        <family val="1"/>
      </rPr>
      <t>a</t>
    </r>
    <r>
      <rPr>
        <sz val="12"/>
        <color rgb="FF000000"/>
        <rFont val="Times New Roman"/>
        <family val="1"/>
      </rPr>
      <t>n</t>
    </r>
    <r>
      <rPr>
        <sz val="12"/>
        <color rgb="FF000000"/>
        <rFont val="Times New Roman"/>
        <family val="1"/>
      </rPr>
      <t>c</t>
    </r>
    <r>
      <rPr>
        <sz val="12"/>
        <color rgb="FF000000"/>
        <rFont val="Times New Roman"/>
        <family val="1"/>
      </rPr>
      <t>e</t>
    </r>
    <r>
      <rPr>
        <sz val="12"/>
        <color rgb="FF000000"/>
        <rFont val="Times New Roman"/>
        <family val="1"/>
      </rPr>
      <t xml:space="preserve"> </t>
    </r>
    <r>
      <rPr>
        <sz val="12"/>
        <color rgb="FF000000"/>
        <rFont val="Times New Roman"/>
        <family val="1"/>
      </rPr>
      <t>o</t>
    </r>
    <r>
      <rPr>
        <sz val="12"/>
        <color rgb="FF000000"/>
        <rFont val="Times New Roman"/>
        <family val="1"/>
      </rPr>
      <t>f</t>
    </r>
    <r>
      <rPr>
        <sz val="12"/>
        <color rgb="FF000000"/>
        <rFont val="Times New Roman"/>
        <family val="1"/>
      </rPr>
      <t xml:space="preserve"> </t>
    </r>
    <r>
      <rPr>
        <sz val="12"/>
        <color rgb="FF000000"/>
        <rFont val="Times New Roman"/>
        <family val="1"/>
      </rPr>
      <t>a</t>
    </r>
    <r>
      <rPr>
        <sz val="12"/>
        <color rgb="FF000000"/>
        <rFont val="Times New Roman"/>
        <family val="1"/>
      </rPr>
      <t>cc</t>
    </r>
    <r>
      <rPr>
        <sz val="12"/>
        <color rgb="FF000000"/>
        <rFont val="Times New Roman"/>
        <family val="1"/>
      </rPr>
      <t>e</t>
    </r>
    <r>
      <rPr>
        <sz val="12"/>
        <color rgb="FF000000"/>
        <rFont val="Times New Roman"/>
        <family val="1"/>
      </rPr>
      <t>p</t>
    </r>
    <r>
      <rPr>
        <sz val="12"/>
        <color rgb="FF000000"/>
        <rFont val="Times New Roman"/>
        <family val="1"/>
      </rPr>
      <t>t</t>
    </r>
    <r>
      <rPr>
        <sz val="12"/>
        <color rgb="FF000000"/>
        <rFont val="Times New Roman"/>
        <family val="1"/>
      </rPr>
      <t>a</t>
    </r>
    <r>
      <rPr>
        <sz val="12"/>
        <color rgb="FF000000"/>
        <rFont val="Times New Roman"/>
        <family val="1"/>
      </rPr>
      <t>n</t>
    </r>
    <r>
      <rPr>
        <sz val="12"/>
        <color rgb="FF000000"/>
        <rFont val="Times New Roman"/>
        <family val="1"/>
      </rPr>
      <t>c</t>
    </r>
    <r>
      <rPr>
        <sz val="12"/>
        <color rgb="FF000000"/>
        <rFont val="Times New Roman"/>
        <family val="1"/>
      </rPr>
      <t>e</t>
    </r>
    <r>
      <rPr>
        <sz val="12"/>
        <color rgb="FF000000"/>
        <rFont val="Times New Roman"/>
        <family val="1"/>
      </rPr>
      <t xml:space="preserve"> </t>
    </r>
    <r>
      <rPr>
        <sz val="12"/>
        <color rgb="FF000000"/>
        <rFont val="Times New Roman"/>
        <family val="1"/>
      </rPr>
      <t>c</t>
    </r>
    <r>
      <rPr>
        <sz val="12"/>
        <color rgb="FF000000"/>
        <rFont val="Times New Roman"/>
        <family val="1"/>
      </rPr>
      <t>e</t>
    </r>
    <r>
      <rPr>
        <sz val="12"/>
        <color rgb="FF000000"/>
        <rFont val="Times New Roman"/>
        <family val="1"/>
      </rPr>
      <t>r</t>
    </r>
    <r>
      <rPr>
        <sz val="12"/>
        <color rgb="FF000000"/>
        <rFont val="Times New Roman"/>
        <family val="1"/>
      </rPr>
      <t>t</t>
    </r>
    <r>
      <rPr>
        <sz val="12"/>
        <color rgb="FF000000"/>
        <rFont val="Times New Roman"/>
        <family val="1"/>
      </rPr>
      <t>i</t>
    </r>
    <r>
      <rPr>
        <sz val="12"/>
        <color rgb="FF000000"/>
        <rFont val="Times New Roman"/>
        <family val="1"/>
      </rPr>
      <t>f</t>
    </r>
    <r>
      <rPr>
        <sz val="12"/>
        <color rgb="FF000000"/>
        <rFont val="Times New Roman"/>
        <family val="1"/>
      </rPr>
      <t>i</t>
    </r>
    <r>
      <rPr>
        <sz val="12"/>
        <color rgb="FF000000"/>
        <rFont val="Times New Roman"/>
        <family val="1"/>
      </rPr>
      <t>c</t>
    </r>
    <r>
      <rPr>
        <sz val="12"/>
        <color rgb="FF000000"/>
        <rFont val="Times New Roman"/>
        <family val="1"/>
      </rPr>
      <t>a</t>
    </r>
    <r>
      <rPr>
        <sz val="12"/>
        <color rgb="FF000000"/>
        <rFont val="Times New Roman"/>
        <family val="1"/>
      </rPr>
      <t>t</t>
    </r>
    <r>
      <rPr>
        <sz val="12"/>
        <color rgb="FF000000"/>
        <rFont val="Times New Roman"/>
        <family val="1"/>
      </rPr>
      <t>e</t>
    </r>
    <r>
      <rPr>
        <sz val="12"/>
        <color rgb="FF000000"/>
        <rFont val="Times New Roman"/>
        <family val="1"/>
      </rPr>
      <t xml:space="preserve"> </t>
    </r>
    <r>
      <rPr>
        <sz val="12"/>
        <color rgb="FF000000"/>
        <rFont val="Times New Roman"/>
        <family val="1"/>
      </rPr>
      <t>s</t>
    </r>
    <r>
      <rPr>
        <sz val="12"/>
        <color rgb="FF000000"/>
        <rFont val="Times New Roman"/>
        <family val="1"/>
      </rPr>
      <t>ub</t>
    </r>
    <r>
      <rPr>
        <sz val="12"/>
        <color rgb="FF000000"/>
        <rFont val="Times New Roman"/>
        <family val="1"/>
      </rPr>
      <t>j</t>
    </r>
    <r>
      <rPr>
        <sz val="12"/>
        <color rgb="FF000000"/>
        <rFont val="Times New Roman"/>
        <family val="1"/>
      </rPr>
      <t>e</t>
    </r>
    <r>
      <rPr>
        <sz val="12"/>
        <color rgb="FF000000"/>
        <rFont val="Times New Roman"/>
        <family val="1"/>
      </rPr>
      <t>c</t>
    </r>
    <r>
      <rPr>
        <sz val="12"/>
        <color rgb="FF000000"/>
        <rFont val="Times New Roman"/>
        <family val="1"/>
      </rPr>
      <t>t</t>
    </r>
    <r>
      <rPr>
        <sz val="12"/>
        <color rgb="FF000000"/>
        <rFont val="Times New Roman"/>
        <family val="1"/>
      </rPr>
      <t xml:space="preserve"> </t>
    </r>
    <r>
      <rPr>
        <sz val="12"/>
        <color rgb="FF000000"/>
        <rFont val="Times New Roman"/>
        <family val="1"/>
      </rPr>
      <t>t</t>
    </r>
    <r>
      <rPr>
        <sz val="12"/>
        <color rgb="FF000000"/>
        <rFont val="Times New Roman"/>
        <family val="1"/>
      </rPr>
      <t>o</t>
    </r>
    <r>
      <rPr>
        <sz val="12"/>
        <color rgb="FF000000"/>
        <rFont val="Times New Roman"/>
        <family val="1"/>
      </rPr>
      <t xml:space="preserve"> </t>
    </r>
    <r>
      <rPr>
        <sz val="12"/>
        <color rgb="FF000000"/>
        <rFont val="Times New Roman"/>
        <family val="1"/>
      </rPr>
      <t>c</t>
    </r>
    <r>
      <rPr>
        <sz val="12"/>
        <color rgb="FF000000"/>
        <rFont val="Times New Roman"/>
        <family val="1"/>
      </rPr>
      <t>o</t>
    </r>
    <r>
      <rPr>
        <sz val="12"/>
        <color rgb="FF000000"/>
        <rFont val="Times New Roman"/>
        <family val="1"/>
      </rPr>
      <t>m</t>
    </r>
    <r>
      <rPr>
        <sz val="12"/>
        <color rgb="FF000000"/>
        <rFont val="Times New Roman"/>
        <family val="1"/>
      </rPr>
      <t>p</t>
    </r>
    <r>
      <rPr>
        <sz val="12"/>
        <color rgb="FF000000"/>
        <rFont val="Times New Roman"/>
        <family val="1"/>
      </rPr>
      <t>l</t>
    </r>
    <r>
      <rPr>
        <sz val="12"/>
        <color rgb="FF000000"/>
        <rFont val="Times New Roman"/>
        <family val="1"/>
      </rPr>
      <t>e</t>
    </r>
    <r>
      <rPr>
        <sz val="12"/>
        <color rgb="FF000000"/>
        <rFont val="Times New Roman"/>
        <family val="1"/>
      </rPr>
      <t>t</t>
    </r>
    <r>
      <rPr>
        <sz val="12"/>
        <color rgb="FF000000"/>
        <rFont val="Times New Roman"/>
        <family val="1"/>
      </rPr>
      <t>i</t>
    </r>
    <r>
      <rPr>
        <sz val="12"/>
        <color rgb="FF000000"/>
        <rFont val="Times New Roman"/>
        <family val="1"/>
      </rPr>
      <t>on</t>
    </r>
    <r>
      <rPr>
        <sz val="12"/>
        <color rgb="FF000000"/>
        <rFont val="Times New Roman"/>
        <family val="1"/>
      </rPr>
      <t xml:space="preserve"> </t>
    </r>
    <r>
      <rPr>
        <sz val="12"/>
        <color rgb="FF000000"/>
        <rFont val="Times New Roman"/>
        <family val="1"/>
      </rPr>
      <t>o</t>
    </r>
    <r>
      <rPr>
        <sz val="12"/>
        <color rgb="FF000000"/>
        <rFont val="Times New Roman"/>
        <family val="1"/>
      </rPr>
      <t>f</t>
    </r>
    <r>
      <rPr>
        <sz val="12"/>
        <color rgb="FF000000"/>
        <rFont val="Times New Roman"/>
        <family val="1"/>
      </rPr>
      <t xml:space="preserve"> </t>
    </r>
    <r>
      <rPr>
        <sz val="12"/>
        <color rgb="FF000000"/>
        <rFont val="Times New Roman"/>
        <family val="1"/>
      </rPr>
      <t>c</t>
    </r>
    <r>
      <rPr>
        <sz val="12"/>
        <color rgb="FF000000"/>
        <rFont val="Times New Roman"/>
        <family val="1"/>
      </rPr>
      <t>o</t>
    </r>
    <r>
      <rPr>
        <sz val="12"/>
        <color rgb="FF000000"/>
        <rFont val="Times New Roman"/>
        <family val="1"/>
      </rPr>
      <t>m</t>
    </r>
    <r>
      <rPr>
        <sz val="12"/>
        <color rgb="FF000000"/>
        <rFont val="Times New Roman"/>
        <family val="1"/>
      </rPr>
      <t>p</t>
    </r>
    <r>
      <rPr>
        <sz val="12"/>
        <color rgb="FF000000"/>
        <rFont val="Times New Roman"/>
        <family val="1"/>
      </rPr>
      <t>l</t>
    </r>
    <r>
      <rPr>
        <sz val="12"/>
        <color rgb="FF000000"/>
        <rFont val="Times New Roman"/>
        <family val="1"/>
      </rPr>
      <t>e</t>
    </r>
    <r>
      <rPr>
        <sz val="12"/>
        <color rgb="FF000000"/>
        <rFont val="Times New Roman"/>
        <family val="1"/>
      </rPr>
      <t>t</t>
    </r>
    <r>
      <rPr>
        <sz val="12"/>
        <color rgb="FF000000"/>
        <rFont val="Times New Roman"/>
        <family val="1"/>
      </rPr>
      <t>e</t>
    </r>
    <r>
      <rPr>
        <sz val="12"/>
        <color rgb="FF000000"/>
        <rFont val="Times New Roman"/>
        <family val="1"/>
      </rPr>
      <t xml:space="preserve"> </t>
    </r>
    <r>
      <rPr>
        <sz val="12"/>
        <color rgb="FF000000"/>
        <rFont val="Times New Roman"/>
        <family val="1"/>
      </rPr>
      <t>w</t>
    </r>
    <r>
      <rPr>
        <sz val="12"/>
        <color rgb="FF000000"/>
        <rFont val="Times New Roman"/>
        <family val="1"/>
      </rPr>
      <t>o</t>
    </r>
    <r>
      <rPr>
        <sz val="12"/>
        <color rgb="FF000000"/>
        <rFont val="Times New Roman"/>
        <family val="1"/>
      </rPr>
      <t>r</t>
    </r>
    <r>
      <rPr>
        <sz val="12"/>
        <color rgb="FF000000"/>
        <rFont val="Times New Roman"/>
        <family val="1"/>
      </rPr>
      <t>k</t>
    </r>
    <r>
      <rPr>
        <sz val="12"/>
        <color rgb="FF000000"/>
        <rFont val="Times New Roman"/>
        <family val="1"/>
      </rPr>
      <t xml:space="preserve"> </t>
    </r>
    <r>
      <rPr>
        <sz val="12"/>
        <color rgb="FF000000"/>
        <rFont val="Times New Roman"/>
        <family val="1"/>
      </rPr>
      <t>a</t>
    </r>
    <r>
      <rPr>
        <sz val="12"/>
        <color rgb="FF000000"/>
        <rFont val="Times New Roman"/>
        <family val="1"/>
      </rPr>
      <t>s</t>
    </r>
    <r>
      <rPr>
        <sz val="12"/>
        <color rgb="FF000000"/>
        <rFont val="Times New Roman"/>
        <family val="1"/>
      </rPr>
      <t xml:space="preserve"> </t>
    </r>
    <r>
      <rPr>
        <sz val="12"/>
        <color rgb="FF000000"/>
        <rFont val="Times New Roman"/>
        <family val="1"/>
      </rPr>
      <t>p</t>
    </r>
    <r>
      <rPr>
        <sz val="12"/>
        <color rgb="FF000000"/>
        <rFont val="Times New Roman"/>
        <family val="1"/>
      </rPr>
      <t>e</t>
    </r>
    <r>
      <rPr>
        <sz val="12"/>
        <color rgb="FF000000"/>
        <rFont val="Times New Roman"/>
        <family val="1"/>
      </rPr>
      <t>r</t>
    </r>
    <r>
      <rPr>
        <sz val="12"/>
        <color rgb="FF000000"/>
        <rFont val="Times New Roman"/>
        <family val="1"/>
      </rPr>
      <t xml:space="preserve"> </t>
    </r>
    <r>
      <rPr>
        <sz val="12"/>
        <color rgb="FF000000"/>
        <rFont val="Times New Roman"/>
        <family val="1"/>
      </rPr>
      <t>R</t>
    </r>
    <r>
      <rPr>
        <sz val="12"/>
        <color rgb="FF000000"/>
        <rFont val="Times New Roman"/>
        <family val="1"/>
      </rPr>
      <t>F</t>
    </r>
    <r>
      <rPr>
        <sz val="12"/>
        <color rgb="FF000000"/>
        <rFont val="Times New Roman"/>
        <family val="1"/>
      </rPr>
      <t>P</t>
    </r>
    <r>
      <rPr>
        <sz val="12"/>
        <color rgb="FF000000"/>
        <rFont val="Times New Roman"/>
        <family val="1"/>
      </rPr>
      <t>.</t>
    </r>
  </si>
  <si>
    <r>
      <rPr>
        <sz val="12"/>
        <color rgb="FF000000"/>
        <rFont val="Times New Roman"/>
        <family val="1"/>
      </rPr>
      <t>C</t>
    </r>
    <r>
      <rPr>
        <sz val="12"/>
        <color rgb="FF000000"/>
        <rFont val="Times New Roman"/>
        <family val="1"/>
      </rPr>
      <t>o</t>
    </r>
    <r>
      <rPr>
        <sz val="12"/>
        <color rgb="FF000000"/>
        <rFont val="Times New Roman"/>
        <family val="1"/>
      </rPr>
      <t>m</t>
    </r>
    <r>
      <rPr>
        <sz val="12"/>
        <color rgb="FF000000"/>
        <rFont val="Times New Roman"/>
        <family val="1"/>
      </rPr>
      <t>p</t>
    </r>
    <r>
      <rPr>
        <sz val="12"/>
        <color rgb="FF000000"/>
        <rFont val="Times New Roman"/>
        <family val="1"/>
      </rPr>
      <t>l</t>
    </r>
    <r>
      <rPr>
        <sz val="12"/>
        <color rgb="FF000000"/>
        <rFont val="Times New Roman"/>
        <family val="1"/>
      </rPr>
      <t>e</t>
    </r>
    <r>
      <rPr>
        <sz val="12"/>
        <color rgb="FF000000"/>
        <rFont val="Times New Roman"/>
        <family val="1"/>
      </rPr>
      <t>t</t>
    </r>
    <r>
      <rPr>
        <sz val="12"/>
        <color rgb="FF000000"/>
        <rFont val="Times New Roman"/>
        <family val="1"/>
      </rPr>
      <t>i</t>
    </r>
    <r>
      <rPr>
        <sz val="12"/>
        <color rgb="FF000000"/>
        <rFont val="Times New Roman"/>
        <family val="1"/>
      </rPr>
      <t>on</t>
    </r>
    <r>
      <rPr>
        <sz val="12"/>
        <color rgb="FF000000"/>
        <rFont val="Times New Roman"/>
        <family val="1"/>
      </rPr>
      <t xml:space="preserve"> </t>
    </r>
    <r>
      <rPr>
        <sz val="12"/>
        <color rgb="FF000000"/>
        <rFont val="Times New Roman"/>
        <family val="1"/>
      </rPr>
      <t>o</t>
    </r>
    <r>
      <rPr>
        <sz val="12"/>
        <color rgb="FF000000"/>
        <rFont val="Times New Roman"/>
        <family val="1"/>
      </rPr>
      <t>f</t>
    </r>
    <r>
      <rPr>
        <sz val="12"/>
        <color rgb="FF000000"/>
        <rFont val="Times New Roman"/>
        <family val="1"/>
      </rPr>
      <t xml:space="preserve"> </t>
    </r>
    <r>
      <rPr>
        <sz val="12"/>
        <color rgb="FF000000"/>
        <rFont val="Times New Roman"/>
        <family val="1"/>
      </rPr>
      <t>M</t>
    </r>
    <r>
      <rPr>
        <sz val="12"/>
        <color rgb="FF000000"/>
        <rFont val="Times New Roman"/>
        <family val="1"/>
      </rPr>
      <t>i</t>
    </r>
    <r>
      <rPr>
        <sz val="12"/>
        <color rgb="FF000000"/>
        <rFont val="Times New Roman"/>
        <family val="1"/>
      </rPr>
      <t>l</t>
    </r>
    <r>
      <rPr>
        <sz val="12"/>
        <color rgb="FF000000"/>
        <rFont val="Times New Roman"/>
        <family val="1"/>
      </rPr>
      <t>e</t>
    </r>
    <r>
      <rPr>
        <sz val="12"/>
        <color rgb="FF000000"/>
        <rFont val="Times New Roman"/>
        <family val="1"/>
      </rPr>
      <t>s</t>
    </r>
    <r>
      <rPr>
        <sz val="12"/>
        <color rgb="FF000000"/>
        <rFont val="Times New Roman"/>
        <family val="1"/>
      </rPr>
      <t>t</t>
    </r>
    <r>
      <rPr>
        <sz val="12"/>
        <color rgb="FF000000"/>
        <rFont val="Times New Roman"/>
        <family val="1"/>
      </rPr>
      <t>on</t>
    </r>
    <r>
      <rPr>
        <sz val="12"/>
        <color rgb="FF000000"/>
        <rFont val="Times New Roman"/>
        <family val="1"/>
      </rPr>
      <t xml:space="preserve">e
</t>
    </r>
    <r>
      <rPr>
        <sz val="12"/>
        <color rgb="FF000000"/>
        <rFont val="Times New Roman"/>
        <family val="1"/>
      </rPr>
      <t>1</t>
    </r>
  </si>
  <si>
    <r>
      <rPr>
        <sz val="12"/>
        <color rgb="FF000000"/>
        <rFont val="Times New Roman"/>
        <family val="1"/>
      </rPr>
      <t>P</t>
    </r>
    <r>
      <rPr>
        <sz val="12"/>
        <color rgb="FF000000"/>
        <rFont val="Times New Roman"/>
        <family val="1"/>
      </rPr>
      <t>r</t>
    </r>
    <r>
      <rPr>
        <sz val="12"/>
        <color rgb="FF000000"/>
        <rFont val="Times New Roman"/>
        <family val="1"/>
      </rPr>
      <t>e</t>
    </r>
    <r>
      <rPr>
        <sz val="12"/>
        <color rgb="FF000000"/>
        <rFont val="Times New Roman"/>
        <family val="1"/>
      </rPr>
      <t xml:space="preserve"> </t>
    </r>
    <r>
      <rPr>
        <sz val="12"/>
        <color rgb="FF000000"/>
        <rFont val="Times New Roman"/>
        <family val="1"/>
      </rPr>
      <t>-</t>
    </r>
    <r>
      <rPr>
        <sz val="12"/>
        <color rgb="FF000000"/>
        <rFont val="Times New Roman"/>
        <family val="1"/>
      </rPr>
      <t xml:space="preserve"> </t>
    </r>
    <r>
      <rPr>
        <sz val="12"/>
        <color rgb="FF000000"/>
        <rFont val="Times New Roman"/>
        <family val="1"/>
      </rPr>
      <t>I</t>
    </r>
    <r>
      <rPr>
        <sz val="12"/>
        <color rgb="FF000000"/>
        <rFont val="Times New Roman"/>
        <family val="1"/>
      </rPr>
      <t>n</t>
    </r>
    <r>
      <rPr>
        <sz val="12"/>
        <color rgb="FF000000"/>
        <rFont val="Times New Roman"/>
        <family val="1"/>
      </rPr>
      <t>s</t>
    </r>
    <r>
      <rPr>
        <sz val="12"/>
        <color rgb="FF000000"/>
        <rFont val="Times New Roman"/>
        <family val="1"/>
      </rPr>
      <t>t</t>
    </r>
    <r>
      <rPr>
        <sz val="12"/>
        <color rgb="FF000000"/>
        <rFont val="Times New Roman"/>
        <family val="1"/>
      </rPr>
      <t>a</t>
    </r>
    <r>
      <rPr>
        <sz val="12"/>
        <color rgb="FF000000"/>
        <rFont val="Times New Roman"/>
        <family val="1"/>
      </rPr>
      <t>l</t>
    </r>
    <r>
      <rPr>
        <sz val="12"/>
        <color rgb="FF000000"/>
        <rFont val="Times New Roman"/>
        <family val="1"/>
      </rPr>
      <t>l</t>
    </r>
    <r>
      <rPr>
        <sz val="12"/>
        <color rgb="FF000000"/>
        <rFont val="Times New Roman"/>
        <family val="1"/>
      </rPr>
      <t>a</t>
    </r>
    <r>
      <rPr>
        <sz val="12"/>
        <color rgb="FF000000"/>
        <rFont val="Times New Roman"/>
        <family val="1"/>
      </rPr>
      <t>t</t>
    </r>
    <r>
      <rPr>
        <sz val="12"/>
        <color rgb="FF000000"/>
        <rFont val="Times New Roman"/>
        <family val="1"/>
      </rPr>
      <t>i</t>
    </r>
    <r>
      <rPr>
        <sz val="12"/>
        <color rgb="FF000000"/>
        <rFont val="Times New Roman"/>
        <family val="1"/>
      </rPr>
      <t>on</t>
    </r>
    <r>
      <rPr>
        <sz val="12"/>
        <color rgb="FF000000"/>
        <rFont val="Times New Roman"/>
        <family val="1"/>
      </rPr>
      <t>,</t>
    </r>
    <r>
      <rPr>
        <sz val="12"/>
        <color rgb="FF000000"/>
        <rFont val="Times New Roman"/>
        <family val="1"/>
      </rPr>
      <t xml:space="preserve"> </t>
    </r>
    <r>
      <rPr>
        <sz val="12"/>
        <color rgb="FF000000"/>
        <rFont val="Times New Roman"/>
        <family val="1"/>
      </rPr>
      <t>S</t>
    </r>
    <r>
      <rPr>
        <sz val="12"/>
        <color rgb="FF000000"/>
        <rFont val="Times New Roman"/>
        <family val="1"/>
      </rPr>
      <t>a</t>
    </r>
    <r>
      <rPr>
        <sz val="12"/>
        <color rgb="FF000000"/>
        <rFont val="Times New Roman"/>
        <family val="1"/>
      </rPr>
      <t>m</t>
    </r>
    <r>
      <rPr>
        <sz val="12"/>
        <color rgb="FF000000"/>
        <rFont val="Times New Roman"/>
        <family val="1"/>
      </rPr>
      <t>p</t>
    </r>
    <r>
      <rPr>
        <sz val="12"/>
        <color rgb="FF000000"/>
        <rFont val="Times New Roman"/>
        <family val="1"/>
      </rPr>
      <t>l</t>
    </r>
    <r>
      <rPr>
        <sz val="12"/>
        <color rgb="FF000000"/>
        <rFont val="Times New Roman"/>
        <family val="1"/>
      </rPr>
      <t>e</t>
    </r>
    <r>
      <rPr>
        <sz val="12"/>
        <color rgb="FF000000"/>
        <rFont val="Times New Roman"/>
        <family val="1"/>
      </rPr>
      <t xml:space="preserve"> </t>
    </r>
    <r>
      <rPr>
        <sz val="12"/>
        <color rgb="FF000000"/>
        <rFont val="Times New Roman"/>
        <family val="1"/>
      </rPr>
      <t>-</t>
    </r>
    <r>
      <rPr>
        <sz val="12"/>
        <color rgb="FF000000"/>
        <rFont val="Times New Roman"/>
        <family val="1"/>
      </rPr>
      <t xml:space="preserve"> </t>
    </r>
    <r>
      <rPr>
        <sz val="12"/>
        <color rgb="FF000000"/>
        <rFont val="Times New Roman"/>
        <family val="1"/>
      </rPr>
      <t>T</t>
    </r>
    <r>
      <rPr>
        <sz val="12"/>
        <color rgb="FF000000"/>
        <rFont val="Times New Roman"/>
        <family val="1"/>
      </rPr>
      <t>e</t>
    </r>
    <r>
      <rPr>
        <sz val="12"/>
        <color rgb="FF000000"/>
        <rFont val="Times New Roman"/>
        <family val="1"/>
      </rPr>
      <t>s</t>
    </r>
    <r>
      <rPr>
        <sz val="12"/>
        <color rgb="FF000000"/>
        <rFont val="Times New Roman"/>
        <family val="1"/>
      </rPr>
      <t>t</t>
    </r>
    <r>
      <rPr>
        <sz val="12"/>
        <color rgb="FF000000"/>
        <rFont val="Times New Roman"/>
        <family val="1"/>
      </rPr>
      <t>i</t>
    </r>
    <r>
      <rPr>
        <sz val="12"/>
        <color rgb="FF000000"/>
        <rFont val="Times New Roman"/>
        <family val="1"/>
      </rPr>
      <t>n</t>
    </r>
    <r>
      <rPr>
        <sz val="12"/>
        <color rgb="FF000000"/>
        <rFont val="Times New Roman"/>
        <family val="1"/>
      </rPr>
      <t>g</t>
    </r>
    <r>
      <rPr>
        <sz val="12"/>
        <color rgb="FF000000"/>
        <rFont val="Times New Roman"/>
        <family val="1"/>
      </rPr>
      <t xml:space="preserve"> </t>
    </r>
    <r>
      <rPr>
        <sz val="12"/>
        <color rgb="FF000000"/>
        <rFont val="Times New Roman"/>
        <family val="1"/>
      </rPr>
      <t>&amp;</t>
    </r>
    <r>
      <rPr>
        <sz val="12"/>
        <color rgb="FF000000"/>
        <rFont val="Times New Roman"/>
        <family val="1"/>
      </rPr>
      <t xml:space="preserve"> </t>
    </r>
    <r>
      <rPr>
        <sz val="12"/>
        <color rgb="FF000000"/>
        <rFont val="Times New Roman"/>
        <family val="1"/>
      </rPr>
      <t>C</t>
    </r>
    <r>
      <rPr>
        <sz val="12"/>
        <color rgb="FF000000"/>
        <rFont val="Times New Roman"/>
        <family val="1"/>
      </rPr>
      <t>o</t>
    </r>
    <r>
      <rPr>
        <sz val="12"/>
        <color rgb="FF000000"/>
        <rFont val="Times New Roman"/>
        <family val="1"/>
      </rPr>
      <t>mm</t>
    </r>
    <r>
      <rPr>
        <sz val="12"/>
        <color rgb="FF000000"/>
        <rFont val="Times New Roman"/>
        <family val="1"/>
      </rPr>
      <t>i</t>
    </r>
    <r>
      <rPr>
        <sz val="12"/>
        <color rgb="FF000000"/>
        <rFont val="Times New Roman"/>
        <family val="1"/>
      </rPr>
      <t>ss</t>
    </r>
    <r>
      <rPr>
        <sz val="12"/>
        <color rgb="FF000000"/>
        <rFont val="Times New Roman"/>
        <family val="1"/>
      </rPr>
      <t>i</t>
    </r>
    <r>
      <rPr>
        <sz val="12"/>
        <color rgb="FF000000"/>
        <rFont val="Times New Roman"/>
        <family val="1"/>
      </rPr>
      <t>on</t>
    </r>
    <r>
      <rPr>
        <sz val="12"/>
        <color rgb="FF000000"/>
        <rFont val="Times New Roman"/>
        <family val="1"/>
      </rPr>
      <t>i</t>
    </r>
    <r>
      <rPr>
        <sz val="12"/>
        <color rgb="FF000000"/>
        <rFont val="Times New Roman"/>
        <family val="1"/>
      </rPr>
      <t>n</t>
    </r>
    <r>
      <rPr>
        <sz val="12"/>
        <color rgb="FF000000"/>
        <rFont val="Times New Roman"/>
        <family val="1"/>
      </rPr>
      <t>g</t>
    </r>
    <r>
      <rPr>
        <sz val="12"/>
        <color rgb="FF000000"/>
        <rFont val="Times New Roman"/>
        <family val="1"/>
      </rPr>
      <t xml:space="preserve"> </t>
    </r>
    <r>
      <rPr>
        <sz val="12"/>
        <color rgb="FF000000"/>
        <rFont val="Times New Roman"/>
        <family val="1"/>
      </rPr>
      <t>o</t>
    </r>
    <r>
      <rPr>
        <sz val="12"/>
        <color rgb="FF000000"/>
        <rFont val="Times New Roman"/>
        <family val="1"/>
      </rPr>
      <t>f</t>
    </r>
    <r>
      <rPr>
        <sz val="12"/>
        <color rgb="FF000000"/>
        <rFont val="Times New Roman"/>
        <family val="1"/>
      </rPr>
      <t xml:space="preserve"> </t>
    </r>
    <r>
      <rPr>
        <sz val="12"/>
        <color rgb="FF000000"/>
        <rFont val="Times New Roman"/>
        <family val="1"/>
      </rPr>
      <t>C</t>
    </r>
    <r>
      <rPr>
        <sz val="12"/>
        <color rgb="FF000000"/>
        <rFont val="Times New Roman"/>
        <family val="1"/>
      </rPr>
      <t>o</t>
    </r>
    <r>
      <rPr>
        <sz val="12"/>
        <color rgb="FF000000"/>
        <rFont val="Times New Roman"/>
        <family val="1"/>
      </rPr>
      <t>m</t>
    </r>
    <r>
      <rPr>
        <sz val="12"/>
        <color rgb="FF000000"/>
        <rFont val="Times New Roman"/>
        <family val="1"/>
      </rPr>
      <t>p</t>
    </r>
    <r>
      <rPr>
        <sz val="12"/>
        <color rgb="FF000000"/>
        <rFont val="Times New Roman"/>
        <family val="1"/>
      </rPr>
      <t>l</t>
    </r>
    <r>
      <rPr>
        <sz val="12"/>
        <color rgb="FF000000"/>
        <rFont val="Times New Roman"/>
        <family val="1"/>
      </rPr>
      <t>e</t>
    </r>
    <r>
      <rPr>
        <sz val="12"/>
        <color rgb="FF000000"/>
        <rFont val="Times New Roman"/>
        <family val="1"/>
      </rPr>
      <t>t</t>
    </r>
    <r>
      <rPr>
        <sz val="12"/>
        <color rgb="FF000000"/>
        <rFont val="Times New Roman"/>
        <family val="1"/>
      </rPr>
      <t>e</t>
    </r>
    <r>
      <rPr>
        <sz val="12"/>
        <color rgb="FF000000"/>
        <rFont val="Times New Roman"/>
        <family val="1"/>
      </rPr>
      <t xml:space="preserve"> </t>
    </r>
    <r>
      <rPr>
        <sz val="12"/>
        <color rgb="FF000000"/>
        <rFont val="Times New Roman"/>
        <family val="1"/>
      </rPr>
      <t>E</t>
    </r>
    <r>
      <rPr>
        <sz val="12"/>
        <color rgb="FF000000"/>
        <rFont val="Times New Roman"/>
        <family val="1"/>
      </rPr>
      <t>q</t>
    </r>
    <r>
      <rPr>
        <sz val="12"/>
        <color rgb="FF000000"/>
        <rFont val="Times New Roman"/>
        <family val="1"/>
      </rPr>
      <t>u</t>
    </r>
    <r>
      <rPr>
        <sz val="12"/>
        <color rgb="FF000000"/>
        <rFont val="Times New Roman"/>
        <family val="1"/>
      </rPr>
      <t>i</t>
    </r>
    <r>
      <rPr>
        <sz val="12"/>
        <color rgb="FF000000"/>
        <rFont val="Times New Roman"/>
        <family val="1"/>
      </rPr>
      <t>p</t>
    </r>
    <r>
      <rPr>
        <sz val="12"/>
        <color rgb="FF000000"/>
        <rFont val="Times New Roman"/>
        <family val="1"/>
      </rPr>
      <t>m</t>
    </r>
    <r>
      <rPr>
        <sz val="12"/>
        <color rgb="FF000000"/>
        <rFont val="Times New Roman"/>
        <family val="1"/>
      </rPr>
      <t>e</t>
    </r>
    <r>
      <rPr>
        <sz val="12"/>
        <color rgb="FF000000"/>
        <rFont val="Times New Roman"/>
        <family val="1"/>
      </rPr>
      <t>n</t>
    </r>
    <r>
      <rPr>
        <sz val="12"/>
        <color rgb="FF000000"/>
        <rFont val="Times New Roman"/>
        <family val="1"/>
      </rPr>
      <t>t</t>
    </r>
    <r>
      <rPr>
        <sz val="12"/>
        <color rgb="FF000000"/>
        <rFont val="Times New Roman"/>
        <family val="1"/>
      </rPr>
      <t xml:space="preserve"> </t>
    </r>
    <r>
      <rPr>
        <sz val="12"/>
        <color rgb="FF000000"/>
        <rFont val="Times New Roman"/>
        <family val="1"/>
      </rPr>
      <t>a</t>
    </r>
    <r>
      <rPr>
        <sz val="12"/>
        <color rgb="FF000000"/>
        <rFont val="Times New Roman"/>
        <family val="1"/>
      </rPr>
      <t>t</t>
    </r>
    <r>
      <rPr>
        <sz val="12"/>
        <color rgb="FF000000"/>
        <rFont val="Times New Roman"/>
        <family val="1"/>
      </rPr>
      <t xml:space="preserve"> </t>
    </r>
    <r>
      <rPr>
        <sz val="12"/>
        <color rgb="FF000000"/>
        <rFont val="Times New Roman"/>
        <family val="1"/>
      </rPr>
      <t>D</t>
    </r>
    <r>
      <rPr>
        <sz val="12"/>
        <color rgb="FF000000"/>
        <rFont val="Times New Roman"/>
        <family val="1"/>
      </rPr>
      <t>R</t>
    </r>
    <r>
      <rPr>
        <sz val="12"/>
        <color rgb="FF000000"/>
        <rFont val="Times New Roman"/>
        <family val="1"/>
      </rPr>
      <t>.</t>
    </r>
  </si>
  <si>
    <r>
      <rPr>
        <sz val="12"/>
        <color rgb="FF000000"/>
        <rFont val="Times New Roman"/>
        <family val="1"/>
      </rPr>
      <t>A</t>
    </r>
    <r>
      <rPr>
        <sz val="12"/>
        <color rgb="FF000000"/>
        <rFont val="Times New Roman"/>
        <family val="1"/>
      </rPr>
      <t>cc</t>
    </r>
    <r>
      <rPr>
        <sz val="12"/>
        <color rgb="FF000000"/>
        <rFont val="Times New Roman"/>
        <family val="1"/>
      </rPr>
      <t>e</t>
    </r>
    <r>
      <rPr>
        <sz val="12"/>
        <color rgb="FF000000"/>
        <rFont val="Times New Roman"/>
        <family val="1"/>
      </rPr>
      <t>p</t>
    </r>
    <r>
      <rPr>
        <sz val="12"/>
        <color rgb="FF000000"/>
        <rFont val="Times New Roman"/>
        <family val="1"/>
      </rPr>
      <t>t</t>
    </r>
    <r>
      <rPr>
        <sz val="12"/>
        <color rgb="FF000000"/>
        <rFont val="Times New Roman"/>
        <family val="1"/>
      </rPr>
      <t>a</t>
    </r>
    <r>
      <rPr>
        <sz val="12"/>
        <color rgb="FF000000"/>
        <rFont val="Times New Roman"/>
        <family val="1"/>
      </rPr>
      <t>n</t>
    </r>
    <r>
      <rPr>
        <sz val="12"/>
        <color rgb="FF000000"/>
        <rFont val="Times New Roman"/>
        <family val="1"/>
      </rPr>
      <t>c</t>
    </r>
    <r>
      <rPr>
        <sz val="12"/>
        <color rgb="FF000000"/>
        <rFont val="Times New Roman"/>
        <family val="1"/>
      </rPr>
      <t>e</t>
    </r>
    <r>
      <rPr>
        <sz val="12"/>
        <color rgb="FF000000"/>
        <rFont val="Times New Roman"/>
        <family val="1"/>
      </rPr>
      <t xml:space="preserve"> </t>
    </r>
    <r>
      <rPr>
        <sz val="12"/>
        <color rgb="FF000000"/>
        <rFont val="Times New Roman"/>
        <family val="1"/>
      </rPr>
      <t>T</t>
    </r>
    <r>
      <rPr>
        <sz val="12"/>
        <color rgb="FF000000"/>
        <rFont val="Times New Roman"/>
        <family val="1"/>
      </rPr>
      <t>e</t>
    </r>
    <r>
      <rPr>
        <sz val="12"/>
        <color rgb="FF000000"/>
        <rFont val="Times New Roman"/>
        <family val="1"/>
      </rPr>
      <t>s</t>
    </r>
    <r>
      <rPr>
        <sz val="12"/>
        <color rgb="FF000000"/>
        <rFont val="Times New Roman"/>
        <family val="1"/>
      </rPr>
      <t>t</t>
    </r>
    <r>
      <rPr>
        <sz val="12"/>
        <color rgb="FF000000"/>
        <rFont val="Times New Roman"/>
        <family val="1"/>
      </rPr>
      <t>i</t>
    </r>
    <r>
      <rPr>
        <sz val="12"/>
        <color rgb="FF000000"/>
        <rFont val="Times New Roman"/>
        <family val="1"/>
      </rPr>
      <t>n</t>
    </r>
    <r>
      <rPr>
        <sz val="12"/>
        <color rgb="FF000000"/>
        <rFont val="Times New Roman"/>
        <family val="1"/>
      </rPr>
      <t>g</t>
    </r>
    <r>
      <rPr>
        <sz val="12"/>
        <color rgb="FF000000"/>
        <rFont val="Times New Roman"/>
        <family val="1"/>
      </rPr>
      <t xml:space="preserve"> </t>
    </r>
    <r>
      <rPr>
        <sz val="12"/>
        <color rgb="FF000000"/>
        <rFont val="Times New Roman"/>
        <family val="1"/>
      </rPr>
      <t>(</t>
    </r>
    <r>
      <rPr>
        <sz val="12"/>
        <color rgb="FF000000"/>
        <rFont val="Times New Roman"/>
        <family val="1"/>
      </rPr>
      <t>A</t>
    </r>
    <r>
      <rPr>
        <sz val="12"/>
        <color rgb="FF000000"/>
        <rFont val="Times New Roman"/>
        <family val="1"/>
      </rPr>
      <t>T</t>
    </r>
    <r>
      <rPr>
        <sz val="12"/>
        <color rgb="FF000000"/>
        <rFont val="Times New Roman"/>
        <family val="1"/>
      </rPr>
      <t>)</t>
    </r>
    <r>
      <rPr>
        <sz val="12"/>
        <color rgb="FF000000"/>
        <rFont val="Times New Roman"/>
        <family val="1"/>
      </rPr>
      <t xml:space="preserve"> </t>
    </r>
    <r>
      <rPr>
        <sz val="12"/>
        <color rgb="FF000000"/>
        <rFont val="Times New Roman"/>
        <family val="1"/>
      </rPr>
      <t>t</t>
    </r>
    <r>
      <rPr>
        <sz val="12"/>
        <color rgb="FF000000"/>
        <rFont val="Times New Roman"/>
        <family val="1"/>
      </rPr>
      <t>o</t>
    </r>
    <r>
      <rPr>
        <sz val="12"/>
        <color rgb="FF000000"/>
        <rFont val="Times New Roman"/>
        <family val="1"/>
      </rPr>
      <t xml:space="preserve"> </t>
    </r>
    <r>
      <rPr>
        <sz val="12"/>
        <color rgb="FF000000"/>
        <rFont val="Times New Roman"/>
        <family val="1"/>
      </rPr>
      <t>I</t>
    </r>
    <r>
      <rPr>
        <sz val="12"/>
        <color rgb="FF000000"/>
        <rFont val="Times New Roman"/>
        <family val="1"/>
      </rPr>
      <t>B</t>
    </r>
    <r>
      <rPr>
        <sz val="12"/>
        <color rgb="FF000000"/>
        <rFont val="Times New Roman"/>
        <family val="1"/>
      </rPr>
      <t>P</t>
    </r>
    <r>
      <rPr>
        <sz val="12"/>
        <color rgb="FF000000"/>
        <rFont val="Times New Roman"/>
        <family val="1"/>
      </rPr>
      <t>S</t>
    </r>
    <r>
      <rPr>
        <sz val="12"/>
        <color rgb="FF000000"/>
        <rFont val="Times New Roman"/>
        <family val="1"/>
      </rPr>
      <t xml:space="preserve"> </t>
    </r>
    <r>
      <rPr>
        <sz val="12"/>
        <color rgb="FF000000"/>
        <rFont val="Times New Roman"/>
        <family val="1"/>
      </rPr>
      <t>a</t>
    </r>
    <r>
      <rPr>
        <sz val="12"/>
        <color rgb="FF000000"/>
        <rFont val="Times New Roman"/>
        <family val="1"/>
      </rPr>
      <t>s</t>
    </r>
    <r>
      <rPr>
        <sz val="12"/>
        <color rgb="FF000000"/>
        <rFont val="Times New Roman"/>
        <family val="1"/>
      </rPr>
      <t xml:space="preserve"> </t>
    </r>
    <r>
      <rPr>
        <sz val="12"/>
        <color rgb="FF000000"/>
        <rFont val="Times New Roman"/>
        <family val="1"/>
      </rPr>
      <t>p</t>
    </r>
    <r>
      <rPr>
        <sz val="12"/>
        <color rgb="FF000000"/>
        <rFont val="Times New Roman"/>
        <family val="1"/>
      </rPr>
      <t>e</t>
    </r>
    <r>
      <rPr>
        <sz val="12"/>
        <color rgb="FF000000"/>
        <rFont val="Times New Roman"/>
        <family val="1"/>
      </rPr>
      <t>r</t>
    </r>
    <r>
      <rPr>
        <sz val="12"/>
        <color rgb="FF000000"/>
        <rFont val="Times New Roman"/>
        <family val="1"/>
      </rPr>
      <t xml:space="preserve"> </t>
    </r>
    <r>
      <rPr>
        <sz val="12"/>
        <color rgb="FF000000"/>
        <rFont val="Times New Roman"/>
        <family val="1"/>
      </rPr>
      <t>A</t>
    </r>
    <r>
      <rPr>
        <sz val="12"/>
        <color rgb="FF000000"/>
        <rFont val="Times New Roman"/>
        <family val="1"/>
      </rPr>
      <t>cc</t>
    </r>
    <r>
      <rPr>
        <sz val="12"/>
        <color rgb="FF000000"/>
        <rFont val="Times New Roman"/>
        <family val="1"/>
      </rPr>
      <t>e</t>
    </r>
    <r>
      <rPr>
        <sz val="12"/>
        <color rgb="FF000000"/>
        <rFont val="Times New Roman"/>
        <family val="1"/>
      </rPr>
      <t>p</t>
    </r>
    <r>
      <rPr>
        <sz val="12"/>
        <color rgb="FF000000"/>
        <rFont val="Times New Roman"/>
        <family val="1"/>
      </rPr>
      <t>t</t>
    </r>
    <r>
      <rPr>
        <sz val="12"/>
        <color rgb="FF000000"/>
        <rFont val="Times New Roman"/>
        <family val="1"/>
      </rPr>
      <t>a</t>
    </r>
    <r>
      <rPr>
        <sz val="12"/>
        <color rgb="FF000000"/>
        <rFont val="Times New Roman"/>
        <family val="1"/>
      </rPr>
      <t>n</t>
    </r>
    <r>
      <rPr>
        <sz val="12"/>
        <color rgb="FF000000"/>
        <rFont val="Times New Roman"/>
        <family val="1"/>
      </rPr>
      <t>c</t>
    </r>
    <r>
      <rPr>
        <sz val="12"/>
        <color rgb="FF000000"/>
        <rFont val="Times New Roman"/>
        <family val="1"/>
      </rPr>
      <t>e</t>
    </r>
    <r>
      <rPr>
        <sz val="12"/>
        <color rgb="FF000000"/>
        <rFont val="Times New Roman"/>
        <family val="1"/>
      </rPr>
      <t xml:space="preserve"> </t>
    </r>
    <r>
      <rPr>
        <sz val="12"/>
        <color rgb="FF000000"/>
        <rFont val="Times New Roman"/>
        <family val="1"/>
      </rPr>
      <t>T</t>
    </r>
    <r>
      <rPr>
        <sz val="12"/>
        <color rgb="FF000000"/>
        <rFont val="Times New Roman"/>
        <family val="1"/>
      </rPr>
      <t>e</t>
    </r>
    <r>
      <rPr>
        <sz val="12"/>
        <color rgb="FF000000"/>
        <rFont val="Times New Roman"/>
        <family val="1"/>
      </rPr>
      <t>s</t>
    </r>
    <r>
      <rPr>
        <sz val="12"/>
        <color rgb="FF000000"/>
        <rFont val="Times New Roman"/>
        <family val="1"/>
      </rPr>
      <t>t</t>
    </r>
    <r>
      <rPr>
        <sz val="12"/>
        <color rgb="FF000000"/>
        <rFont val="Times New Roman"/>
        <family val="1"/>
      </rPr>
      <t>i</t>
    </r>
    <r>
      <rPr>
        <sz val="12"/>
        <color rgb="FF000000"/>
        <rFont val="Times New Roman"/>
        <family val="1"/>
      </rPr>
      <t>n</t>
    </r>
    <r>
      <rPr>
        <sz val="12"/>
        <color rgb="FF000000"/>
        <rFont val="Times New Roman"/>
        <family val="1"/>
      </rPr>
      <t>g</t>
    </r>
    <r>
      <rPr>
        <sz val="12"/>
        <color rgb="FF000000"/>
        <rFont val="Times New Roman"/>
        <family val="1"/>
      </rPr>
      <t xml:space="preserve"> </t>
    </r>
    <r>
      <rPr>
        <sz val="12"/>
        <color rgb="FF000000"/>
        <rFont val="Times New Roman"/>
        <family val="1"/>
      </rPr>
      <t>P</t>
    </r>
    <r>
      <rPr>
        <sz val="12"/>
        <color rgb="FF000000"/>
        <rFont val="Times New Roman"/>
        <family val="1"/>
      </rPr>
      <t>l</t>
    </r>
    <r>
      <rPr>
        <sz val="12"/>
        <color rgb="FF000000"/>
        <rFont val="Times New Roman"/>
        <family val="1"/>
      </rPr>
      <t>a</t>
    </r>
    <r>
      <rPr>
        <sz val="12"/>
        <color rgb="FF000000"/>
        <rFont val="Times New Roman"/>
        <family val="1"/>
      </rPr>
      <t>n</t>
    </r>
    <r>
      <rPr>
        <sz val="12"/>
        <color rgb="FF000000"/>
        <rFont val="Times New Roman"/>
        <family val="1"/>
      </rPr>
      <t xml:space="preserve"> </t>
    </r>
    <r>
      <rPr>
        <sz val="12"/>
        <color rgb="FF000000"/>
        <rFont val="Times New Roman"/>
        <family val="1"/>
      </rPr>
      <t>(</t>
    </r>
    <r>
      <rPr>
        <sz val="12"/>
        <color rgb="FF000000"/>
        <rFont val="Times New Roman"/>
        <family val="1"/>
      </rPr>
      <t>A</t>
    </r>
    <r>
      <rPr>
        <sz val="12"/>
        <color rgb="FF000000"/>
        <rFont val="Times New Roman"/>
        <family val="1"/>
      </rPr>
      <t>T</t>
    </r>
    <r>
      <rPr>
        <sz val="12"/>
        <color rgb="FF000000"/>
        <rFont val="Times New Roman"/>
        <family val="1"/>
      </rPr>
      <t>P</t>
    </r>
    <r>
      <rPr>
        <sz val="12"/>
        <color rgb="FF000000"/>
        <rFont val="Times New Roman"/>
        <family val="1"/>
      </rPr>
      <t>)</t>
    </r>
  </si>
  <si>
    <r>
      <rPr>
        <sz val="12"/>
        <color rgb="FF000000"/>
        <rFont val="Times New Roman"/>
        <family val="1"/>
      </rPr>
      <t>S</t>
    </r>
    <r>
      <rPr>
        <sz val="12"/>
        <color rgb="FF000000"/>
        <rFont val="Times New Roman"/>
        <family val="1"/>
      </rPr>
      <t>t</t>
    </r>
    <r>
      <rPr>
        <sz val="12"/>
        <color rgb="FF000000"/>
        <rFont val="Times New Roman"/>
        <family val="1"/>
      </rPr>
      <t>a</t>
    </r>
    <r>
      <rPr>
        <sz val="12"/>
        <color rgb="FF000000"/>
        <rFont val="Times New Roman"/>
        <family val="1"/>
      </rPr>
      <t>r</t>
    </r>
    <r>
      <rPr>
        <sz val="12"/>
        <color rgb="FF000000"/>
        <rFont val="Times New Roman"/>
        <family val="1"/>
      </rPr>
      <t>t</t>
    </r>
    <r>
      <rPr>
        <sz val="12"/>
        <color rgb="FF000000"/>
        <rFont val="Times New Roman"/>
        <family val="1"/>
      </rPr>
      <t xml:space="preserve"> </t>
    </r>
    <r>
      <rPr>
        <sz val="12"/>
        <color rgb="FF000000"/>
        <rFont val="Times New Roman"/>
        <family val="1"/>
      </rPr>
      <t>o</t>
    </r>
    <r>
      <rPr>
        <sz val="12"/>
        <color rgb="FF000000"/>
        <rFont val="Times New Roman"/>
        <family val="1"/>
      </rPr>
      <t xml:space="preserve">f
</t>
    </r>
    <r>
      <rPr>
        <sz val="12"/>
        <color rgb="FF000000"/>
        <rFont val="Times New Roman"/>
        <family val="1"/>
      </rPr>
      <t>M</t>
    </r>
    <r>
      <rPr>
        <sz val="12"/>
        <color rgb="FF000000"/>
        <rFont val="Times New Roman"/>
        <family val="1"/>
      </rPr>
      <t>il</t>
    </r>
    <r>
      <rPr>
        <sz val="12"/>
        <color rgb="FF000000"/>
        <rFont val="Times New Roman"/>
        <family val="1"/>
      </rPr>
      <t>e</t>
    </r>
    <r>
      <rPr>
        <sz val="12"/>
        <color rgb="FF000000"/>
        <rFont val="Times New Roman"/>
        <family val="1"/>
      </rPr>
      <t>s</t>
    </r>
    <r>
      <rPr>
        <sz val="12"/>
        <color rgb="FF000000"/>
        <rFont val="Times New Roman"/>
        <family val="1"/>
      </rPr>
      <t>t</t>
    </r>
    <r>
      <rPr>
        <sz val="12"/>
        <color rgb="FF000000"/>
        <rFont val="Times New Roman"/>
        <family val="1"/>
      </rPr>
      <t>o</t>
    </r>
    <r>
      <rPr>
        <sz val="12"/>
        <color rgb="FF000000"/>
        <rFont val="Times New Roman"/>
        <family val="1"/>
      </rPr>
      <t>n</t>
    </r>
    <r>
      <rPr>
        <sz val="12"/>
        <color rgb="FF000000"/>
        <rFont val="Times New Roman"/>
        <family val="1"/>
      </rPr>
      <t>e</t>
    </r>
    <r>
      <rPr>
        <sz val="12"/>
        <color rgb="FF000000"/>
        <rFont val="Times New Roman"/>
        <family val="1"/>
      </rPr>
      <t xml:space="preserve"> </t>
    </r>
    <r>
      <rPr>
        <sz val="12"/>
        <color rgb="FF000000"/>
        <rFont val="Times New Roman"/>
        <family val="1"/>
      </rPr>
      <t>2</t>
    </r>
  </si>
  <si>
    <r>
      <rPr>
        <sz val="12"/>
        <color rgb="FF000000"/>
        <rFont val="Times New Roman"/>
        <family val="1"/>
      </rPr>
      <t>D</t>
    </r>
    <r>
      <rPr>
        <sz val="12"/>
        <color rgb="FF000000"/>
        <rFont val="Times New Roman"/>
        <family val="1"/>
      </rPr>
      <t>R</t>
    </r>
    <r>
      <rPr>
        <sz val="12"/>
        <color rgb="FF000000"/>
        <rFont val="Times New Roman"/>
        <family val="1"/>
      </rPr>
      <t xml:space="preserve"> </t>
    </r>
    <r>
      <rPr>
        <sz val="12"/>
        <color rgb="FF000000"/>
        <rFont val="Times New Roman"/>
        <family val="1"/>
      </rPr>
      <t>I</t>
    </r>
    <r>
      <rPr>
        <sz val="12"/>
        <color rgb="FF000000"/>
        <rFont val="Times New Roman"/>
        <family val="1"/>
      </rPr>
      <t>n</t>
    </r>
    <r>
      <rPr>
        <sz val="12"/>
        <color rgb="FF000000"/>
        <rFont val="Times New Roman"/>
        <family val="1"/>
      </rPr>
      <t>f</t>
    </r>
    <r>
      <rPr>
        <sz val="12"/>
        <color rgb="FF000000"/>
        <rFont val="Times New Roman"/>
        <family val="1"/>
      </rPr>
      <t>r</t>
    </r>
    <r>
      <rPr>
        <sz val="12"/>
        <color rgb="FF000000"/>
        <rFont val="Times New Roman"/>
        <family val="1"/>
      </rPr>
      <t>a</t>
    </r>
    <r>
      <rPr>
        <sz val="12"/>
        <color rgb="FF000000"/>
        <rFont val="Times New Roman"/>
        <family val="1"/>
      </rPr>
      <t>s</t>
    </r>
    <r>
      <rPr>
        <sz val="12"/>
        <color rgb="FF000000"/>
        <rFont val="Times New Roman"/>
        <family val="1"/>
      </rPr>
      <t>t</t>
    </r>
    <r>
      <rPr>
        <sz val="12"/>
        <color rgb="FF000000"/>
        <rFont val="Times New Roman"/>
        <family val="1"/>
      </rPr>
      <t>r</t>
    </r>
    <r>
      <rPr>
        <sz val="12"/>
        <color rgb="FF000000"/>
        <rFont val="Times New Roman"/>
        <family val="1"/>
      </rPr>
      <t>u</t>
    </r>
    <r>
      <rPr>
        <sz val="12"/>
        <color rgb="FF000000"/>
        <rFont val="Times New Roman"/>
        <family val="1"/>
      </rPr>
      <t>c</t>
    </r>
    <r>
      <rPr>
        <sz val="12"/>
        <color rgb="FF000000"/>
        <rFont val="Times New Roman"/>
        <family val="1"/>
      </rPr>
      <t>t</t>
    </r>
    <r>
      <rPr>
        <sz val="12"/>
        <color rgb="FF000000"/>
        <rFont val="Times New Roman"/>
        <family val="1"/>
      </rPr>
      <t>u</t>
    </r>
    <r>
      <rPr>
        <sz val="12"/>
        <color rgb="FF000000"/>
        <rFont val="Times New Roman"/>
        <family val="1"/>
      </rPr>
      <t>r</t>
    </r>
    <r>
      <rPr>
        <sz val="12"/>
        <color rgb="FF000000"/>
        <rFont val="Times New Roman"/>
        <family val="1"/>
      </rPr>
      <t>e</t>
    </r>
    <r>
      <rPr>
        <sz val="12"/>
        <color rgb="FF000000"/>
        <rFont val="Times New Roman"/>
        <family val="1"/>
      </rPr>
      <t xml:space="preserve"> </t>
    </r>
    <r>
      <rPr>
        <sz val="12"/>
        <color rgb="FF000000"/>
        <rFont val="Times New Roman"/>
        <family val="1"/>
      </rPr>
      <t>B</t>
    </r>
    <r>
      <rPr>
        <sz val="12"/>
        <color rgb="FF000000"/>
        <rFont val="Times New Roman"/>
        <family val="1"/>
      </rPr>
      <t>u</t>
    </r>
    <r>
      <rPr>
        <sz val="12"/>
        <color rgb="FF000000"/>
        <rFont val="Times New Roman"/>
        <family val="1"/>
      </rPr>
      <t>i</t>
    </r>
    <r>
      <rPr>
        <sz val="12"/>
        <color rgb="FF000000"/>
        <rFont val="Times New Roman"/>
        <family val="1"/>
      </rPr>
      <t>l</t>
    </r>
    <r>
      <rPr>
        <sz val="12"/>
        <color rgb="FF000000"/>
        <rFont val="Times New Roman"/>
        <family val="1"/>
      </rPr>
      <t>t</t>
    </r>
    <r>
      <rPr>
        <sz val="12"/>
        <color rgb="FF000000"/>
        <rFont val="Times New Roman"/>
        <family val="1"/>
      </rPr>
      <t xml:space="preserve"> </t>
    </r>
    <r>
      <rPr>
        <sz val="12"/>
        <color rgb="FF000000"/>
        <rFont val="Times New Roman"/>
        <family val="1"/>
      </rPr>
      <t>&amp;</t>
    </r>
    <r>
      <rPr>
        <sz val="12"/>
        <color rgb="FF000000"/>
        <rFont val="Times New Roman"/>
        <family val="1"/>
      </rPr>
      <t xml:space="preserve"> </t>
    </r>
    <r>
      <rPr>
        <sz val="12"/>
        <color rgb="FF000000"/>
        <rFont val="Times New Roman"/>
        <family val="1"/>
      </rPr>
      <t>R</t>
    </r>
    <r>
      <rPr>
        <sz val="12"/>
        <color rgb="FF000000"/>
        <rFont val="Times New Roman"/>
        <family val="1"/>
      </rPr>
      <t>e</t>
    </r>
    <r>
      <rPr>
        <sz val="12"/>
        <color rgb="FF000000"/>
        <rFont val="Times New Roman"/>
        <family val="1"/>
      </rPr>
      <t>p</t>
    </r>
    <r>
      <rPr>
        <sz val="12"/>
        <color rgb="FF000000"/>
        <rFont val="Times New Roman"/>
        <family val="1"/>
      </rPr>
      <t>li</t>
    </r>
    <r>
      <rPr>
        <sz val="12"/>
        <color rgb="FF000000"/>
        <rFont val="Times New Roman"/>
        <family val="1"/>
      </rPr>
      <t>c</t>
    </r>
    <r>
      <rPr>
        <sz val="12"/>
        <color rgb="FF000000"/>
        <rFont val="Times New Roman"/>
        <family val="1"/>
      </rPr>
      <t>a</t>
    </r>
    <r>
      <rPr>
        <sz val="12"/>
        <color rgb="FF000000"/>
        <rFont val="Times New Roman"/>
        <family val="1"/>
      </rPr>
      <t>t</t>
    </r>
    <r>
      <rPr>
        <sz val="12"/>
        <color rgb="FF000000"/>
        <rFont val="Times New Roman"/>
        <family val="1"/>
      </rPr>
      <t>i</t>
    </r>
    <r>
      <rPr>
        <sz val="12"/>
        <color rgb="FF000000"/>
        <rFont val="Times New Roman"/>
        <family val="1"/>
      </rPr>
      <t>n</t>
    </r>
    <r>
      <rPr>
        <sz val="12"/>
        <color rgb="FF000000"/>
        <rFont val="Times New Roman"/>
        <family val="1"/>
      </rPr>
      <t>g</t>
    </r>
  </si>
  <si>
    <r>
      <rPr>
        <sz val="12"/>
        <color rgb="FF000000"/>
        <rFont val="Times New Roman"/>
        <family val="1"/>
      </rPr>
      <t>T</t>
    </r>
    <r>
      <rPr>
        <sz val="12"/>
        <color rgb="FF000000"/>
        <rFont val="Times New Roman"/>
        <family val="1"/>
      </rPr>
      <t xml:space="preserve"> </t>
    </r>
    <r>
      <rPr>
        <sz val="12"/>
        <color rgb="FF000000"/>
        <rFont val="Times New Roman"/>
        <family val="1"/>
      </rPr>
      <t>+</t>
    </r>
    <r>
      <rPr>
        <sz val="12"/>
        <color rgb="FF000000"/>
        <rFont val="Times New Roman"/>
        <family val="1"/>
      </rPr>
      <t xml:space="preserve"> </t>
    </r>
    <r>
      <rPr>
        <sz val="12"/>
        <color rgb="FF000000"/>
        <rFont val="Times New Roman"/>
        <family val="1"/>
      </rPr>
      <t>7</t>
    </r>
    <r>
      <rPr>
        <sz val="12"/>
        <color rgb="FF000000"/>
        <rFont val="Times New Roman"/>
        <family val="1"/>
      </rPr>
      <t xml:space="preserve"> </t>
    </r>
    <r>
      <rPr>
        <sz val="12"/>
        <color rgb="FF000000"/>
        <rFont val="Times New Roman"/>
        <family val="1"/>
      </rPr>
      <t>W</t>
    </r>
    <r>
      <rPr>
        <sz val="12"/>
        <color rgb="FF000000"/>
        <rFont val="Times New Roman"/>
        <family val="1"/>
      </rPr>
      <t>e</t>
    </r>
    <r>
      <rPr>
        <sz val="12"/>
        <color rgb="FF000000"/>
        <rFont val="Times New Roman"/>
        <family val="1"/>
      </rPr>
      <t>e</t>
    </r>
    <r>
      <rPr>
        <sz val="12"/>
        <color rgb="FF000000"/>
        <rFont val="Times New Roman"/>
        <family val="1"/>
      </rPr>
      <t>k</t>
    </r>
    <r>
      <rPr>
        <sz val="12"/>
        <color rgb="FF000000"/>
        <rFont val="Times New Roman"/>
        <family val="1"/>
      </rPr>
      <t>s</t>
    </r>
  </si>
  <si>
    <r>
      <rPr>
        <sz val="12"/>
        <color rgb="FF000000"/>
        <rFont val="Times New Roman"/>
        <family val="1"/>
      </rPr>
      <t>V</t>
    </r>
    <r>
      <rPr>
        <sz val="12"/>
        <color rgb="FF000000"/>
        <rFont val="Times New Roman"/>
        <family val="1"/>
      </rPr>
      <t>e</t>
    </r>
    <r>
      <rPr>
        <sz val="12"/>
        <color rgb="FF000000"/>
        <rFont val="Times New Roman"/>
        <family val="1"/>
      </rPr>
      <t>r</t>
    </r>
    <r>
      <rPr>
        <sz val="12"/>
        <color rgb="FF000000"/>
        <rFont val="Times New Roman"/>
        <family val="1"/>
      </rPr>
      <t>i</t>
    </r>
    <r>
      <rPr>
        <sz val="12"/>
        <color rgb="FF000000"/>
        <rFont val="Times New Roman"/>
        <family val="1"/>
      </rPr>
      <t>f</t>
    </r>
    <r>
      <rPr>
        <sz val="12"/>
        <color rgb="FF000000"/>
        <rFont val="Times New Roman"/>
        <family val="1"/>
      </rPr>
      <t>i</t>
    </r>
    <r>
      <rPr>
        <sz val="12"/>
        <color rgb="FF000000"/>
        <rFont val="Times New Roman"/>
        <family val="1"/>
      </rPr>
      <t>e</t>
    </r>
    <r>
      <rPr>
        <sz val="12"/>
        <color rgb="FF000000"/>
        <rFont val="Times New Roman"/>
        <family val="1"/>
      </rPr>
      <t>d</t>
    </r>
    <r>
      <rPr>
        <sz val="12"/>
        <color rgb="FF000000"/>
        <rFont val="Times New Roman"/>
        <family val="1"/>
      </rPr>
      <t xml:space="preserve"> </t>
    </r>
    <r>
      <rPr>
        <sz val="12"/>
        <color rgb="FF000000"/>
        <rFont val="Times New Roman"/>
        <family val="1"/>
      </rPr>
      <t>F</t>
    </r>
    <r>
      <rPr>
        <sz val="12"/>
        <color rgb="FF000000"/>
        <rFont val="Times New Roman"/>
        <family val="1"/>
      </rPr>
      <t>a</t>
    </r>
    <r>
      <rPr>
        <sz val="12"/>
        <color rgb="FF000000"/>
        <rFont val="Times New Roman"/>
        <family val="1"/>
      </rPr>
      <t>i</t>
    </r>
    <r>
      <rPr>
        <sz val="12"/>
        <color rgb="FF000000"/>
        <rFont val="Times New Roman"/>
        <family val="1"/>
      </rPr>
      <t>l</t>
    </r>
    <r>
      <rPr>
        <sz val="12"/>
        <color rgb="FF000000"/>
        <rFont val="Times New Roman"/>
        <family val="1"/>
      </rPr>
      <t>o</t>
    </r>
    <r>
      <rPr>
        <sz val="12"/>
        <color rgb="FF000000"/>
        <rFont val="Times New Roman"/>
        <family val="1"/>
      </rPr>
      <t>v</t>
    </r>
    <r>
      <rPr>
        <sz val="12"/>
        <color rgb="FF000000"/>
        <rFont val="Times New Roman"/>
        <family val="1"/>
      </rPr>
      <t>e</t>
    </r>
    <r>
      <rPr>
        <sz val="12"/>
        <color rgb="FF000000"/>
        <rFont val="Times New Roman"/>
        <family val="1"/>
      </rPr>
      <t>r</t>
    </r>
    <r>
      <rPr>
        <sz val="12"/>
        <color rgb="FF000000"/>
        <rFont val="Times New Roman"/>
        <family val="1"/>
      </rPr>
      <t>/</t>
    </r>
    <r>
      <rPr>
        <sz val="12"/>
        <color rgb="FF000000"/>
        <rFont val="Times New Roman"/>
        <family val="1"/>
      </rPr>
      <t>F</t>
    </r>
    <r>
      <rPr>
        <sz val="12"/>
        <color rgb="FF000000"/>
        <rFont val="Times New Roman"/>
        <family val="1"/>
      </rPr>
      <t>a</t>
    </r>
    <r>
      <rPr>
        <sz val="12"/>
        <color rgb="FF000000"/>
        <rFont val="Times New Roman"/>
        <family val="1"/>
      </rPr>
      <t>il</t>
    </r>
    <r>
      <rPr>
        <sz val="12"/>
        <color rgb="FF000000"/>
        <rFont val="Times New Roman"/>
        <family val="1"/>
      </rPr>
      <t>b</t>
    </r>
    <r>
      <rPr>
        <sz val="12"/>
        <color rgb="FF000000"/>
        <rFont val="Times New Roman"/>
        <family val="1"/>
      </rPr>
      <t>a</t>
    </r>
    <r>
      <rPr>
        <sz val="12"/>
        <color rgb="FF000000"/>
        <rFont val="Times New Roman"/>
        <family val="1"/>
      </rPr>
      <t>c</t>
    </r>
    <r>
      <rPr>
        <sz val="12"/>
        <color rgb="FF000000"/>
        <rFont val="Times New Roman"/>
        <family val="1"/>
      </rPr>
      <t>k</t>
    </r>
  </si>
  <si>
    <r>
      <rPr>
        <sz val="12"/>
        <color rgb="FF000000"/>
        <rFont val="Times New Roman"/>
        <family val="1"/>
      </rPr>
      <t>6</t>
    </r>
  </si>
  <si>
    <r>
      <rPr>
        <sz val="12"/>
        <color rgb="FF000000"/>
        <rFont val="Times New Roman"/>
        <family val="1"/>
      </rPr>
      <t>A</t>
    </r>
    <r>
      <rPr>
        <sz val="12"/>
        <color rgb="FF000000"/>
        <rFont val="Times New Roman"/>
        <family val="1"/>
      </rPr>
      <t>ll</t>
    </r>
    <r>
      <rPr>
        <sz val="12"/>
        <color rgb="FF000000"/>
        <rFont val="Times New Roman"/>
        <family val="1"/>
      </rPr>
      <t xml:space="preserve"> </t>
    </r>
    <r>
      <rPr>
        <sz val="12"/>
        <color rgb="FF000000"/>
        <rFont val="Times New Roman"/>
        <family val="1"/>
      </rPr>
      <t>C</t>
    </r>
    <r>
      <rPr>
        <sz val="12"/>
        <color rgb="FF000000"/>
        <rFont val="Times New Roman"/>
        <family val="1"/>
      </rPr>
      <t>r</t>
    </r>
    <r>
      <rPr>
        <sz val="12"/>
        <color rgb="FF000000"/>
        <rFont val="Times New Roman"/>
        <family val="1"/>
      </rPr>
      <t>i</t>
    </r>
    <r>
      <rPr>
        <sz val="12"/>
        <color rgb="FF000000"/>
        <rFont val="Times New Roman"/>
        <family val="1"/>
      </rPr>
      <t>t</t>
    </r>
    <r>
      <rPr>
        <sz val="12"/>
        <color rgb="FF000000"/>
        <rFont val="Times New Roman"/>
        <family val="1"/>
      </rPr>
      <t>i</t>
    </r>
    <r>
      <rPr>
        <sz val="12"/>
        <color rgb="FF000000"/>
        <rFont val="Times New Roman"/>
        <family val="1"/>
      </rPr>
      <t>c</t>
    </r>
    <r>
      <rPr>
        <sz val="12"/>
        <color rgb="FF000000"/>
        <rFont val="Times New Roman"/>
        <family val="1"/>
      </rPr>
      <t>a</t>
    </r>
    <r>
      <rPr>
        <sz val="12"/>
        <color rgb="FF000000"/>
        <rFont val="Times New Roman"/>
        <family val="1"/>
      </rPr>
      <t>l</t>
    </r>
    <r>
      <rPr>
        <sz val="12"/>
        <color rgb="FF000000"/>
        <rFont val="Times New Roman"/>
        <family val="1"/>
      </rPr>
      <t xml:space="preserve"> </t>
    </r>
    <r>
      <rPr>
        <sz val="12"/>
        <color rgb="FF000000"/>
        <rFont val="Times New Roman"/>
        <family val="1"/>
      </rPr>
      <t>I</t>
    </r>
    <r>
      <rPr>
        <sz val="12"/>
        <color rgb="FF000000"/>
        <rFont val="Times New Roman"/>
        <family val="1"/>
      </rPr>
      <t>ss</t>
    </r>
    <r>
      <rPr>
        <sz val="12"/>
        <color rgb="FF000000"/>
        <rFont val="Times New Roman"/>
        <family val="1"/>
      </rPr>
      <t>u</t>
    </r>
    <r>
      <rPr>
        <sz val="12"/>
        <color rgb="FF000000"/>
        <rFont val="Times New Roman"/>
        <family val="1"/>
      </rPr>
      <t>e</t>
    </r>
    <r>
      <rPr>
        <sz val="12"/>
        <color rgb="FF000000"/>
        <rFont val="Times New Roman"/>
        <family val="1"/>
      </rPr>
      <t xml:space="preserve"> </t>
    </r>
    <r>
      <rPr>
        <sz val="12"/>
        <color rgb="FF000000"/>
        <rFont val="Times New Roman"/>
        <family val="1"/>
      </rPr>
      <t>F</t>
    </r>
    <r>
      <rPr>
        <sz val="12"/>
        <color rgb="FF000000"/>
        <rFont val="Times New Roman"/>
        <family val="1"/>
      </rPr>
      <t>i</t>
    </r>
    <r>
      <rPr>
        <sz val="12"/>
        <color rgb="FF000000"/>
        <rFont val="Times New Roman"/>
        <family val="1"/>
      </rPr>
      <t>x</t>
    </r>
    <r>
      <rPr>
        <sz val="12"/>
        <color rgb="FF000000"/>
        <rFont val="Times New Roman"/>
        <family val="1"/>
      </rPr>
      <t>e</t>
    </r>
    <r>
      <rPr>
        <sz val="12"/>
        <color rgb="FF000000"/>
        <rFont val="Times New Roman"/>
        <family val="1"/>
      </rPr>
      <t>d</t>
    </r>
  </si>
  <si>
    <r>
      <rPr>
        <sz val="12"/>
        <color rgb="FF000000"/>
        <rFont val="Times New Roman"/>
        <family val="1"/>
      </rPr>
      <t>7</t>
    </r>
  </si>
  <si>
    <r>
      <rPr>
        <sz val="12"/>
        <color rgb="FF000000"/>
        <rFont val="Times New Roman"/>
        <family val="1"/>
      </rPr>
      <t>T</t>
    </r>
    <r>
      <rPr>
        <sz val="12"/>
        <color rgb="FF000000"/>
        <rFont val="Times New Roman"/>
        <family val="1"/>
      </rPr>
      <t xml:space="preserve"> </t>
    </r>
    <r>
      <rPr>
        <sz val="12"/>
        <color rgb="FF000000"/>
        <rFont val="Times New Roman"/>
        <family val="1"/>
      </rPr>
      <t>+</t>
    </r>
    <r>
      <rPr>
        <sz val="12"/>
        <color rgb="FF000000"/>
        <rFont val="Times New Roman"/>
        <family val="1"/>
      </rPr>
      <t xml:space="preserve"> </t>
    </r>
    <r>
      <rPr>
        <sz val="12"/>
        <color rgb="FF000000"/>
        <rFont val="Times New Roman"/>
        <family val="1"/>
      </rPr>
      <t>8</t>
    </r>
    <r>
      <rPr>
        <sz val="12"/>
        <color rgb="FF000000"/>
        <rFont val="Times New Roman"/>
        <family val="1"/>
      </rPr>
      <t xml:space="preserve"> </t>
    </r>
    <r>
      <rPr>
        <sz val="12"/>
        <color rgb="FF000000"/>
        <rFont val="Times New Roman"/>
        <family val="1"/>
      </rPr>
      <t>W</t>
    </r>
    <r>
      <rPr>
        <sz val="12"/>
        <color rgb="FF000000"/>
        <rFont val="Times New Roman"/>
        <family val="1"/>
      </rPr>
      <t>e</t>
    </r>
    <r>
      <rPr>
        <sz val="12"/>
        <color rgb="FF000000"/>
        <rFont val="Times New Roman"/>
        <family val="1"/>
      </rPr>
      <t>e</t>
    </r>
    <r>
      <rPr>
        <sz val="12"/>
        <color rgb="FF000000"/>
        <rFont val="Times New Roman"/>
        <family val="1"/>
      </rPr>
      <t>k</t>
    </r>
    <r>
      <rPr>
        <sz val="12"/>
        <color rgb="FF000000"/>
        <rFont val="Times New Roman"/>
        <family val="1"/>
      </rPr>
      <t>s</t>
    </r>
  </si>
  <si>
    <r>
      <rPr>
        <sz val="12"/>
        <color rgb="FF000000"/>
        <rFont val="Times New Roman"/>
        <family val="1"/>
      </rPr>
      <t>R</t>
    </r>
    <r>
      <rPr>
        <sz val="12"/>
        <color rgb="FF000000"/>
        <rFont val="Times New Roman"/>
        <family val="1"/>
      </rPr>
      <t>un</t>
    </r>
    <r>
      <rPr>
        <sz val="12"/>
        <color rgb="FF000000"/>
        <rFont val="Times New Roman"/>
        <family val="1"/>
      </rPr>
      <t>b</t>
    </r>
    <r>
      <rPr>
        <sz val="12"/>
        <color rgb="FF000000"/>
        <rFont val="Times New Roman"/>
        <family val="1"/>
      </rPr>
      <t>o</t>
    </r>
    <r>
      <rPr>
        <sz val="12"/>
        <color rgb="FF000000"/>
        <rFont val="Times New Roman"/>
        <family val="1"/>
      </rPr>
      <t>o</t>
    </r>
    <r>
      <rPr>
        <sz val="12"/>
        <color rgb="FF000000"/>
        <rFont val="Times New Roman"/>
        <family val="1"/>
      </rPr>
      <t>k</t>
    </r>
    <r>
      <rPr>
        <sz val="12"/>
        <color rgb="FF000000"/>
        <rFont val="Times New Roman"/>
        <family val="1"/>
      </rPr>
      <t xml:space="preserve"> </t>
    </r>
    <r>
      <rPr>
        <sz val="12"/>
        <color rgb="FF000000"/>
        <rFont val="Times New Roman"/>
        <family val="1"/>
      </rPr>
      <t>U</t>
    </r>
    <r>
      <rPr>
        <sz val="12"/>
        <color rgb="FF000000"/>
        <rFont val="Times New Roman"/>
        <family val="1"/>
      </rPr>
      <t>pd</t>
    </r>
    <r>
      <rPr>
        <sz val="12"/>
        <color rgb="FF000000"/>
        <rFont val="Times New Roman"/>
        <family val="1"/>
      </rPr>
      <t>a</t>
    </r>
    <r>
      <rPr>
        <sz val="12"/>
        <color rgb="FF000000"/>
        <rFont val="Times New Roman"/>
        <family val="1"/>
      </rPr>
      <t>t</t>
    </r>
    <r>
      <rPr>
        <sz val="12"/>
        <color rgb="FF000000"/>
        <rFont val="Times New Roman"/>
        <family val="1"/>
      </rPr>
      <t>e</t>
    </r>
    <r>
      <rPr>
        <sz val="12"/>
        <color rgb="FF000000"/>
        <rFont val="Times New Roman"/>
        <family val="1"/>
      </rPr>
      <t xml:space="preserve"> </t>
    </r>
    <r>
      <rPr>
        <sz val="12"/>
        <color rgb="FF000000"/>
        <rFont val="Times New Roman"/>
        <family val="1"/>
      </rPr>
      <t>(</t>
    </r>
    <r>
      <rPr>
        <sz val="12"/>
        <color rgb="FF000000"/>
        <rFont val="Times New Roman"/>
        <family val="1"/>
      </rPr>
      <t>I</t>
    </r>
    <r>
      <rPr>
        <sz val="12"/>
        <color rgb="FF000000"/>
        <rFont val="Times New Roman"/>
        <family val="1"/>
      </rPr>
      <t>f</t>
    </r>
    <r>
      <rPr>
        <sz val="12"/>
        <color rgb="FF000000"/>
        <rFont val="Times New Roman"/>
        <family val="1"/>
      </rPr>
      <t xml:space="preserve"> </t>
    </r>
    <r>
      <rPr>
        <sz val="12"/>
        <color rgb="FF000000"/>
        <rFont val="Times New Roman"/>
        <family val="1"/>
      </rPr>
      <t>a</t>
    </r>
    <r>
      <rPr>
        <sz val="12"/>
        <color rgb="FF000000"/>
        <rFont val="Times New Roman"/>
        <family val="1"/>
      </rPr>
      <t>n</t>
    </r>
    <r>
      <rPr>
        <sz val="12"/>
        <color rgb="FF000000"/>
        <rFont val="Times New Roman"/>
        <family val="1"/>
      </rPr>
      <t>y</t>
    </r>
    <r>
      <rPr>
        <sz val="12"/>
        <color rgb="FF000000"/>
        <rFont val="Times New Roman"/>
        <family val="1"/>
      </rPr>
      <t>)</t>
    </r>
  </si>
  <si>
    <r>
      <rPr>
        <sz val="12"/>
        <color rgb="FF000000"/>
        <rFont val="Times New Roman"/>
        <family val="1"/>
      </rPr>
      <t>8</t>
    </r>
  </si>
  <si>
    <r>
      <rPr>
        <sz val="12"/>
        <color rgb="FF000000"/>
        <rFont val="Times New Roman"/>
        <family val="1"/>
      </rPr>
      <t>E</t>
    </r>
    <r>
      <rPr>
        <sz val="12"/>
        <color rgb="FF000000"/>
        <rFont val="Times New Roman"/>
        <family val="1"/>
      </rPr>
      <t>n</t>
    </r>
    <r>
      <rPr>
        <sz val="12"/>
        <color rgb="FF000000"/>
        <rFont val="Times New Roman"/>
        <family val="1"/>
      </rPr>
      <t>v</t>
    </r>
    <r>
      <rPr>
        <sz val="12"/>
        <color rgb="FF000000"/>
        <rFont val="Times New Roman"/>
        <family val="1"/>
      </rPr>
      <t>i</t>
    </r>
    <r>
      <rPr>
        <sz val="12"/>
        <color rgb="FF000000"/>
        <rFont val="Times New Roman"/>
        <family val="1"/>
      </rPr>
      <t>r</t>
    </r>
    <r>
      <rPr>
        <sz val="12"/>
        <color rgb="FF000000"/>
        <rFont val="Times New Roman"/>
        <family val="1"/>
      </rPr>
      <t>on</t>
    </r>
    <r>
      <rPr>
        <sz val="12"/>
        <color rgb="FF000000"/>
        <rFont val="Times New Roman"/>
        <family val="1"/>
      </rPr>
      <t>m</t>
    </r>
    <r>
      <rPr>
        <sz val="12"/>
        <color rgb="FF000000"/>
        <rFont val="Times New Roman"/>
        <family val="1"/>
      </rPr>
      <t>e</t>
    </r>
    <r>
      <rPr>
        <sz val="12"/>
        <color rgb="FF000000"/>
        <rFont val="Times New Roman"/>
        <family val="1"/>
      </rPr>
      <t>n</t>
    </r>
    <r>
      <rPr>
        <sz val="12"/>
        <color rgb="FF000000"/>
        <rFont val="Times New Roman"/>
        <family val="1"/>
      </rPr>
      <t>t</t>
    </r>
    <r>
      <rPr>
        <sz val="12"/>
        <color rgb="FF000000"/>
        <rFont val="Times New Roman"/>
        <family val="1"/>
      </rPr>
      <t>a</t>
    </r>
    <r>
      <rPr>
        <sz val="12"/>
        <color rgb="FF000000"/>
        <rFont val="Times New Roman"/>
        <family val="1"/>
      </rPr>
      <t>l</t>
    </r>
    <r>
      <rPr>
        <sz val="12"/>
        <color rgb="FF000000"/>
        <rFont val="Times New Roman"/>
        <family val="1"/>
      </rPr>
      <t xml:space="preserve"> </t>
    </r>
    <r>
      <rPr>
        <sz val="12"/>
        <color rgb="FF000000"/>
        <rFont val="Times New Roman"/>
        <family val="1"/>
      </rPr>
      <t>S</t>
    </r>
    <r>
      <rPr>
        <sz val="12"/>
        <color rgb="FF000000"/>
        <rFont val="Times New Roman"/>
        <family val="1"/>
      </rPr>
      <t>y</t>
    </r>
    <r>
      <rPr>
        <sz val="12"/>
        <color rgb="FF000000"/>
        <rFont val="Times New Roman"/>
        <family val="1"/>
      </rPr>
      <t>n</t>
    </r>
    <r>
      <rPr>
        <sz val="12"/>
        <color rgb="FF000000"/>
        <rFont val="Times New Roman"/>
        <family val="1"/>
      </rPr>
      <t>c</t>
    </r>
    <r>
      <rPr>
        <sz val="12"/>
        <color rgb="FF000000"/>
        <rFont val="Times New Roman"/>
        <family val="1"/>
      </rPr>
      <t xml:space="preserve"> </t>
    </r>
    <r>
      <rPr>
        <sz val="12"/>
        <color rgb="FF000000"/>
        <rFont val="Times New Roman"/>
        <family val="1"/>
      </rPr>
      <t>a</t>
    </r>
    <r>
      <rPr>
        <sz val="12"/>
        <color rgb="FF000000"/>
        <rFont val="Times New Roman"/>
        <family val="1"/>
      </rPr>
      <t>nd</t>
    </r>
    <r>
      <rPr>
        <sz val="12"/>
        <color rgb="FF000000"/>
        <rFont val="Times New Roman"/>
        <family val="1"/>
      </rPr>
      <t xml:space="preserve"> </t>
    </r>
    <r>
      <rPr>
        <sz val="12"/>
        <color rgb="FF000000"/>
        <rFont val="Times New Roman"/>
        <family val="1"/>
      </rPr>
      <t>M</t>
    </r>
    <r>
      <rPr>
        <sz val="12"/>
        <color rgb="FF000000"/>
        <rFont val="Times New Roman"/>
        <family val="1"/>
      </rPr>
      <t>o</t>
    </r>
    <r>
      <rPr>
        <sz val="12"/>
        <color rgb="FF000000"/>
        <rFont val="Times New Roman"/>
        <family val="1"/>
      </rPr>
      <t>n</t>
    </r>
    <r>
      <rPr>
        <sz val="12"/>
        <color rgb="FF000000"/>
        <rFont val="Times New Roman"/>
        <family val="1"/>
      </rPr>
      <t>i</t>
    </r>
    <r>
      <rPr>
        <sz val="12"/>
        <color rgb="FF000000"/>
        <rFont val="Times New Roman"/>
        <family val="1"/>
      </rPr>
      <t>t</t>
    </r>
    <r>
      <rPr>
        <sz val="12"/>
        <color rgb="FF000000"/>
        <rFont val="Times New Roman"/>
        <family val="1"/>
      </rPr>
      <t>o</t>
    </r>
    <r>
      <rPr>
        <sz val="12"/>
        <color rgb="FF000000"/>
        <rFont val="Times New Roman"/>
        <family val="1"/>
      </rPr>
      <t>r</t>
    </r>
    <r>
      <rPr>
        <sz val="12"/>
        <color rgb="FF000000"/>
        <rFont val="Times New Roman"/>
        <family val="1"/>
      </rPr>
      <t>i</t>
    </r>
    <r>
      <rPr>
        <sz val="12"/>
        <color rgb="FF000000"/>
        <rFont val="Times New Roman"/>
        <family val="1"/>
      </rPr>
      <t>n</t>
    </r>
    <r>
      <rPr>
        <sz val="12"/>
        <color rgb="FF000000"/>
        <rFont val="Times New Roman"/>
        <family val="1"/>
      </rPr>
      <t>g</t>
    </r>
    <r>
      <rPr>
        <sz val="12"/>
        <color rgb="FF000000"/>
        <rFont val="Times New Roman"/>
        <family val="1"/>
      </rPr>
      <t xml:space="preserve"> </t>
    </r>
    <r>
      <rPr>
        <sz val="12"/>
        <color rgb="FF000000"/>
        <rFont val="Times New Roman"/>
        <family val="1"/>
      </rPr>
      <t>S</t>
    </r>
    <r>
      <rPr>
        <sz val="12"/>
        <color rgb="FF000000"/>
        <rFont val="Times New Roman"/>
        <family val="1"/>
      </rPr>
      <t>e</t>
    </r>
    <r>
      <rPr>
        <sz val="12"/>
        <color rgb="FF000000"/>
        <rFont val="Times New Roman"/>
        <family val="1"/>
      </rPr>
      <t>t</t>
    </r>
    <r>
      <rPr>
        <sz val="12"/>
        <color rgb="FF000000"/>
        <rFont val="Times New Roman"/>
        <family val="1"/>
      </rPr>
      <t>u</t>
    </r>
    <r>
      <rPr>
        <sz val="12"/>
        <color rgb="FF000000"/>
        <rFont val="Times New Roman"/>
        <family val="1"/>
      </rPr>
      <t>p</t>
    </r>
  </si>
  <si>
    <r>
      <rPr>
        <sz val="12"/>
        <color rgb="FF000000"/>
        <rFont val="Times New Roman"/>
        <family val="1"/>
      </rPr>
      <t>B</t>
    </r>
    <r>
      <rPr>
        <sz val="12"/>
        <color rgb="FF000000"/>
        <rFont val="Times New Roman"/>
        <family val="1"/>
      </rPr>
      <t>u</t>
    </r>
    <r>
      <rPr>
        <sz val="12"/>
        <color rgb="FF000000"/>
        <rFont val="Times New Roman"/>
        <family val="1"/>
      </rPr>
      <t>s</t>
    </r>
    <r>
      <rPr>
        <sz val="12"/>
        <color rgb="FF000000"/>
        <rFont val="Times New Roman"/>
        <family val="1"/>
      </rPr>
      <t>i</t>
    </r>
    <r>
      <rPr>
        <sz val="12"/>
        <color rgb="FF000000"/>
        <rFont val="Times New Roman"/>
        <family val="1"/>
      </rPr>
      <t>n</t>
    </r>
    <r>
      <rPr>
        <sz val="12"/>
        <color rgb="FF000000"/>
        <rFont val="Times New Roman"/>
        <family val="1"/>
      </rPr>
      <t>e</t>
    </r>
    <r>
      <rPr>
        <sz val="12"/>
        <color rgb="FF000000"/>
        <rFont val="Times New Roman"/>
        <family val="1"/>
      </rPr>
      <t>ss</t>
    </r>
    <r>
      <rPr>
        <sz val="12"/>
        <color rgb="FF000000"/>
        <rFont val="Times New Roman"/>
        <family val="1"/>
      </rPr>
      <t xml:space="preserve"> </t>
    </r>
    <r>
      <rPr>
        <sz val="12"/>
        <color rgb="FF000000"/>
        <rFont val="Times New Roman"/>
        <family val="1"/>
      </rPr>
      <t>U</t>
    </r>
    <r>
      <rPr>
        <sz val="12"/>
        <color rgb="FF000000"/>
        <rFont val="Times New Roman"/>
        <family val="1"/>
      </rPr>
      <t>s</t>
    </r>
    <r>
      <rPr>
        <sz val="12"/>
        <color rgb="FF000000"/>
        <rFont val="Times New Roman"/>
        <family val="1"/>
      </rPr>
      <t>e</t>
    </r>
    <r>
      <rPr>
        <sz val="12"/>
        <color rgb="FF000000"/>
        <rFont val="Times New Roman"/>
        <family val="1"/>
      </rPr>
      <t>r</t>
    </r>
    <r>
      <rPr>
        <sz val="12"/>
        <color rgb="FF000000"/>
        <rFont val="Times New Roman"/>
        <family val="1"/>
      </rPr>
      <t>s</t>
    </r>
    <r>
      <rPr>
        <sz val="12"/>
        <color rgb="FF000000"/>
        <rFont val="Times New Roman"/>
        <family val="1"/>
      </rPr>
      <t xml:space="preserve"> </t>
    </r>
    <r>
      <rPr>
        <sz val="12"/>
        <color rgb="FF000000"/>
        <rFont val="Times New Roman"/>
        <family val="1"/>
      </rPr>
      <t>V</t>
    </r>
    <r>
      <rPr>
        <sz val="12"/>
        <color rgb="FF000000"/>
        <rFont val="Times New Roman"/>
        <family val="1"/>
      </rPr>
      <t>a</t>
    </r>
    <r>
      <rPr>
        <sz val="12"/>
        <color rgb="FF000000"/>
        <rFont val="Times New Roman"/>
        <family val="1"/>
      </rPr>
      <t>li</t>
    </r>
    <r>
      <rPr>
        <sz val="12"/>
        <color rgb="FF000000"/>
        <rFont val="Times New Roman"/>
        <family val="1"/>
      </rPr>
      <t>d</t>
    </r>
    <r>
      <rPr>
        <sz val="12"/>
        <color rgb="FF000000"/>
        <rFont val="Times New Roman"/>
        <family val="1"/>
      </rPr>
      <t>a</t>
    </r>
    <r>
      <rPr>
        <sz val="12"/>
        <color rgb="FF000000"/>
        <rFont val="Times New Roman"/>
        <family val="1"/>
      </rPr>
      <t>t</t>
    </r>
    <r>
      <rPr>
        <sz val="12"/>
        <color rgb="FF000000"/>
        <rFont val="Times New Roman"/>
        <family val="1"/>
      </rPr>
      <t>e</t>
    </r>
  </si>
  <si>
    <r>
      <rPr>
        <sz val="12"/>
        <color rgb="FF000000"/>
        <rFont val="Times New Roman"/>
        <family val="1"/>
      </rPr>
      <t>9</t>
    </r>
  </si>
  <si>
    <r>
      <rPr>
        <sz val="12"/>
        <color rgb="FF000000"/>
        <rFont val="Times New Roman"/>
        <family val="1"/>
      </rPr>
      <t>O</t>
    </r>
    <r>
      <rPr>
        <sz val="12"/>
        <color rgb="FF000000"/>
        <rFont val="Times New Roman"/>
        <family val="1"/>
      </rPr>
      <t>p</t>
    </r>
    <r>
      <rPr>
        <sz val="12"/>
        <color rgb="FF000000"/>
        <rFont val="Times New Roman"/>
        <family val="1"/>
      </rPr>
      <t>e</t>
    </r>
    <r>
      <rPr>
        <sz val="12"/>
        <color rgb="FF000000"/>
        <rFont val="Times New Roman"/>
        <family val="1"/>
      </rPr>
      <t>r</t>
    </r>
    <r>
      <rPr>
        <sz val="12"/>
        <color rgb="FF000000"/>
        <rFont val="Times New Roman"/>
        <family val="1"/>
      </rPr>
      <t>a</t>
    </r>
    <r>
      <rPr>
        <sz val="12"/>
        <color rgb="FF000000"/>
        <rFont val="Times New Roman"/>
        <family val="1"/>
      </rPr>
      <t>t</t>
    </r>
    <r>
      <rPr>
        <sz val="12"/>
        <color rgb="FF000000"/>
        <rFont val="Times New Roman"/>
        <family val="1"/>
      </rPr>
      <t>i</t>
    </r>
    <r>
      <rPr>
        <sz val="12"/>
        <color rgb="FF000000"/>
        <rFont val="Times New Roman"/>
        <family val="1"/>
      </rPr>
      <t>on</t>
    </r>
    <r>
      <rPr>
        <sz val="12"/>
        <color rgb="FF000000"/>
        <rFont val="Times New Roman"/>
        <family val="1"/>
      </rPr>
      <t>a</t>
    </r>
    <r>
      <rPr>
        <sz val="12"/>
        <color rgb="FF000000"/>
        <rFont val="Times New Roman"/>
        <family val="1"/>
      </rPr>
      <t>l</t>
    </r>
    <r>
      <rPr>
        <sz val="12"/>
        <color rgb="FF000000"/>
        <rFont val="Times New Roman"/>
        <family val="1"/>
      </rPr>
      <t xml:space="preserve"> </t>
    </r>
    <r>
      <rPr>
        <sz val="12"/>
        <color rgb="FF000000"/>
        <rFont val="Times New Roman"/>
        <family val="1"/>
      </rPr>
      <t>R</t>
    </r>
    <r>
      <rPr>
        <sz val="12"/>
        <color rgb="FF000000"/>
        <rFont val="Times New Roman"/>
        <family val="1"/>
      </rPr>
      <t>e</t>
    </r>
    <r>
      <rPr>
        <sz val="12"/>
        <color rgb="FF000000"/>
        <rFont val="Times New Roman"/>
        <family val="1"/>
      </rPr>
      <t>a</t>
    </r>
    <r>
      <rPr>
        <sz val="12"/>
        <color rgb="FF000000"/>
        <rFont val="Times New Roman"/>
        <family val="1"/>
      </rPr>
      <t>d</t>
    </r>
    <r>
      <rPr>
        <sz val="12"/>
        <color rgb="FF000000"/>
        <rFont val="Times New Roman"/>
        <family val="1"/>
      </rPr>
      <t>i</t>
    </r>
    <r>
      <rPr>
        <sz val="12"/>
        <color rgb="FF000000"/>
        <rFont val="Times New Roman"/>
        <family val="1"/>
      </rPr>
      <t>n</t>
    </r>
    <r>
      <rPr>
        <sz val="12"/>
        <color rgb="FF000000"/>
        <rFont val="Times New Roman"/>
        <family val="1"/>
      </rPr>
      <t>e</t>
    </r>
    <r>
      <rPr>
        <sz val="12"/>
        <color rgb="FF000000"/>
        <rFont val="Times New Roman"/>
        <family val="1"/>
      </rPr>
      <t xml:space="preserve">ss
</t>
    </r>
    <r>
      <rPr>
        <sz val="12"/>
        <color rgb="FF000000"/>
        <rFont val="Times New Roman"/>
        <family val="1"/>
      </rPr>
      <t>D</t>
    </r>
    <r>
      <rPr>
        <sz val="12"/>
        <color rgb="FF000000"/>
        <rFont val="Times New Roman"/>
        <family val="1"/>
      </rPr>
      <t>o</t>
    </r>
    <r>
      <rPr>
        <sz val="12"/>
        <color rgb="FF000000"/>
        <rFont val="Times New Roman"/>
        <family val="1"/>
      </rPr>
      <t>c</t>
    </r>
    <r>
      <rPr>
        <sz val="12"/>
        <color rgb="FF000000"/>
        <rFont val="Times New Roman"/>
        <family val="1"/>
      </rPr>
      <t>u</t>
    </r>
    <r>
      <rPr>
        <sz val="12"/>
        <color rgb="FF000000"/>
        <rFont val="Times New Roman"/>
        <family val="1"/>
      </rPr>
      <t>m</t>
    </r>
    <r>
      <rPr>
        <sz val="12"/>
        <color rgb="FF000000"/>
        <rFont val="Times New Roman"/>
        <family val="1"/>
      </rPr>
      <t>e</t>
    </r>
    <r>
      <rPr>
        <sz val="12"/>
        <color rgb="FF000000"/>
        <rFont val="Times New Roman"/>
        <family val="1"/>
      </rPr>
      <t>n</t>
    </r>
    <r>
      <rPr>
        <sz val="12"/>
        <color rgb="FF000000"/>
        <rFont val="Times New Roman"/>
        <family val="1"/>
      </rPr>
      <t>t</t>
    </r>
    <r>
      <rPr>
        <sz val="12"/>
        <color rgb="FF000000"/>
        <rFont val="Times New Roman"/>
        <family val="1"/>
      </rPr>
      <t>s</t>
    </r>
  </si>
  <si>
    <r>
      <rPr>
        <sz val="12"/>
        <color rgb="FF000000"/>
        <rFont val="Times New Roman"/>
        <family val="1"/>
      </rPr>
      <t>10</t>
    </r>
  </si>
  <si>
    <r>
      <rPr>
        <sz val="12"/>
        <color rgb="FF000000"/>
        <rFont val="Times New Roman"/>
        <family val="1"/>
      </rPr>
      <t>D</t>
    </r>
    <r>
      <rPr>
        <sz val="12"/>
        <color rgb="FF000000"/>
        <rFont val="Times New Roman"/>
        <family val="1"/>
      </rPr>
      <t>R</t>
    </r>
    <r>
      <rPr>
        <sz val="12"/>
        <color rgb="FF000000"/>
        <rFont val="Times New Roman"/>
        <family val="1"/>
      </rPr>
      <t xml:space="preserve"> </t>
    </r>
    <r>
      <rPr>
        <sz val="12"/>
        <color rgb="FF000000"/>
        <rFont val="Times New Roman"/>
        <family val="1"/>
      </rPr>
      <t>I</t>
    </r>
    <r>
      <rPr>
        <sz val="12"/>
        <color rgb="FF000000"/>
        <rFont val="Times New Roman"/>
        <family val="1"/>
      </rPr>
      <t>n</t>
    </r>
    <r>
      <rPr>
        <sz val="12"/>
        <color rgb="FF000000"/>
        <rFont val="Times New Roman"/>
        <family val="1"/>
      </rPr>
      <t>f</t>
    </r>
    <r>
      <rPr>
        <sz val="12"/>
        <color rgb="FF000000"/>
        <rFont val="Times New Roman"/>
        <family val="1"/>
      </rPr>
      <t>r</t>
    </r>
    <r>
      <rPr>
        <sz val="12"/>
        <color rgb="FF000000"/>
        <rFont val="Times New Roman"/>
        <family val="1"/>
      </rPr>
      <t>a</t>
    </r>
    <r>
      <rPr>
        <sz val="12"/>
        <color rgb="FF000000"/>
        <rFont val="Times New Roman"/>
        <family val="1"/>
      </rPr>
      <t xml:space="preserve"> </t>
    </r>
    <r>
      <rPr>
        <sz val="12"/>
        <color rgb="FF000000"/>
        <rFont val="Times New Roman"/>
        <family val="1"/>
      </rPr>
      <t>O</t>
    </r>
    <r>
      <rPr>
        <sz val="12"/>
        <color rgb="FF000000"/>
        <rFont val="Times New Roman"/>
        <family val="1"/>
      </rPr>
      <t>p</t>
    </r>
    <r>
      <rPr>
        <sz val="12"/>
        <color rgb="FF000000"/>
        <rFont val="Times New Roman"/>
        <family val="1"/>
      </rPr>
      <t>e</t>
    </r>
    <r>
      <rPr>
        <sz val="12"/>
        <color rgb="FF000000"/>
        <rFont val="Times New Roman"/>
        <family val="1"/>
      </rPr>
      <t>r</t>
    </r>
    <r>
      <rPr>
        <sz val="12"/>
        <color rgb="FF000000"/>
        <rFont val="Times New Roman"/>
        <family val="1"/>
      </rPr>
      <t>a</t>
    </r>
    <r>
      <rPr>
        <sz val="12"/>
        <color rgb="FF000000"/>
        <rFont val="Times New Roman"/>
        <family val="1"/>
      </rPr>
      <t>t</t>
    </r>
    <r>
      <rPr>
        <sz val="12"/>
        <color rgb="FF000000"/>
        <rFont val="Times New Roman"/>
        <family val="1"/>
      </rPr>
      <t>i</t>
    </r>
    <r>
      <rPr>
        <sz val="12"/>
        <color rgb="FF000000"/>
        <rFont val="Times New Roman"/>
        <family val="1"/>
      </rPr>
      <t>o</t>
    </r>
    <r>
      <rPr>
        <sz val="12"/>
        <color rgb="FF000000"/>
        <rFont val="Times New Roman"/>
        <family val="1"/>
      </rPr>
      <t>n</t>
    </r>
    <r>
      <rPr>
        <sz val="12"/>
        <color rgb="FF000000"/>
        <rFont val="Times New Roman"/>
        <family val="1"/>
      </rPr>
      <t>a</t>
    </r>
    <r>
      <rPr>
        <sz val="12"/>
        <color rgb="FF000000"/>
        <rFont val="Times New Roman"/>
        <family val="1"/>
      </rPr>
      <t>l</t>
    </r>
  </si>
  <si>
    <r>
      <rPr>
        <sz val="12"/>
        <color rgb="FF000000"/>
        <rFont val="Times New Roman"/>
        <family val="1"/>
      </rPr>
      <t>C</t>
    </r>
    <r>
      <rPr>
        <sz val="12"/>
        <color rgb="FF000000"/>
        <rFont val="Times New Roman"/>
        <family val="1"/>
      </rPr>
      <t>o</t>
    </r>
    <r>
      <rPr>
        <sz val="12"/>
        <color rgb="FF000000"/>
        <rFont val="Times New Roman"/>
        <family val="1"/>
      </rPr>
      <t>m</t>
    </r>
    <r>
      <rPr>
        <sz val="12"/>
        <color rgb="FF000000"/>
        <rFont val="Times New Roman"/>
        <family val="1"/>
      </rPr>
      <t>p</t>
    </r>
    <r>
      <rPr>
        <sz val="12"/>
        <color rgb="FF000000"/>
        <rFont val="Times New Roman"/>
        <family val="1"/>
      </rPr>
      <t>l</t>
    </r>
    <r>
      <rPr>
        <sz val="12"/>
        <color rgb="FF000000"/>
        <rFont val="Times New Roman"/>
        <family val="1"/>
      </rPr>
      <t>e</t>
    </r>
    <r>
      <rPr>
        <sz val="12"/>
        <color rgb="FF000000"/>
        <rFont val="Times New Roman"/>
        <family val="1"/>
      </rPr>
      <t>t</t>
    </r>
    <r>
      <rPr>
        <sz val="12"/>
        <color rgb="FF000000"/>
        <rFont val="Times New Roman"/>
        <family val="1"/>
      </rPr>
      <t>i</t>
    </r>
    <r>
      <rPr>
        <sz val="12"/>
        <color rgb="FF000000"/>
        <rFont val="Times New Roman"/>
        <family val="1"/>
      </rPr>
      <t>on</t>
    </r>
    <r>
      <rPr>
        <sz val="12"/>
        <color rgb="FF000000"/>
        <rFont val="Times New Roman"/>
        <family val="1"/>
      </rPr>
      <t xml:space="preserve"> </t>
    </r>
    <r>
      <rPr>
        <sz val="12"/>
        <color rgb="FF000000"/>
        <rFont val="Times New Roman"/>
        <family val="1"/>
      </rPr>
      <t>o</t>
    </r>
    <r>
      <rPr>
        <sz val="12"/>
        <color rgb="FF000000"/>
        <rFont val="Times New Roman"/>
        <family val="1"/>
      </rPr>
      <t>f</t>
    </r>
    <r>
      <rPr>
        <sz val="12"/>
        <color rgb="FF000000"/>
        <rFont val="Times New Roman"/>
        <family val="1"/>
      </rPr>
      <t xml:space="preserve"> </t>
    </r>
    <r>
      <rPr>
        <sz val="12"/>
        <color rgb="FF000000"/>
        <rFont val="Times New Roman"/>
        <family val="1"/>
      </rPr>
      <t>M</t>
    </r>
    <r>
      <rPr>
        <sz val="12"/>
        <color rgb="FF000000"/>
        <rFont val="Times New Roman"/>
        <family val="1"/>
      </rPr>
      <t>i</t>
    </r>
    <r>
      <rPr>
        <sz val="12"/>
        <color rgb="FF000000"/>
        <rFont val="Times New Roman"/>
        <family val="1"/>
      </rPr>
      <t>l</t>
    </r>
    <r>
      <rPr>
        <sz val="12"/>
        <color rgb="FF000000"/>
        <rFont val="Times New Roman"/>
        <family val="1"/>
      </rPr>
      <t>e</t>
    </r>
    <r>
      <rPr>
        <sz val="12"/>
        <color rgb="FF000000"/>
        <rFont val="Times New Roman"/>
        <family val="1"/>
      </rPr>
      <t>s</t>
    </r>
    <r>
      <rPr>
        <sz val="12"/>
        <color rgb="FF000000"/>
        <rFont val="Times New Roman"/>
        <family val="1"/>
      </rPr>
      <t>t</t>
    </r>
    <r>
      <rPr>
        <sz val="12"/>
        <color rgb="FF000000"/>
        <rFont val="Times New Roman"/>
        <family val="1"/>
      </rPr>
      <t>on</t>
    </r>
    <r>
      <rPr>
        <sz val="12"/>
        <color rgb="FF000000"/>
        <rFont val="Times New Roman"/>
        <family val="1"/>
      </rPr>
      <t xml:space="preserve">e
</t>
    </r>
    <r>
      <rPr>
        <sz val="12"/>
        <color rgb="FF000000"/>
        <rFont val="Times New Roman"/>
        <family val="1"/>
      </rPr>
      <t>2</t>
    </r>
  </si>
  <si>
    <r>
      <rPr>
        <sz val="12"/>
        <color rgb="FF000000"/>
        <rFont val="Times New Roman"/>
        <family val="1"/>
      </rPr>
      <t>11</t>
    </r>
  </si>
  <si>
    <r>
      <rPr>
        <sz val="12"/>
        <color rgb="FF000000"/>
        <rFont val="Times New Roman"/>
        <family val="1"/>
      </rPr>
      <t>T</t>
    </r>
    <r>
      <rPr>
        <sz val="12"/>
        <color rgb="FF000000"/>
        <rFont val="Times New Roman"/>
        <family val="1"/>
      </rPr>
      <t xml:space="preserve"> </t>
    </r>
    <r>
      <rPr>
        <sz val="12"/>
        <color rgb="FF000000"/>
        <rFont val="Times New Roman"/>
        <family val="1"/>
      </rPr>
      <t>+</t>
    </r>
    <r>
      <rPr>
        <sz val="12"/>
        <color rgb="FF000000"/>
        <rFont val="Times New Roman"/>
        <family val="1"/>
      </rPr>
      <t xml:space="preserve"> </t>
    </r>
    <r>
      <rPr>
        <sz val="12"/>
        <color rgb="FF000000"/>
        <rFont val="Times New Roman"/>
        <family val="1"/>
      </rPr>
      <t>9</t>
    </r>
    <r>
      <rPr>
        <sz val="12"/>
        <color rgb="FF000000"/>
        <rFont val="Times New Roman"/>
        <family val="1"/>
      </rPr>
      <t xml:space="preserve"> </t>
    </r>
    <r>
      <rPr>
        <sz val="12"/>
        <color rgb="FF000000"/>
        <rFont val="Times New Roman"/>
        <family val="1"/>
      </rPr>
      <t>W</t>
    </r>
    <r>
      <rPr>
        <sz val="12"/>
        <color rgb="FF000000"/>
        <rFont val="Times New Roman"/>
        <family val="1"/>
      </rPr>
      <t>e</t>
    </r>
    <r>
      <rPr>
        <sz val="12"/>
        <color rgb="FF000000"/>
        <rFont val="Times New Roman"/>
        <family val="1"/>
      </rPr>
      <t>e</t>
    </r>
    <r>
      <rPr>
        <sz val="12"/>
        <color rgb="FF000000"/>
        <rFont val="Times New Roman"/>
        <family val="1"/>
      </rPr>
      <t>k</t>
    </r>
    <r>
      <rPr>
        <sz val="12"/>
        <color rgb="FF000000"/>
        <rFont val="Times New Roman"/>
        <family val="1"/>
      </rPr>
      <t>s</t>
    </r>
  </si>
  <si>
    <r>
      <rPr>
        <sz val="12"/>
        <color rgb="FF000000"/>
        <rFont val="Times New Roman"/>
        <family val="1"/>
      </rPr>
      <t>U</t>
    </r>
    <r>
      <rPr>
        <sz val="12"/>
        <color rgb="FF000000"/>
        <rFont val="Times New Roman"/>
        <family val="1"/>
      </rPr>
      <t>s</t>
    </r>
    <r>
      <rPr>
        <sz val="12"/>
        <color rgb="FF000000"/>
        <rFont val="Times New Roman"/>
        <family val="1"/>
      </rPr>
      <t>e</t>
    </r>
    <r>
      <rPr>
        <sz val="12"/>
        <color rgb="FF000000"/>
        <rFont val="Times New Roman"/>
        <family val="1"/>
      </rPr>
      <t>r</t>
    </r>
    <r>
      <rPr>
        <sz val="12"/>
        <color rgb="FF000000"/>
        <rFont val="Times New Roman"/>
        <family val="1"/>
      </rPr>
      <t xml:space="preserve"> </t>
    </r>
    <r>
      <rPr>
        <sz val="12"/>
        <color rgb="FF000000"/>
        <rFont val="Times New Roman"/>
        <family val="1"/>
      </rPr>
      <t>t</t>
    </r>
    <r>
      <rPr>
        <sz val="12"/>
        <color rgb="FF000000"/>
        <rFont val="Times New Roman"/>
        <family val="1"/>
      </rPr>
      <t>o</t>
    </r>
    <r>
      <rPr>
        <sz val="12"/>
        <color rgb="FF000000"/>
        <rFont val="Times New Roman"/>
        <family val="1"/>
      </rPr>
      <t xml:space="preserve"> </t>
    </r>
    <r>
      <rPr>
        <sz val="12"/>
        <color rgb="FF000000"/>
        <rFont val="Times New Roman"/>
        <family val="1"/>
      </rPr>
      <t>b</t>
    </r>
    <r>
      <rPr>
        <sz val="12"/>
        <color rgb="FF000000"/>
        <rFont val="Times New Roman"/>
        <family val="1"/>
      </rPr>
      <t>e</t>
    </r>
    <r>
      <rPr>
        <sz val="12"/>
        <color rgb="FF000000"/>
        <rFont val="Times New Roman"/>
        <family val="1"/>
      </rPr>
      <t xml:space="preserve"> </t>
    </r>
    <r>
      <rPr>
        <sz val="12"/>
        <color rgb="FF000000"/>
        <rFont val="Times New Roman"/>
        <family val="1"/>
      </rPr>
      <t>T</t>
    </r>
    <r>
      <rPr>
        <sz val="12"/>
        <color rgb="FF000000"/>
        <rFont val="Times New Roman"/>
        <family val="1"/>
      </rPr>
      <t>r</t>
    </r>
    <r>
      <rPr>
        <sz val="12"/>
        <color rgb="FF000000"/>
        <rFont val="Times New Roman"/>
        <family val="1"/>
      </rPr>
      <t>a</t>
    </r>
    <r>
      <rPr>
        <sz val="12"/>
        <color rgb="FF000000"/>
        <rFont val="Times New Roman"/>
        <family val="1"/>
      </rPr>
      <t>i</t>
    </r>
    <r>
      <rPr>
        <sz val="12"/>
        <color rgb="FF000000"/>
        <rFont val="Times New Roman"/>
        <family val="1"/>
      </rPr>
      <t>n</t>
    </r>
    <r>
      <rPr>
        <sz val="12"/>
        <color rgb="FF000000"/>
        <rFont val="Times New Roman"/>
        <family val="1"/>
      </rPr>
      <t>e</t>
    </r>
    <r>
      <rPr>
        <sz val="12"/>
        <color rgb="FF000000"/>
        <rFont val="Times New Roman"/>
        <family val="1"/>
      </rPr>
      <t>d</t>
    </r>
  </si>
  <si>
    <r>
      <rPr>
        <sz val="12"/>
        <color rgb="FF000000"/>
        <rFont val="Times New Roman"/>
        <family val="1"/>
      </rPr>
      <t>S</t>
    </r>
    <r>
      <rPr>
        <sz val="12"/>
        <color rgb="FF000000"/>
        <rFont val="Times New Roman"/>
        <family val="1"/>
      </rPr>
      <t>t</t>
    </r>
    <r>
      <rPr>
        <sz val="12"/>
        <color rgb="FF000000"/>
        <rFont val="Times New Roman"/>
        <family val="1"/>
      </rPr>
      <t>a</t>
    </r>
    <r>
      <rPr>
        <sz val="12"/>
        <color rgb="FF000000"/>
        <rFont val="Times New Roman"/>
        <family val="1"/>
      </rPr>
      <t>r</t>
    </r>
    <r>
      <rPr>
        <sz val="12"/>
        <color rgb="FF000000"/>
        <rFont val="Times New Roman"/>
        <family val="1"/>
      </rPr>
      <t>t</t>
    </r>
    <r>
      <rPr>
        <sz val="12"/>
        <color rgb="FF000000"/>
        <rFont val="Times New Roman"/>
        <family val="1"/>
      </rPr>
      <t xml:space="preserve"> </t>
    </r>
    <r>
      <rPr>
        <sz val="12"/>
        <color rgb="FF000000"/>
        <rFont val="Times New Roman"/>
        <family val="1"/>
      </rPr>
      <t>o</t>
    </r>
    <r>
      <rPr>
        <sz val="12"/>
        <color rgb="FF000000"/>
        <rFont val="Times New Roman"/>
        <family val="1"/>
      </rPr>
      <t xml:space="preserve">f
</t>
    </r>
    <r>
      <rPr>
        <sz val="12"/>
        <color rgb="FF000000"/>
        <rFont val="Times New Roman"/>
        <family val="1"/>
      </rPr>
      <t>M</t>
    </r>
    <r>
      <rPr>
        <sz val="12"/>
        <color rgb="FF000000"/>
        <rFont val="Times New Roman"/>
        <family val="1"/>
      </rPr>
      <t>il</t>
    </r>
    <r>
      <rPr>
        <sz val="12"/>
        <color rgb="FF000000"/>
        <rFont val="Times New Roman"/>
        <family val="1"/>
      </rPr>
      <t>e</t>
    </r>
    <r>
      <rPr>
        <sz val="12"/>
        <color rgb="FF000000"/>
        <rFont val="Times New Roman"/>
        <family val="1"/>
      </rPr>
      <t>s</t>
    </r>
    <r>
      <rPr>
        <sz val="12"/>
        <color rgb="FF000000"/>
        <rFont val="Times New Roman"/>
        <family val="1"/>
      </rPr>
      <t>t</t>
    </r>
    <r>
      <rPr>
        <sz val="12"/>
        <color rgb="FF000000"/>
        <rFont val="Times New Roman"/>
        <family val="1"/>
      </rPr>
      <t>o</t>
    </r>
    <r>
      <rPr>
        <sz val="12"/>
        <color rgb="FF000000"/>
        <rFont val="Times New Roman"/>
        <family val="1"/>
      </rPr>
      <t>n</t>
    </r>
    <r>
      <rPr>
        <sz val="12"/>
        <color rgb="FF000000"/>
        <rFont val="Times New Roman"/>
        <family val="1"/>
      </rPr>
      <t>e</t>
    </r>
    <r>
      <rPr>
        <sz val="12"/>
        <color rgb="FF000000"/>
        <rFont val="Times New Roman"/>
        <family val="1"/>
      </rPr>
      <t xml:space="preserve"> </t>
    </r>
    <r>
      <rPr>
        <sz val="12"/>
        <color rgb="FF000000"/>
        <rFont val="Times New Roman"/>
        <family val="1"/>
      </rPr>
      <t>3</t>
    </r>
  </si>
  <si>
    <r>
      <rPr>
        <sz val="12"/>
        <color rgb="FF000000"/>
        <rFont val="Times New Roman"/>
        <family val="1"/>
      </rPr>
      <t>12</t>
    </r>
  </si>
  <si>
    <r>
      <rPr>
        <sz val="12"/>
        <color rgb="FF000000"/>
        <rFont val="Times New Roman"/>
        <family val="1"/>
      </rPr>
      <t>T</t>
    </r>
    <r>
      <rPr>
        <sz val="12"/>
        <color rgb="FF000000"/>
        <rFont val="Times New Roman"/>
        <family val="1"/>
      </rPr>
      <t xml:space="preserve"> </t>
    </r>
    <r>
      <rPr>
        <sz val="12"/>
        <color rgb="FF000000"/>
        <rFont val="Times New Roman"/>
        <family val="1"/>
      </rPr>
      <t>+</t>
    </r>
    <r>
      <rPr>
        <sz val="12"/>
        <color rgb="FF000000"/>
        <rFont val="Times New Roman"/>
        <family val="1"/>
      </rPr>
      <t xml:space="preserve"> </t>
    </r>
    <r>
      <rPr>
        <sz val="12"/>
        <color rgb="FF000000"/>
        <rFont val="Times New Roman"/>
        <family val="1"/>
      </rPr>
      <t>10</t>
    </r>
    <r>
      <rPr>
        <sz val="12"/>
        <color rgb="FF000000"/>
        <rFont val="Times New Roman"/>
        <family val="1"/>
      </rPr>
      <t xml:space="preserve"> </t>
    </r>
    <r>
      <rPr>
        <sz val="12"/>
        <color rgb="FF000000"/>
        <rFont val="Times New Roman"/>
        <family val="1"/>
      </rPr>
      <t>W</t>
    </r>
    <r>
      <rPr>
        <sz val="12"/>
        <color rgb="FF000000"/>
        <rFont val="Times New Roman"/>
        <family val="1"/>
      </rPr>
      <t>ee</t>
    </r>
    <r>
      <rPr>
        <sz val="12"/>
        <color rgb="FF000000"/>
        <rFont val="Times New Roman"/>
        <family val="1"/>
      </rPr>
      <t>k</t>
    </r>
    <r>
      <rPr>
        <sz val="12"/>
        <color rgb="FF000000"/>
        <rFont val="Times New Roman"/>
        <family val="1"/>
      </rPr>
      <t>s</t>
    </r>
  </si>
  <si>
    <r>
      <rPr>
        <sz val="12"/>
        <color rgb="FF000000"/>
        <rFont val="Times New Roman"/>
        <family val="1"/>
      </rPr>
      <t>R</t>
    </r>
    <r>
      <rPr>
        <sz val="12"/>
        <color rgb="FF000000"/>
        <rFont val="Times New Roman"/>
        <family val="1"/>
      </rPr>
      <t>e</t>
    </r>
    <r>
      <rPr>
        <sz val="12"/>
        <color rgb="FF000000"/>
        <rFont val="Times New Roman"/>
        <family val="1"/>
      </rPr>
      <t>g</t>
    </r>
    <r>
      <rPr>
        <sz val="12"/>
        <color rgb="FF000000"/>
        <rFont val="Times New Roman"/>
        <family val="1"/>
      </rPr>
      <t>u</t>
    </r>
    <r>
      <rPr>
        <sz val="12"/>
        <color rgb="FF000000"/>
        <rFont val="Times New Roman"/>
        <family val="1"/>
      </rPr>
      <t>l</t>
    </r>
    <r>
      <rPr>
        <sz val="12"/>
        <color rgb="FF000000"/>
        <rFont val="Times New Roman"/>
        <family val="1"/>
      </rPr>
      <t>a</t>
    </r>
    <r>
      <rPr>
        <sz val="12"/>
        <color rgb="FF000000"/>
        <rFont val="Times New Roman"/>
        <family val="1"/>
      </rPr>
      <t>r</t>
    </r>
    <r>
      <rPr>
        <sz val="12"/>
        <color rgb="FF000000"/>
        <rFont val="Times New Roman"/>
        <family val="1"/>
      </rPr>
      <t xml:space="preserve"> </t>
    </r>
    <r>
      <rPr>
        <sz val="12"/>
        <color rgb="FF000000"/>
        <rFont val="Times New Roman"/>
        <family val="1"/>
      </rPr>
      <t>D</t>
    </r>
    <r>
      <rPr>
        <sz val="12"/>
        <color rgb="FF000000"/>
        <rFont val="Times New Roman"/>
        <family val="1"/>
      </rPr>
      <t>r</t>
    </r>
    <r>
      <rPr>
        <sz val="12"/>
        <color rgb="FF000000"/>
        <rFont val="Times New Roman"/>
        <family val="1"/>
      </rPr>
      <t>ill</t>
    </r>
    <r>
      <rPr>
        <sz val="12"/>
        <color rgb="FF000000"/>
        <rFont val="Times New Roman"/>
        <family val="1"/>
      </rPr>
      <t>s</t>
    </r>
    <r>
      <rPr>
        <sz val="12"/>
        <color rgb="FF000000"/>
        <rFont val="Times New Roman"/>
        <family val="1"/>
      </rPr>
      <t>,</t>
    </r>
    <r>
      <rPr>
        <sz val="12"/>
        <color rgb="FF000000"/>
        <rFont val="Times New Roman"/>
        <family val="1"/>
      </rPr>
      <t xml:space="preserve"> </t>
    </r>
    <r>
      <rPr>
        <sz val="12"/>
        <color rgb="FF000000"/>
        <rFont val="Times New Roman"/>
        <family val="1"/>
      </rPr>
      <t>R</t>
    </r>
    <r>
      <rPr>
        <sz val="12"/>
        <color rgb="FF000000"/>
        <rFont val="Times New Roman"/>
        <family val="1"/>
      </rPr>
      <t>e</t>
    </r>
    <r>
      <rPr>
        <sz val="12"/>
        <color rgb="FF000000"/>
        <rFont val="Times New Roman"/>
        <family val="1"/>
      </rPr>
      <t>v</t>
    </r>
    <r>
      <rPr>
        <sz val="12"/>
        <color rgb="FF000000"/>
        <rFont val="Times New Roman"/>
        <family val="1"/>
      </rPr>
      <t>i</t>
    </r>
    <r>
      <rPr>
        <sz val="12"/>
        <color rgb="FF000000"/>
        <rFont val="Times New Roman"/>
        <family val="1"/>
      </rPr>
      <t>e</t>
    </r>
    <r>
      <rPr>
        <sz val="12"/>
        <color rgb="FF000000"/>
        <rFont val="Times New Roman"/>
        <family val="1"/>
      </rPr>
      <t>w</t>
    </r>
    <r>
      <rPr>
        <sz val="12"/>
        <color rgb="FF000000"/>
        <rFont val="Times New Roman"/>
        <family val="1"/>
      </rPr>
      <t>s</t>
    </r>
    <r>
      <rPr>
        <sz val="12"/>
        <color rgb="FF000000"/>
        <rFont val="Times New Roman"/>
        <family val="1"/>
      </rPr>
      <t>,</t>
    </r>
    <r>
      <rPr>
        <sz val="12"/>
        <color rgb="FF000000"/>
        <rFont val="Times New Roman"/>
        <family val="1"/>
      </rPr>
      <t xml:space="preserve"> </t>
    </r>
    <r>
      <rPr>
        <sz val="12"/>
        <color rgb="FF000000"/>
        <rFont val="Times New Roman"/>
        <family val="1"/>
      </rPr>
      <t>A</t>
    </r>
    <r>
      <rPr>
        <sz val="12"/>
        <color rgb="FF000000"/>
        <rFont val="Times New Roman"/>
        <family val="1"/>
      </rPr>
      <t>u</t>
    </r>
    <r>
      <rPr>
        <sz val="12"/>
        <color rgb="FF000000"/>
        <rFont val="Times New Roman"/>
        <family val="1"/>
      </rPr>
      <t>d</t>
    </r>
    <r>
      <rPr>
        <sz val="12"/>
        <color rgb="FF000000"/>
        <rFont val="Times New Roman"/>
        <family val="1"/>
      </rPr>
      <t>i</t>
    </r>
    <r>
      <rPr>
        <sz val="12"/>
        <color rgb="FF000000"/>
        <rFont val="Times New Roman"/>
        <family val="1"/>
      </rPr>
      <t>t</t>
    </r>
    <r>
      <rPr>
        <sz val="12"/>
        <color rgb="FF000000"/>
        <rFont val="Times New Roman"/>
        <family val="1"/>
      </rPr>
      <t>s</t>
    </r>
  </si>
  <si>
    <r>
      <rPr>
        <sz val="12"/>
        <color rgb="FF000000"/>
        <rFont val="Times New Roman"/>
        <family val="1"/>
      </rPr>
      <t>13</t>
    </r>
  </si>
  <si>
    <r>
      <rPr>
        <sz val="12"/>
        <color rgb="FF000000"/>
        <rFont val="Times New Roman"/>
        <family val="1"/>
      </rPr>
      <t>T</t>
    </r>
    <r>
      <rPr>
        <sz val="12"/>
        <color rgb="FF000000"/>
        <rFont val="Times New Roman"/>
        <family val="1"/>
      </rPr>
      <t xml:space="preserve"> </t>
    </r>
    <r>
      <rPr>
        <sz val="12"/>
        <color rgb="FF000000"/>
        <rFont val="Times New Roman"/>
        <family val="1"/>
      </rPr>
      <t>+</t>
    </r>
    <r>
      <rPr>
        <sz val="12"/>
        <color rgb="FF000000"/>
        <rFont val="Times New Roman"/>
        <family val="1"/>
      </rPr>
      <t xml:space="preserve"> </t>
    </r>
    <r>
      <rPr>
        <sz val="12"/>
        <color rgb="FF000000"/>
        <rFont val="Times New Roman"/>
        <family val="1"/>
      </rPr>
      <t>11</t>
    </r>
    <r>
      <rPr>
        <sz val="12"/>
        <color rgb="FF000000"/>
        <rFont val="Times New Roman"/>
        <family val="1"/>
      </rPr>
      <t xml:space="preserve"> </t>
    </r>
    <r>
      <rPr>
        <sz val="12"/>
        <color rgb="FF000000"/>
        <rFont val="Times New Roman"/>
        <family val="1"/>
      </rPr>
      <t>W</t>
    </r>
    <r>
      <rPr>
        <sz val="12"/>
        <color rgb="FF000000"/>
        <rFont val="Times New Roman"/>
        <family val="1"/>
      </rPr>
      <t>ee</t>
    </r>
    <r>
      <rPr>
        <sz val="12"/>
        <color rgb="FF000000"/>
        <rFont val="Times New Roman"/>
        <family val="1"/>
      </rPr>
      <t>k</t>
    </r>
    <r>
      <rPr>
        <sz val="12"/>
        <color rgb="FF000000"/>
        <rFont val="Times New Roman"/>
        <family val="1"/>
      </rPr>
      <t>s</t>
    </r>
  </si>
  <si>
    <r>
      <rPr>
        <sz val="12"/>
        <color rgb="FF000000"/>
        <rFont val="Times New Roman"/>
        <family val="1"/>
      </rPr>
      <t>C</t>
    </r>
    <r>
      <rPr>
        <sz val="12"/>
        <color rgb="FF000000"/>
        <rFont val="Times New Roman"/>
        <family val="1"/>
      </rPr>
      <t>o</t>
    </r>
    <r>
      <rPr>
        <sz val="12"/>
        <color rgb="FF000000"/>
        <rFont val="Times New Roman"/>
        <family val="1"/>
      </rPr>
      <t>m</t>
    </r>
    <r>
      <rPr>
        <sz val="12"/>
        <color rgb="FF000000"/>
        <rFont val="Times New Roman"/>
        <family val="1"/>
      </rPr>
      <t>p</t>
    </r>
    <r>
      <rPr>
        <sz val="12"/>
        <color rgb="FF000000"/>
        <rFont val="Times New Roman"/>
        <family val="1"/>
      </rPr>
      <t>l</t>
    </r>
    <r>
      <rPr>
        <sz val="12"/>
        <color rgb="FF000000"/>
        <rFont val="Times New Roman"/>
        <family val="1"/>
      </rPr>
      <t>e</t>
    </r>
    <r>
      <rPr>
        <sz val="12"/>
        <color rgb="FF000000"/>
        <rFont val="Times New Roman"/>
        <family val="1"/>
      </rPr>
      <t>t</t>
    </r>
    <r>
      <rPr>
        <sz val="12"/>
        <color rgb="FF000000"/>
        <rFont val="Times New Roman"/>
        <family val="1"/>
      </rPr>
      <t>i</t>
    </r>
    <r>
      <rPr>
        <sz val="12"/>
        <color rgb="FF000000"/>
        <rFont val="Times New Roman"/>
        <family val="1"/>
      </rPr>
      <t>on</t>
    </r>
    <r>
      <rPr>
        <sz val="12"/>
        <color rgb="FF000000"/>
        <rFont val="Times New Roman"/>
        <family val="1"/>
      </rPr>
      <t xml:space="preserve"> </t>
    </r>
    <r>
      <rPr>
        <sz val="12"/>
        <color rgb="FF000000"/>
        <rFont val="Times New Roman"/>
        <family val="1"/>
      </rPr>
      <t>o</t>
    </r>
    <r>
      <rPr>
        <sz val="12"/>
        <color rgb="FF000000"/>
        <rFont val="Times New Roman"/>
        <family val="1"/>
      </rPr>
      <t>f</t>
    </r>
    <r>
      <rPr>
        <sz val="12"/>
        <color rgb="FF000000"/>
        <rFont val="Times New Roman"/>
        <family val="1"/>
      </rPr>
      <t xml:space="preserve"> </t>
    </r>
    <r>
      <rPr>
        <sz val="12"/>
        <color rgb="FF000000"/>
        <rFont val="Times New Roman"/>
        <family val="1"/>
      </rPr>
      <t>D</t>
    </r>
    <r>
      <rPr>
        <sz val="12"/>
        <color rgb="FF000000"/>
        <rFont val="Times New Roman"/>
        <family val="1"/>
      </rPr>
      <t>R</t>
    </r>
    <r>
      <rPr>
        <sz val="12"/>
        <color rgb="FF000000"/>
        <rFont val="Times New Roman"/>
        <family val="1"/>
      </rPr>
      <t xml:space="preserve"> </t>
    </r>
    <r>
      <rPr>
        <sz val="12"/>
        <color rgb="FF000000"/>
        <rFont val="Times New Roman"/>
        <family val="1"/>
      </rPr>
      <t>S</t>
    </r>
    <r>
      <rPr>
        <sz val="12"/>
        <color rgb="FF000000"/>
        <rFont val="Times New Roman"/>
        <family val="1"/>
      </rPr>
      <t>e</t>
    </r>
    <r>
      <rPr>
        <sz val="12"/>
        <color rgb="FF000000"/>
        <rFont val="Times New Roman"/>
        <family val="1"/>
      </rPr>
      <t>t</t>
    </r>
    <r>
      <rPr>
        <sz val="12"/>
        <color rgb="FF000000"/>
        <rFont val="Times New Roman"/>
        <family val="1"/>
      </rPr>
      <t>u</t>
    </r>
    <r>
      <rPr>
        <sz val="12"/>
        <color rgb="FF000000"/>
        <rFont val="Times New Roman"/>
        <family val="1"/>
      </rPr>
      <t>p</t>
    </r>
  </si>
  <si>
    <r>
      <rPr>
        <sz val="12"/>
        <color rgb="FF000000"/>
        <rFont val="Times New Roman"/>
        <family val="1"/>
      </rPr>
      <t>C</t>
    </r>
    <r>
      <rPr>
        <sz val="12"/>
        <color rgb="FF000000"/>
        <rFont val="Times New Roman"/>
        <family val="1"/>
      </rPr>
      <t>o</t>
    </r>
    <r>
      <rPr>
        <sz val="12"/>
        <color rgb="FF000000"/>
        <rFont val="Times New Roman"/>
        <family val="1"/>
      </rPr>
      <t>m</t>
    </r>
    <r>
      <rPr>
        <sz val="12"/>
        <color rgb="FF000000"/>
        <rFont val="Times New Roman"/>
        <family val="1"/>
      </rPr>
      <t>p</t>
    </r>
    <r>
      <rPr>
        <sz val="12"/>
        <color rgb="FF000000"/>
        <rFont val="Times New Roman"/>
        <family val="1"/>
      </rPr>
      <t>l</t>
    </r>
    <r>
      <rPr>
        <sz val="12"/>
        <color rgb="FF000000"/>
        <rFont val="Times New Roman"/>
        <family val="1"/>
      </rPr>
      <t>e</t>
    </r>
    <r>
      <rPr>
        <sz val="12"/>
        <color rgb="FF000000"/>
        <rFont val="Times New Roman"/>
        <family val="1"/>
      </rPr>
      <t>t</t>
    </r>
    <r>
      <rPr>
        <sz val="12"/>
        <color rgb="FF000000"/>
        <rFont val="Times New Roman"/>
        <family val="1"/>
      </rPr>
      <t>i</t>
    </r>
    <r>
      <rPr>
        <sz val="12"/>
        <color rgb="FF000000"/>
        <rFont val="Times New Roman"/>
        <family val="1"/>
      </rPr>
      <t>on</t>
    </r>
    <r>
      <rPr>
        <sz val="12"/>
        <color rgb="FF000000"/>
        <rFont val="Times New Roman"/>
        <family val="1"/>
      </rPr>
      <t xml:space="preserve"> </t>
    </r>
    <r>
      <rPr>
        <sz val="12"/>
        <color rgb="FF000000"/>
        <rFont val="Times New Roman"/>
        <family val="1"/>
      </rPr>
      <t>o</t>
    </r>
    <r>
      <rPr>
        <sz val="12"/>
        <color rgb="FF000000"/>
        <rFont val="Times New Roman"/>
        <family val="1"/>
      </rPr>
      <t>f</t>
    </r>
    <r>
      <rPr>
        <sz val="12"/>
        <color rgb="FF000000"/>
        <rFont val="Times New Roman"/>
        <family val="1"/>
      </rPr>
      <t xml:space="preserve"> </t>
    </r>
    <r>
      <rPr>
        <sz val="12"/>
        <color rgb="FF000000"/>
        <rFont val="Times New Roman"/>
        <family val="1"/>
      </rPr>
      <t>M</t>
    </r>
    <r>
      <rPr>
        <sz val="12"/>
        <color rgb="FF000000"/>
        <rFont val="Times New Roman"/>
        <family val="1"/>
      </rPr>
      <t>i</t>
    </r>
    <r>
      <rPr>
        <sz val="12"/>
        <color rgb="FF000000"/>
        <rFont val="Times New Roman"/>
        <family val="1"/>
      </rPr>
      <t>l</t>
    </r>
    <r>
      <rPr>
        <sz val="12"/>
        <color rgb="FF000000"/>
        <rFont val="Times New Roman"/>
        <family val="1"/>
      </rPr>
      <t>e</t>
    </r>
    <r>
      <rPr>
        <sz val="12"/>
        <color rgb="FF000000"/>
        <rFont val="Times New Roman"/>
        <family val="1"/>
      </rPr>
      <t>s</t>
    </r>
    <r>
      <rPr>
        <sz val="12"/>
        <color rgb="FF000000"/>
        <rFont val="Times New Roman"/>
        <family val="1"/>
      </rPr>
      <t>t</t>
    </r>
    <r>
      <rPr>
        <sz val="12"/>
        <color rgb="FF000000"/>
        <rFont val="Times New Roman"/>
        <family val="1"/>
      </rPr>
      <t>on</t>
    </r>
    <r>
      <rPr>
        <sz val="12"/>
        <color rgb="FF000000"/>
        <rFont val="Times New Roman"/>
        <family val="1"/>
      </rPr>
      <t xml:space="preserve">e
</t>
    </r>
    <r>
      <rPr>
        <sz val="12"/>
        <color rgb="FF000000"/>
        <rFont val="Times New Roman"/>
        <family val="1"/>
      </rPr>
      <t>3</t>
    </r>
  </si>
  <si>
    <t>Delivery of the Equipment’s (Hardware and Software) at DR</t>
  </si>
  <si>
    <t>Infrastructure Implementation</t>
  </si>
  <si>
    <t>DR Testing Completed</t>
  </si>
  <si>
    <t>Test Result Documentation</t>
  </si>
  <si>
    <t>Resolution and Revaluation</t>
  </si>
  <si>
    <t>SOPs / Runbooks Finalized</t>
  </si>
  <si>
    <t>Go-Live and Stage 2 Sign Off</t>
  </si>
  <si>
    <t>Knowledge Transfer and Training</t>
  </si>
  <si>
    <t>Governance &amp; Ongoing Maintenance</t>
  </si>
  <si>
    <t>Final Sign off</t>
  </si>
  <si>
    <t>WAF</t>
  </si>
  <si>
    <t>Router</t>
  </si>
  <si>
    <t>Firewall NGFW</t>
  </si>
  <si>
    <t>SAN</t>
  </si>
  <si>
    <t>NAS</t>
  </si>
  <si>
    <t>Blackbox</t>
  </si>
  <si>
    <t>SOAR</t>
  </si>
  <si>
    <t>XDR</t>
  </si>
  <si>
    <t>DLP</t>
  </si>
  <si>
    <t>PAM</t>
  </si>
  <si>
    <t>IAM</t>
  </si>
  <si>
    <t>VAPT</t>
  </si>
  <si>
    <t>VPN</t>
  </si>
  <si>
    <t>Fortran / Intel OneAPI / HPC Tool Kit</t>
  </si>
  <si>
    <t>Monitoring Software - eNlight 360</t>
  </si>
  <si>
    <t>AMC</t>
  </si>
  <si>
    <t>Appliances</t>
  </si>
  <si>
    <t>Connectivity</t>
  </si>
  <si>
    <t>Replication link - P2P On prem to Mumbai DC</t>
  </si>
  <si>
    <r>
      <rPr>
        <sz val="10"/>
        <color rgb="FF000000"/>
        <rFont val="Times New Roman"/>
        <family val="1"/>
      </rPr>
      <t>S</t>
    </r>
    <r>
      <rPr>
        <sz val="10"/>
        <color rgb="FF000000"/>
        <rFont val="Times New Roman"/>
        <family val="1"/>
      </rPr>
      <t>r</t>
    </r>
    <r>
      <rPr>
        <sz val="10"/>
        <color rgb="FF000000"/>
        <rFont val="Times New Roman"/>
        <family val="1"/>
      </rPr>
      <t xml:space="preserve"> </t>
    </r>
    <r>
      <rPr>
        <sz val="10"/>
        <color rgb="FF000000"/>
        <rFont val="Times New Roman"/>
        <family val="1"/>
      </rPr>
      <t>N</t>
    </r>
    <r>
      <rPr>
        <sz val="10"/>
        <color rgb="FF000000"/>
        <rFont val="Times New Roman"/>
        <family val="1"/>
      </rPr>
      <t>o</t>
    </r>
  </si>
  <si>
    <r>
      <rPr>
        <sz val="10"/>
        <color rgb="FF000000"/>
        <rFont val="Times New Roman"/>
        <family val="1"/>
      </rPr>
      <t>D</t>
    </r>
    <r>
      <rPr>
        <sz val="10"/>
        <color rgb="FF000000"/>
        <rFont val="Times New Roman"/>
        <family val="1"/>
      </rPr>
      <t>e</t>
    </r>
    <r>
      <rPr>
        <sz val="10"/>
        <color rgb="FF000000"/>
        <rFont val="Times New Roman"/>
        <family val="1"/>
      </rPr>
      <t>s</t>
    </r>
    <r>
      <rPr>
        <sz val="10"/>
        <color rgb="FF000000"/>
        <rFont val="Times New Roman"/>
        <family val="1"/>
      </rPr>
      <t>c</t>
    </r>
    <r>
      <rPr>
        <sz val="10"/>
        <color rgb="FF000000"/>
        <rFont val="Times New Roman"/>
        <family val="1"/>
      </rPr>
      <t>r</t>
    </r>
    <r>
      <rPr>
        <sz val="10"/>
        <color rgb="FF000000"/>
        <rFont val="Times New Roman"/>
        <family val="1"/>
      </rPr>
      <t>i</t>
    </r>
    <r>
      <rPr>
        <sz val="10"/>
        <color rgb="FF000000"/>
        <rFont val="Times New Roman"/>
        <family val="1"/>
      </rPr>
      <t>p</t>
    </r>
    <r>
      <rPr>
        <sz val="10"/>
        <color rgb="FF000000"/>
        <rFont val="Times New Roman"/>
        <family val="1"/>
      </rPr>
      <t>t</t>
    </r>
    <r>
      <rPr>
        <sz val="10"/>
        <color rgb="FF000000"/>
        <rFont val="Times New Roman"/>
        <family val="1"/>
      </rPr>
      <t>i</t>
    </r>
    <r>
      <rPr>
        <sz val="10"/>
        <color rgb="FF000000"/>
        <rFont val="Times New Roman"/>
        <family val="1"/>
      </rPr>
      <t>o</t>
    </r>
    <r>
      <rPr>
        <sz val="10"/>
        <color rgb="FF000000"/>
        <rFont val="Times New Roman"/>
        <family val="1"/>
      </rPr>
      <t>n</t>
    </r>
  </si>
  <si>
    <r>
      <rPr>
        <sz val="10"/>
        <color rgb="FF000000"/>
        <rFont val="Times New Roman"/>
        <family val="1"/>
      </rPr>
      <t>Q</t>
    </r>
    <r>
      <rPr>
        <sz val="10"/>
        <color rgb="FF000000"/>
        <rFont val="Times New Roman"/>
        <family val="1"/>
      </rPr>
      <t>t</t>
    </r>
    <r>
      <rPr>
        <sz val="10"/>
        <color rgb="FF000000"/>
        <rFont val="Times New Roman"/>
        <family val="1"/>
      </rPr>
      <t>y</t>
    </r>
  </si>
  <si>
    <r>
      <rPr>
        <sz val="10"/>
        <color rgb="FF000000"/>
        <rFont val="Times New Roman"/>
        <family val="1"/>
      </rPr>
      <t>U</t>
    </r>
    <r>
      <rPr>
        <sz val="10"/>
        <color rgb="FF000000"/>
        <rFont val="Times New Roman"/>
        <family val="1"/>
      </rPr>
      <t>n</t>
    </r>
    <r>
      <rPr>
        <sz val="10"/>
        <color rgb="FF000000"/>
        <rFont val="Times New Roman"/>
        <family val="1"/>
      </rPr>
      <t>i</t>
    </r>
    <r>
      <rPr>
        <sz val="10"/>
        <color rgb="FF000000"/>
        <rFont val="Times New Roman"/>
        <family val="1"/>
      </rPr>
      <t>t</t>
    </r>
    <r>
      <rPr>
        <sz val="10"/>
        <color rgb="FF000000"/>
        <rFont val="Times New Roman"/>
        <family val="1"/>
      </rPr>
      <t xml:space="preserve"> </t>
    </r>
    <r>
      <rPr>
        <sz val="10"/>
        <color rgb="FF000000"/>
        <rFont val="Times New Roman"/>
        <family val="1"/>
      </rPr>
      <t>P</t>
    </r>
    <r>
      <rPr>
        <sz val="10"/>
        <color rgb="FF000000"/>
        <rFont val="Times New Roman"/>
        <family val="1"/>
      </rPr>
      <t>r</t>
    </r>
    <r>
      <rPr>
        <sz val="10"/>
        <color rgb="FF000000"/>
        <rFont val="Times New Roman"/>
        <family val="1"/>
      </rPr>
      <t>i</t>
    </r>
    <r>
      <rPr>
        <sz val="10"/>
        <color rgb="FF000000"/>
        <rFont val="Times New Roman"/>
        <family val="1"/>
      </rPr>
      <t>c</t>
    </r>
    <r>
      <rPr>
        <sz val="10"/>
        <color rgb="FF000000"/>
        <rFont val="Times New Roman"/>
        <family val="1"/>
      </rPr>
      <t>e</t>
    </r>
  </si>
  <si>
    <r>
      <rPr>
        <sz val="10"/>
        <color rgb="FF000000"/>
        <rFont val="Times New Roman"/>
        <family val="1"/>
      </rPr>
      <t>T</t>
    </r>
    <r>
      <rPr>
        <sz val="10"/>
        <color rgb="FF000000"/>
        <rFont val="Times New Roman"/>
        <family val="1"/>
      </rPr>
      <t>o</t>
    </r>
    <r>
      <rPr>
        <sz val="10"/>
        <color rgb="FF000000"/>
        <rFont val="Times New Roman"/>
        <family val="1"/>
      </rPr>
      <t>t</t>
    </r>
    <r>
      <rPr>
        <sz val="10"/>
        <color rgb="FF000000"/>
        <rFont val="Times New Roman"/>
        <family val="1"/>
      </rPr>
      <t>a</t>
    </r>
    <r>
      <rPr>
        <sz val="10"/>
        <color rgb="FF000000"/>
        <rFont val="Times New Roman"/>
        <family val="1"/>
      </rPr>
      <t>l</t>
    </r>
    <r>
      <rPr>
        <sz val="10"/>
        <color rgb="FF000000"/>
        <rFont val="Times New Roman"/>
        <family val="1"/>
      </rPr>
      <t xml:space="preserve"> </t>
    </r>
    <r>
      <rPr>
        <sz val="10"/>
        <color rgb="FF000000"/>
        <rFont val="Times New Roman"/>
        <family val="1"/>
      </rPr>
      <t>P</t>
    </r>
    <r>
      <rPr>
        <sz val="10"/>
        <color rgb="FF000000"/>
        <rFont val="Times New Roman"/>
        <family val="1"/>
      </rPr>
      <t>r</t>
    </r>
    <r>
      <rPr>
        <sz val="10"/>
        <color rgb="FF000000"/>
        <rFont val="Times New Roman"/>
        <family val="1"/>
      </rPr>
      <t>i</t>
    </r>
    <r>
      <rPr>
        <sz val="10"/>
        <color rgb="FF000000"/>
        <rFont val="Times New Roman"/>
        <family val="1"/>
      </rPr>
      <t>c</t>
    </r>
    <r>
      <rPr>
        <sz val="10"/>
        <color rgb="FF000000"/>
        <rFont val="Times New Roman"/>
        <family val="1"/>
      </rPr>
      <t>e</t>
    </r>
  </si>
  <si>
    <r>
      <rPr>
        <sz val="10"/>
        <color rgb="FF000000"/>
        <rFont val="Times New Roman"/>
        <family val="1"/>
      </rPr>
      <t>T</t>
    </r>
    <r>
      <rPr>
        <sz val="10"/>
        <color rgb="FF000000"/>
        <rFont val="Times New Roman"/>
        <family val="1"/>
      </rPr>
      <t>a</t>
    </r>
    <r>
      <rPr>
        <sz val="10"/>
        <color rgb="FF000000"/>
        <rFont val="Times New Roman"/>
        <family val="1"/>
      </rPr>
      <t>x</t>
    </r>
  </si>
  <si>
    <r>
      <rPr>
        <sz val="10"/>
        <color rgb="FF000000"/>
        <rFont val="Times New Roman"/>
        <family val="1"/>
      </rPr>
      <t>T</t>
    </r>
    <r>
      <rPr>
        <sz val="10"/>
        <color rgb="FF000000"/>
        <rFont val="Times New Roman"/>
        <family val="1"/>
      </rPr>
      <t>o</t>
    </r>
    <r>
      <rPr>
        <sz val="10"/>
        <color rgb="FF000000"/>
        <rFont val="Times New Roman"/>
        <family val="1"/>
      </rPr>
      <t>t</t>
    </r>
    <r>
      <rPr>
        <sz val="10"/>
        <color rgb="FF000000"/>
        <rFont val="Times New Roman"/>
        <family val="1"/>
      </rPr>
      <t>a</t>
    </r>
    <r>
      <rPr>
        <sz val="10"/>
        <color rgb="FF000000"/>
        <rFont val="Times New Roman"/>
        <family val="1"/>
      </rPr>
      <t>l</t>
    </r>
    <r>
      <rPr>
        <sz val="10"/>
        <color rgb="FF000000"/>
        <rFont val="Times New Roman"/>
        <family val="1"/>
      </rPr>
      <t xml:space="preserve"> </t>
    </r>
    <r>
      <rPr>
        <sz val="10"/>
        <color rgb="FF000000"/>
        <rFont val="Times New Roman"/>
        <family val="1"/>
      </rPr>
      <t>W</t>
    </r>
    <r>
      <rPr>
        <sz val="10"/>
        <color rgb="FF000000"/>
        <rFont val="Times New Roman"/>
        <family val="1"/>
      </rPr>
      <t>i</t>
    </r>
    <r>
      <rPr>
        <sz val="10"/>
        <color rgb="FF000000"/>
        <rFont val="Times New Roman"/>
        <family val="1"/>
      </rPr>
      <t>t</t>
    </r>
    <r>
      <rPr>
        <sz val="10"/>
        <color rgb="FF000000"/>
        <rFont val="Times New Roman"/>
        <family val="1"/>
      </rPr>
      <t xml:space="preserve">h
</t>
    </r>
    <r>
      <rPr>
        <sz val="10"/>
        <color rgb="FF000000"/>
        <rFont val="Times New Roman"/>
        <family val="1"/>
      </rPr>
      <t>T</t>
    </r>
    <r>
      <rPr>
        <sz val="10"/>
        <color rgb="FF000000"/>
        <rFont val="Times New Roman"/>
        <family val="1"/>
      </rPr>
      <t>a</t>
    </r>
    <r>
      <rPr>
        <sz val="10"/>
        <color rgb="FF000000"/>
        <rFont val="Times New Roman"/>
        <family val="1"/>
      </rPr>
      <t>x</t>
    </r>
  </si>
  <si>
    <t>Router (2 Units)</t>
  </si>
  <si>
    <t>L3 Switch (2 units + line cards)</t>
  </si>
  <si>
    <t>Firewalls (2 units)</t>
  </si>
  <si>
    <t>Secure VPN for 50 User</t>
  </si>
  <si>
    <t>L2 Switch</t>
  </si>
  <si>
    <t>Load Balancer and WAF</t>
  </si>
  <si>
    <t>Nutanix HCI Nodes</t>
  </si>
  <si>
    <t>NAS Devices</t>
  </si>
  <si>
    <t>Antivirus with DLP (50 users)</t>
  </si>
  <si>
    <t>Linux Licenses (17) + Database (3)</t>
  </si>
  <si>
    <t>Windows Licenses (13) + Database (12)</t>
  </si>
  <si>
    <t>XDR (50 endpoints)</t>
  </si>
  <si>
    <t>Blackbox Storage</t>
  </si>
  <si>
    <t>Intel Fortran (6 Licenses)</t>
  </si>
  <si>
    <t>GitLab Premium (20 users)</t>
  </si>
  <si>
    <t>PAM (50 users)</t>
  </si>
  <si>
    <t>Exchange Server</t>
  </si>
  <si>
    <t>Implementation</t>
  </si>
  <si>
    <t>Migration of Resources from DC to DR</t>
  </si>
  <si>
    <t>Cloud DC &amp; DR, Connectivity</t>
  </si>
  <si>
    <t>Managed Services  (03+02Years)</t>
  </si>
  <si>
    <t>Other</t>
  </si>
  <si>
    <t>TOTAL</t>
  </si>
  <si>
    <r>
      <rPr>
        <sz val="10"/>
        <color rgb="FF000000"/>
        <rFont val="Times New Roman"/>
        <family val="1"/>
      </rPr>
      <t>S</t>
    </r>
    <r>
      <rPr>
        <sz val="10"/>
        <color rgb="FF000000"/>
        <rFont val="Times New Roman"/>
        <family val="1"/>
      </rPr>
      <t xml:space="preserve">l
</t>
    </r>
    <r>
      <rPr>
        <sz val="10"/>
        <color rgb="FF000000"/>
        <rFont val="Times New Roman"/>
        <family val="1"/>
      </rPr>
      <t>N</t>
    </r>
    <r>
      <rPr>
        <sz val="10"/>
        <color rgb="FF000000"/>
        <rFont val="Times New Roman"/>
        <family val="1"/>
      </rPr>
      <t>o</t>
    </r>
  </si>
  <si>
    <t>Evaluation Criteria</t>
  </si>
  <si>
    <t>Documents Required</t>
  </si>
  <si>
    <r>
      <rPr>
        <sz val="10"/>
        <color rgb="FF000000"/>
        <rFont val="Times New Roman"/>
        <family val="1"/>
      </rPr>
      <t>M</t>
    </r>
    <r>
      <rPr>
        <sz val="10"/>
        <color rgb="FF000000"/>
        <rFont val="Times New Roman"/>
        <family val="1"/>
      </rPr>
      <t>a</t>
    </r>
    <r>
      <rPr>
        <sz val="10"/>
        <color rgb="FF000000"/>
        <rFont val="Times New Roman"/>
        <family val="1"/>
      </rPr>
      <t xml:space="preserve">x
</t>
    </r>
    <r>
      <rPr>
        <sz val="10"/>
        <color rgb="FF000000"/>
        <rFont val="Times New Roman"/>
        <family val="1"/>
      </rPr>
      <t>M</t>
    </r>
    <r>
      <rPr>
        <sz val="10"/>
        <color rgb="FF000000"/>
        <rFont val="Times New Roman"/>
        <family val="1"/>
      </rPr>
      <t>a</t>
    </r>
    <r>
      <rPr>
        <sz val="10"/>
        <color rgb="FF000000"/>
        <rFont val="Times New Roman"/>
        <family val="1"/>
      </rPr>
      <t>r</t>
    </r>
    <r>
      <rPr>
        <sz val="10"/>
        <color rgb="FF000000"/>
        <rFont val="Times New Roman"/>
        <family val="1"/>
      </rPr>
      <t>k</t>
    </r>
  </si>
  <si>
    <t>Yes/No</t>
  </si>
  <si>
    <r>
      <rPr>
        <sz val="10"/>
        <color rgb="FF000000"/>
        <rFont val="Times New Roman"/>
        <family val="1"/>
      </rPr>
      <t>T</t>
    </r>
    <r>
      <rPr>
        <sz val="10"/>
        <color rgb="FF000000"/>
        <rFont val="Times New Roman"/>
        <family val="1"/>
      </rPr>
      <t>h</t>
    </r>
    <r>
      <rPr>
        <sz val="10"/>
        <color rgb="FF000000"/>
        <rFont val="Times New Roman"/>
        <family val="1"/>
      </rPr>
      <t>e</t>
    </r>
    <r>
      <rPr>
        <sz val="10"/>
        <color rgb="FF000000"/>
        <rFont val="Times New Roman"/>
        <family val="1"/>
      </rPr>
      <t xml:space="preserve"> </t>
    </r>
    <r>
      <rPr>
        <sz val="10"/>
        <color rgb="FF000000"/>
        <rFont val="Times New Roman"/>
        <family val="1"/>
      </rPr>
      <t>C</t>
    </r>
    <r>
      <rPr>
        <sz val="10"/>
        <color rgb="FF000000"/>
        <rFont val="Times New Roman"/>
        <family val="1"/>
      </rPr>
      <t>S</t>
    </r>
    <r>
      <rPr>
        <sz val="10"/>
        <color rgb="FF000000"/>
        <rFont val="Times New Roman"/>
        <family val="1"/>
      </rPr>
      <t>P</t>
    </r>
    <r>
      <rPr>
        <sz val="10"/>
        <color rgb="FF000000"/>
        <rFont val="Times New Roman"/>
        <family val="1"/>
      </rPr>
      <t xml:space="preserve"> </t>
    </r>
    <r>
      <rPr>
        <sz val="10"/>
        <color rgb="FF000000"/>
        <rFont val="Times New Roman"/>
        <family val="1"/>
      </rPr>
      <t>A</t>
    </r>
    <r>
      <rPr>
        <sz val="10"/>
        <color rgb="FF000000"/>
        <rFont val="Times New Roman"/>
        <family val="1"/>
      </rPr>
      <t>n</t>
    </r>
    <r>
      <rPr>
        <sz val="10"/>
        <color rgb="FF000000"/>
        <rFont val="Times New Roman"/>
        <family val="1"/>
      </rPr>
      <t>nu</t>
    </r>
    <r>
      <rPr>
        <sz val="10"/>
        <color rgb="FF000000"/>
        <rFont val="Times New Roman"/>
        <family val="1"/>
      </rPr>
      <t>a</t>
    </r>
    <r>
      <rPr>
        <sz val="10"/>
        <color rgb="FF000000"/>
        <rFont val="Times New Roman"/>
        <family val="1"/>
      </rPr>
      <t>l</t>
    </r>
    <r>
      <rPr>
        <sz val="10"/>
        <color rgb="FF000000"/>
        <rFont val="Times New Roman"/>
        <family val="1"/>
      </rPr>
      <t xml:space="preserve"> </t>
    </r>
    <r>
      <rPr>
        <sz val="10"/>
        <color rgb="FF000000"/>
        <rFont val="Times New Roman"/>
        <family val="1"/>
      </rPr>
      <t>A</t>
    </r>
    <r>
      <rPr>
        <sz val="10"/>
        <color rgb="FF000000"/>
        <rFont val="Times New Roman"/>
        <family val="1"/>
      </rPr>
      <t>v</t>
    </r>
    <r>
      <rPr>
        <sz val="10"/>
        <color rgb="FF000000"/>
        <rFont val="Times New Roman"/>
        <family val="1"/>
      </rPr>
      <t>e</t>
    </r>
    <r>
      <rPr>
        <sz val="10"/>
        <color rgb="FF000000"/>
        <rFont val="Times New Roman"/>
        <family val="1"/>
      </rPr>
      <t>r</t>
    </r>
    <r>
      <rPr>
        <sz val="10"/>
        <color rgb="FF000000"/>
        <rFont val="Times New Roman"/>
        <family val="1"/>
      </rPr>
      <t>a</t>
    </r>
    <r>
      <rPr>
        <sz val="10"/>
        <color rgb="FF000000"/>
        <rFont val="Times New Roman"/>
        <family val="1"/>
      </rPr>
      <t>g</t>
    </r>
    <r>
      <rPr>
        <sz val="10"/>
        <color rgb="FF000000"/>
        <rFont val="Times New Roman"/>
        <family val="1"/>
      </rPr>
      <t>e</t>
    </r>
    <r>
      <rPr>
        <sz val="10"/>
        <color rgb="FF000000"/>
        <rFont val="Times New Roman"/>
        <family val="1"/>
      </rPr>
      <t xml:space="preserve"> </t>
    </r>
    <r>
      <rPr>
        <sz val="10"/>
        <color rgb="FF000000"/>
        <rFont val="Times New Roman"/>
        <family val="1"/>
      </rPr>
      <t>t</t>
    </r>
    <r>
      <rPr>
        <sz val="10"/>
        <color rgb="FF000000"/>
        <rFont val="Times New Roman"/>
        <family val="1"/>
      </rPr>
      <t>u</t>
    </r>
    <r>
      <rPr>
        <sz val="10"/>
        <color rgb="FF000000"/>
        <rFont val="Times New Roman"/>
        <family val="1"/>
      </rPr>
      <t>r</t>
    </r>
    <r>
      <rPr>
        <sz val="10"/>
        <color rgb="FF000000"/>
        <rFont val="Times New Roman"/>
        <family val="1"/>
      </rPr>
      <t>n</t>
    </r>
    <r>
      <rPr>
        <sz val="10"/>
        <color rgb="FF000000"/>
        <rFont val="Times New Roman"/>
        <family val="1"/>
      </rPr>
      <t>o</t>
    </r>
    <r>
      <rPr>
        <sz val="10"/>
        <color rgb="FF000000"/>
        <rFont val="Times New Roman"/>
        <family val="1"/>
      </rPr>
      <t>v</t>
    </r>
    <r>
      <rPr>
        <sz val="10"/>
        <color rgb="FF000000"/>
        <rFont val="Times New Roman"/>
        <family val="1"/>
      </rPr>
      <t>e</t>
    </r>
    <r>
      <rPr>
        <sz val="10"/>
        <color rgb="FF000000"/>
        <rFont val="Times New Roman"/>
        <family val="1"/>
      </rPr>
      <t>r</t>
    </r>
    <r>
      <rPr>
        <sz val="10"/>
        <color rgb="FF000000"/>
        <rFont val="Times New Roman"/>
        <family val="1"/>
      </rPr>
      <t xml:space="preserve"> </t>
    </r>
    <r>
      <rPr>
        <sz val="10"/>
        <color rgb="FF000000"/>
        <rFont val="Times New Roman"/>
        <family val="1"/>
      </rPr>
      <t>f</t>
    </r>
    <r>
      <rPr>
        <sz val="10"/>
        <color rgb="FF000000"/>
        <rFont val="Times New Roman"/>
        <family val="1"/>
      </rPr>
      <t>o</t>
    </r>
    <r>
      <rPr>
        <sz val="10"/>
        <color rgb="FF000000"/>
        <rFont val="Times New Roman"/>
        <family val="1"/>
      </rPr>
      <t>r</t>
    </r>
    <r>
      <rPr>
        <sz val="10"/>
        <color rgb="FF000000"/>
        <rFont val="Times New Roman"/>
        <family val="1"/>
      </rPr>
      <t>m</t>
    </r>
    <r>
      <rPr>
        <sz val="10"/>
        <color rgb="FF000000"/>
        <rFont val="Times New Roman"/>
        <family val="1"/>
      </rPr>
      <t xml:space="preserve"> </t>
    </r>
    <r>
      <rPr>
        <sz val="10"/>
        <color rgb="FF000000"/>
        <rFont val="Times New Roman"/>
        <family val="1"/>
      </rPr>
      <t>C</t>
    </r>
    <r>
      <rPr>
        <sz val="10"/>
        <color rgb="FF000000"/>
        <rFont val="Times New Roman"/>
        <family val="1"/>
      </rPr>
      <t>l</t>
    </r>
    <r>
      <rPr>
        <sz val="10"/>
        <color rgb="FF000000"/>
        <rFont val="Times New Roman"/>
        <family val="1"/>
      </rPr>
      <t>o</t>
    </r>
    <r>
      <rPr>
        <sz val="10"/>
        <color rgb="FF000000"/>
        <rFont val="Times New Roman"/>
        <family val="1"/>
      </rPr>
      <t>u</t>
    </r>
    <r>
      <rPr>
        <sz val="10"/>
        <color rgb="FF000000"/>
        <rFont val="Times New Roman"/>
        <family val="1"/>
      </rPr>
      <t>d</t>
    </r>
    <r>
      <rPr>
        <sz val="10"/>
        <color rgb="FF000000"/>
        <rFont val="Times New Roman"/>
        <family val="1"/>
      </rPr>
      <t xml:space="preserve"> </t>
    </r>
    <r>
      <rPr>
        <sz val="10"/>
        <color rgb="FF000000"/>
        <rFont val="Times New Roman"/>
        <family val="1"/>
      </rPr>
      <t>S</t>
    </r>
    <r>
      <rPr>
        <sz val="10"/>
        <color rgb="FF000000"/>
        <rFont val="Times New Roman"/>
        <family val="1"/>
      </rPr>
      <t>e</t>
    </r>
    <r>
      <rPr>
        <sz val="10"/>
        <color rgb="FF000000"/>
        <rFont val="Times New Roman"/>
        <family val="1"/>
      </rPr>
      <t>r</t>
    </r>
    <r>
      <rPr>
        <sz val="10"/>
        <color rgb="FF000000"/>
        <rFont val="Times New Roman"/>
        <family val="1"/>
      </rPr>
      <t>v</t>
    </r>
    <r>
      <rPr>
        <sz val="10"/>
        <color rgb="FF000000"/>
        <rFont val="Times New Roman"/>
        <family val="1"/>
      </rPr>
      <t>i</t>
    </r>
    <r>
      <rPr>
        <sz val="10"/>
        <color rgb="FF000000"/>
        <rFont val="Times New Roman"/>
        <family val="1"/>
      </rPr>
      <t>c</t>
    </r>
    <r>
      <rPr>
        <sz val="10"/>
        <color rgb="FF000000"/>
        <rFont val="Times New Roman"/>
        <family val="1"/>
      </rPr>
      <t>e</t>
    </r>
    <r>
      <rPr>
        <sz val="10"/>
        <color rgb="FF000000"/>
        <rFont val="Times New Roman"/>
        <family val="1"/>
      </rPr>
      <t xml:space="preserve"> </t>
    </r>
    <r>
      <rPr>
        <sz val="10"/>
        <color rgb="FF000000"/>
        <rFont val="Times New Roman"/>
        <family val="1"/>
      </rPr>
      <t>bu</t>
    </r>
    <r>
      <rPr>
        <sz val="10"/>
        <color rgb="FF000000"/>
        <rFont val="Times New Roman"/>
        <family val="1"/>
      </rPr>
      <t>s</t>
    </r>
    <r>
      <rPr>
        <sz val="10"/>
        <color rgb="FF000000"/>
        <rFont val="Times New Roman"/>
        <family val="1"/>
      </rPr>
      <t>i</t>
    </r>
    <r>
      <rPr>
        <sz val="10"/>
        <color rgb="FF000000"/>
        <rFont val="Times New Roman"/>
        <family val="1"/>
      </rPr>
      <t>n</t>
    </r>
    <r>
      <rPr>
        <sz val="10"/>
        <color rgb="FF000000"/>
        <rFont val="Times New Roman"/>
        <family val="1"/>
      </rPr>
      <t>e</t>
    </r>
    <r>
      <rPr>
        <sz val="10"/>
        <color rgb="FF000000"/>
        <rFont val="Times New Roman"/>
        <family val="1"/>
      </rPr>
      <t>ss</t>
    </r>
    <r>
      <rPr>
        <sz val="10"/>
        <color rgb="FF000000"/>
        <rFont val="Times New Roman"/>
        <family val="1"/>
      </rPr>
      <t xml:space="preserve"> </t>
    </r>
    <r>
      <rPr>
        <sz val="10"/>
        <color rgb="FF000000"/>
        <rFont val="Times New Roman"/>
        <family val="1"/>
      </rPr>
      <t>i</t>
    </r>
    <r>
      <rPr>
        <sz val="10"/>
        <color rgb="FF000000"/>
        <rFont val="Times New Roman"/>
        <family val="1"/>
      </rPr>
      <t>n</t>
    </r>
    <r>
      <rPr>
        <sz val="10"/>
        <color rgb="FF000000"/>
        <rFont val="Times New Roman"/>
        <family val="1"/>
      </rPr>
      <t xml:space="preserve"> </t>
    </r>
    <r>
      <rPr>
        <sz val="10"/>
        <color rgb="FF000000"/>
        <rFont val="Times New Roman"/>
        <family val="1"/>
      </rPr>
      <t>I</t>
    </r>
    <r>
      <rPr>
        <sz val="10"/>
        <color rgb="FF000000"/>
        <rFont val="Times New Roman"/>
        <family val="1"/>
      </rPr>
      <t>n</t>
    </r>
    <r>
      <rPr>
        <sz val="10"/>
        <color rgb="FF000000"/>
        <rFont val="Times New Roman"/>
        <family val="1"/>
      </rPr>
      <t>d</t>
    </r>
    <r>
      <rPr>
        <sz val="10"/>
        <color rgb="FF000000"/>
        <rFont val="Times New Roman"/>
        <family val="1"/>
      </rPr>
      <t>i</t>
    </r>
    <r>
      <rPr>
        <sz val="10"/>
        <color rgb="FF000000"/>
        <rFont val="Times New Roman"/>
        <family val="1"/>
      </rPr>
      <t>a</t>
    </r>
    <r>
      <rPr>
        <sz val="10"/>
        <color rgb="FF000000"/>
        <rFont val="Times New Roman"/>
        <family val="1"/>
      </rPr>
      <t xml:space="preserve"> </t>
    </r>
    <r>
      <rPr>
        <sz val="10"/>
        <color rgb="FF000000"/>
        <rFont val="Times New Roman"/>
        <family val="1"/>
      </rPr>
      <t>d</t>
    </r>
    <r>
      <rPr>
        <sz val="10"/>
        <color rgb="FF000000"/>
        <rFont val="Times New Roman"/>
        <family val="1"/>
      </rPr>
      <t>u</t>
    </r>
    <r>
      <rPr>
        <sz val="10"/>
        <color rgb="FF000000"/>
        <rFont val="Times New Roman"/>
        <family val="1"/>
      </rPr>
      <t>r</t>
    </r>
    <r>
      <rPr>
        <sz val="10"/>
        <color rgb="FF000000"/>
        <rFont val="Times New Roman"/>
        <family val="1"/>
      </rPr>
      <t>i</t>
    </r>
    <r>
      <rPr>
        <sz val="10"/>
        <color rgb="FF000000"/>
        <rFont val="Times New Roman"/>
        <family val="1"/>
      </rPr>
      <t>n</t>
    </r>
    <r>
      <rPr>
        <sz val="10"/>
        <color rgb="FF000000"/>
        <rFont val="Times New Roman"/>
        <family val="1"/>
      </rPr>
      <t>g</t>
    </r>
    <r>
      <rPr>
        <sz val="10"/>
        <color rgb="FF000000"/>
        <rFont val="Times New Roman"/>
        <family val="1"/>
      </rPr>
      <t xml:space="preserve"> </t>
    </r>
    <r>
      <rPr>
        <sz val="10"/>
        <color rgb="FF000000"/>
        <rFont val="Times New Roman"/>
        <family val="1"/>
      </rPr>
      <t>t</t>
    </r>
    <r>
      <rPr>
        <sz val="10"/>
        <color rgb="FF000000"/>
        <rFont val="Times New Roman"/>
        <family val="1"/>
      </rPr>
      <t>h</t>
    </r>
    <r>
      <rPr>
        <sz val="10"/>
        <color rgb="FF000000"/>
        <rFont val="Times New Roman"/>
        <family val="1"/>
      </rPr>
      <t>e</t>
    </r>
    <r>
      <rPr>
        <sz val="10"/>
        <color rgb="FF000000"/>
        <rFont val="Times New Roman"/>
        <family val="1"/>
      </rPr>
      <t xml:space="preserve"> </t>
    </r>
    <r>
      <rPr>
        <sz val="10"/>
        <color rgb="FF000000"/>
        <rFont val="Times New Roman"/>
        <family val="1"/>
      </rPr>
      <t>l</t>
    </r>
    <r>
      <rPr>
        <sz val="10"/>
        <color rgb="FF000000"/>
        <rFont val="Times New Roman"/>
        <family val="1"/>
      </rPr>
      <t>a</t>
    </r>
    <r>
      <rPr>
        <sz val="10"/>
        <color rgb="FF000000"/>
        <rFont val="Times New Roman"/>
        <family val="1"/>
      </rPr>
      <t>s</t>
    </r>
    <r>
      <rPr>
        <sz val="10"/>
        <color rgb="FF000000"/>
        <rFont val="Times New Roman"/>
        <family val="1"/>
      </rPr>
      <t>t</t>
    </r>
    <r>
      <rPr>
        <sz val="10"/>
        <color rgb="FF000000"/>
        <rFont val="Times New Roman"/>
        <family val="1"/>
      </rPr>
      <t xml:space="preserve">            </t>
    </r>
    <r>
      <rPr>
        <sz val="10"/>
        <color rgb="FF000000"/>
        <rFont val="Times New Roman"/>
        <family val="1"/>
      </rPr>
      <t xml:space="preserve"> </t>
    </r>
    <r>
      <rPr>
        <sz val="10"/>
        <color rgb="FF000000"/>
        <rFont val="Times New Roman"/>
        <family val="1"/>
      </rPr>
      <t>3</t>
    </r>
    <r>
      <rPr>
        <sz val="10"/>
        <color rgb="FF000000"/>
        <rFont val="Times New Roman"/>
        <family val="1"/>
      </rPr>
      <t xml:space="preserve">            </t>
    </r>
    <r>
      <rPr>
        <sz val="10"/>
        <color rgb="FF000000"/>
        <rFont val="Times New Roman"/>
        <family val="1"/>
      </rPr>
      <t xml:space="preserve"> </t>
    </r>
    <r>
      <rPr>
        <sz val="10"/>
        <color rgb="FF000000"/>
        <rFont val="Times New Roman"/>
        <family val="1"/>
      </rPr>
      <t>f</t>
    </r>
    <r>
      <rPr>
        <sz val="10"/>
        <color rgb="FF000000"/>
        <rFont val="Times New Roman"/>
        <family val="1"/>
      </rPr>
      <t>i</t>
    </r>
    <r>
      <rPr>
        <sz val="10"/>
        <color rgb="FF000000"/>
        <rFont val="Times New Roman"/>
        <family val="1"/>
      </rPr>
      <t>n</t>
    </r>
    <r>
      <rPr>
        <sz val="10"/>
        <color rgb="FF000000"/>
        <rFont val="Times New Roman"/>
        <family val="1"/>
      </rPr>
      <t>a</t>
    </r>
    <r>
      <rPr>
        <sz val="10"/>
        <color rgb="FF000000"/>
        <rFont val="Times New Roman"/>
        <family val="1"/>
      </rPr>
      <t>n</t>
    </r>
    <r>
      <rPr>
        <sz val="10"/>
        <color rgb="FF000000"/>
        <rFont val="Times New Roman"/>
        <family val="1"/>
      </rPr>
      <t>c</t>
    </r>
    <r>
      <rPr>
        <sz val="10"/>
        <color rgb="FF000000"/>
        <rFont val="Times New Roman"/>
        <family val="1"/>
      </rPr>
      <t>i</t>
    </r>
    <r>
      <rPr>
        <sz val="10"/>
        <color rgb="FF000000"/>
        <rFont val="Times New Roman"/>
        <family val="1"/>
      </rPr>
      <t>a</t>
    </r>
    <r>
      <rPr>
        <sz val="10"/>
        <color rgb="FF000000"/>
        <rFont val="Times New Roman"/>
        <family val="1"/>
      </rPr>
      <t>l</t>
    </r>
    <r>
      <rPr>
        <sz val="10"/>
        <color rgb="FF000000"/>
        <rFont val="Times New Roman"/>
        <family val="1"/>
      </rPr>
      <t xml:space="preserve">            </t>
    </r>
    <r>
      <rPr>
        <sz val="10"/>
        <color rgb="FF000000"/>
        <rFont val="Times New Roman"/>
        <family val="1"/>
      </rPr>
      <t xml:space="preserve"> </t>
    </r>
    <r>
      <rPr>
        <sz val="10"/>
        <color rgb="FF000000"/>
        <rFont val="Times New Roman"/>
        <family val="1"/>
      </rPr>
      <t>y</t>
    </r>
    <r>
      <rPr>
        <sz val="10"/>
        <color rgb="FF000000"/>
        <rFont val="Times New Roman"/>
        <family val="1"/>
      </rPr>
      <t>e</t>
    </r>
    <r>
      <rPr>
        <sz val="10"/>
        <color rgb="FF000000"/>
        <rFont val="Times New Roman"/>
        <family val="1"/>
      </rPr>
      <t>a</t>
    </r>
    <r>
      <rPr>
        <sz val="10"/>
        <color rgb="FF000000"/>
        <rFont val="Times New Roman"/>
        <family val="1"/>
      </rPr>
      <t>r</t>
    </r>
    <r>
      <rPr>
        <sz val="10"/>
        <color rgb="FF000000"/>
        <rFont val="Times New Roman"/>
        <family val="1"/>
      </rPr>
      <t>s</t>
    </r>
    <r>
      <rPr>
        <sz val="10"/>
        <color rgb="FF000000"/>
        <rFont val="Times New Roman"/>
        <family val="1"/>
      </rPr>
      <t xml:space="preserve">.
</t>
    </r>
    <r>
      <rPr>
        <sz val="10"/>
        <color rgb="FF000000"/>
        <rFont val="Times New Roman"/>
        <family val="1"/>
      </rPr>
      <t>2</t>
    </r>
    <r>
      <rPr>
        <sz val="10"/>
        <color rgb="FF000000"/>
        <rFont val="Times New Roman"/>
        <family val="1"/>
      </rPr>
      <t>0</t>
    </r>
    <r>
      <rPr>
        <sz val="10"/>
        <color rgb="FF000000"/>
        <rFont val="Times New Roman"/>
        <family val="1"/>
      </rPr>
      <t>0</t>
    </r>
    <r>
      <rPr>
        <sz val="10"/>
        <color rgb="FF000000"/>
        <rFont val="Times New Roman"/>
        <family val="1"/>
      </rPr>
      <t xml:space="preserve"> </t>
    </r>
    <r>
      <rPr>
        <sz val="10"/>
        <color rgb="FF000000"/>
        <rFont val="Times New Roman"/>
        <family val="1"/>
      </rPr>
      <t>C</t>
    </r>
    <r>
      <rPr>
        <sz val="10"/>
        <color rgb="FF000000"/>
        <rFont val="Times New Roman"/>
        <family val="1"/>
      </rPr>
      <t>r</t>
    </r>
    <r>
      <rPr>
        <sz val="10"/>
        <color rgb="FF000000"/>
        <rFont val="Times New Roman"/>
        <family val="1"/>
      </rPr>
      <t>o</t>
    </r>
    <r>
      <rPr>
        <sz val="10"/>
        <color rgb="FF000000"/>
        <rFont val="Times New Roman"/>
        <family val="1"/>
      </rPr>
      <t>r</t>
    </r>
    <r>
      <rPr>
        <sz val="10"/>
        <color rgb="FF000000"/>
        <rFont val="Times New Roman"/>
        <family val="1"/>
      </rPr>
      <t>e</t>
    </r>
    <r>
      <rPr>
        <sz val="10"/>
        <color rgb="FF000000"/>
        <rFont val="Times New Roman"/>
        <family val="1"/>
      </rPr>
      <t>s</t>
    </r>
    <r>
      <rPr>
        <sz val="10"/>
        <color rgb="FF000000"/>
        <rFont val="Times New Roman"/>
        <family val="1"/>
      </rPr>
      <t xml:space="preserve"> </t>
    </r>
    <r>
      <rPr>
        <sz val="10"/>
        <color rgb="FF000000"/>
        <rFont val="Times New Roman"/>
        <family val="1"/>
      </rPr>
      <t>t</t>
    </r>
    <r>
      <rPr>
        <sz val="10"/>
        <color rgb="FF000000"/>
        <rFont val="Times New Roman"/>
        <family val="1"/>
      </rPr>
      <t>o</t>
    </r>
    <r>
      <rPr>
        <sz val="10"/>
        <color rgb="FF000000"/>
        <rFont val="Times New Roman"/>
        <family val="1"/>
      </rPr>
      <t xml:space="preserve"> </t>
    </r>
    <r>
      <rPr>
        <sz val="10"/>
        <color rgb="FF000000"/>
        <rFont val="Times New Roman"/>
        <family val="1"/>
      </rPr>
      <t>&lt;=</t>
    </r>
    <r>
      <rPr>
        <sz val="10"/>
        <color rgb="FF000000"/>
        <rFont val="Times New Roman"/>
        <family val="1"/>
      </rPr>
      <t xml:space="preserve"> </t>
    </r>
    <r>
      <rPr>
        <sz val="10"/>
        <color rgb="FF000000"/>
        <rFont val="Times New Roman"/>
        <family val="1"/>
      </rPr>
      <t>2</t>
    </r>
    <r>
      <rPr>
        <sz val="10"/>
        <color rgb="FF000000"/>
        <rFont val="Times New Roman"/>
        <family val="1"/>
      </rPr>
      <t>2</t>
    </r>
    <r>
      <rPr>
        <sz val="10"/>
        <color rgb="FF000000"/>
        <rFont val="Times New Roman"/>
        <family val="1"/>
      </rPr>
      <t>5</t>
    </r>
    <r>
      <rPr>
        <sz val="10"/>
        <color rgb="FF000000"/>
        <rFont val="Times New Roman"/>
        <family val="1"/>
      </rPr>
      <t xml:space="preserve"> </t>
    </r>
    <r>
      <rPr>
        <sz val="10"/>
        <color rgb="FF000000"/>
        <rFont val="Times New Roman"/>
        <family val="1"/>
      </rPr>
      <t>C</t>
    </r>
    <r>
      <rPr>
        <sz val="10"/>
        <color rgb="FF000000"/>
        <rFont val="Times New Roman"/>
        <family val="1"/>
      </rPr>
      <t>r</t>
    </r>
    <r>
      <rPr>
        <sz val="10"/>
        <color rgb="FF000000"/>
        <rFont val="Times New Roman"/>
        <family val="1"/>
      </rPr>
      <t>o</t>
    </r>
    <r>
      <rPr>
        <sz val="10"/>
        <color rgb="FF000000"/>
        <rFont val="Times New Roman"/>
        <family val="1"/>
      </rPr>
      <t>r</t>
    </r>
    <r>
      <rPr>
        <sz val="10"/>
        <color rgb="FF000000"/>
        <rFont val="Times New Roman"/>
        <family val="1"/>
      </rPr>
      <t>e</t>
    </r>
    <r>
      <rPr>
        <sz val="10"/>
        <color rgb="FF000000"/>
        <rFont val="Times New Roman"/>
        <family val="1"/>
      </rPr>
      <t>s</t>
    </r>
    <r>
      <rPr>
        <sz val="10"/>
        <color rgb="FF000000"/>
        <rFont val="Times New Roman"/>
        <family val="1"/>
      </rPr>
      <t xml:space="preserve"> </t>
    </r>
    <r>
      <rPr>
        <sz val="10"/>
        <color rgb="FF000000"/>
        <rFont val="Times New Roman"/>
        <family val="1"/>
      </rPr>
      <t>–</t>
    </r>
    <r>
      <rPr>
        <sz val="10"/>
        <color rgb="FF000000"/>
        <rFont val="Times New Roman"/>
        <family val="1"/>
      </rPr>
      <t xml:space="preserve"> </t>
    </r>
    <r>
      <rPr>
        <sz val="10"/>
        <color rgb="FF000000"/>
        <rFont val="Times New Roman"/>
        <family val="1"/>
      </rPr>
      <t>5</t>
    </r>
    <r>
      <rPr>
        <sz val="10"/>
        <color rgb="FF000000"/>
        <rFont val="Times New Roman"/>
        <family val="1"/>
      </rPr>
      <t xml:space="preserve"> </t>
    </r>
    <r>
      <rPr>
        <sz val="10"/>
        <color rgb="FF000000"/>
        <rFont val="Times New Roman"/>
        <family val="1"/>
      </rPr>
      <t>M</t>
    </r>
    <r>
      <rPr>
        <sz val="10"/>
        <color rgb="FF000000"/>
        <rFont val="Times New Roman"/>
        <family val="1"/>
      </rPr>
      <t>a</t>
    </r>
    <r>
      <rPr>
        <sz val="10"/>
        <color rgb="FF000000"/>
        <rFont val="Times New Roman"/>
        <family val="1"/>
      </rPr>
      <t>r</t>
    </r>
    <r>
      <rPr>
        <sz val="10"/>
        <color rgb="FF000000"/>
        <rFont val="Times New Roman"/>
        <family val="1"/>
      </rPr>
      <t>k</t>
    </r>
    <r>
      <rPr>
        <sz val="10"/>
        <color rgb="FF000000"/>
        <rFont val="Times New Roman"/>
        <family val="1"/>
      </rPr>
      <t xml:space="preserve">s
</t>
    </r>
    <r>
      <rPr>
        <sz val="10"/>
        <color rgb="FF000000"/>
        <rFont val="Times New Roman"/>
        <family val="1"/>
      </rPr>
      <t>2</t>
    </r>
    <r>
      <rPr>
        <sz val="10"/>
        <color rgb="FF000000"/>
        <rFont val="Times New Roman"/>
        <family val="1"/>
      </rPr>
      <t>2</t>
    </r>
    <r>
      <rPr>
        <sz val="10"/>
        <color rgb="FF000000"/>
        <rFont val="Times New Roman"/>
        <family val="1"/>
      </rPr>
      <t>5</t>
    </r>
    <r>
      <rPr>
        <sz val="10"/>
        <color rgb="FF000000"/>
        <rFont val="Times New Roman"/>
        <family val="1"/>
      </rPr>
      <t xml:space="preserve"> </t>
    </r>
    <r>
      <rPr>
        <sz val="10"/>
        <color rgb="FF000000"/>
        <rFont val="Times New Roman"/>
        <family val="1"/>
      </rPr>
      <t>C</t>
    </r>
    <r>
      <rPr>
        <sz val="10"/>
        <color rgb="FF000000"/>
        <rFont val="Times New Roman"/>
        <family val="1"/>
      </rPr>
      <t>r</t>
    </r>
    <r>
      <rPr>
        <sz val="10"/>
        <color rgb="FF000000"/>
        <rFont val="Times New Roman"/>
        <family val="1"/>
      </rPr>
      <t>o</t>
    </r>
    <r>
      <rPr>
        <sz val="10"/>
        <color rgb="FF000000"/>
        <rFont val="Times New Roman"/>
        <family val="1"/>
      </rPr>
      <t>r</t>
    </r>
    <r>
      <rPr>
        <sz val="10"/>
        <color rgb="FF000000"/>
        <rFont val="Times New Roman"/>
        <family val="1"/>
      </rPr>
      <t>e</t>
    </r>
    <r>
      <rPr>
        <sz val="10"/>
        <color rgb="FF000000"/>
        <rFont val="Times New Roman"/>
        <family val="1"/>
      </rPr>
      <t>s</t>
    </r>
    <r>
      <rPr>
        <sz val="10"/>
        <color rgb="FF000000"/>
        <rFont val="Times New Roman"/>
        <family val="1"/>
      </rPr>
      <t xml:space="preserve"> </t>
    </r>
    <r>
      <rPr>
        <sz val="10"/>
        <color rgb="FF000000"/>
        <rFont val="Times New Roman"/>
        <family val="1"/>
      </rPr>
      <t>t</t>
    </r>
    <r>
      <rPr>
        <sz val="10"/>
        <color rgb="FF000000"/>
        <rFont val="Times New Roman"/>
        <family val="1"/>
      </rPr>
      <t>o</t>
    </r>
    <r>
      <rPr>
        <sz val="10"/>
        <color rgb="FF000000"/>
        <rFont val="Times New Roman"/>
        <family val="1"/>
      </rPr>
      <t xml:space="preserve"> </t>
    </r>
    <r>
      <rPr>
        <sz val="10"/>
        <color rgb="FF000000"/>
        <rFont val="Times New Roman"/>
        <family val="1"/>
      </rPr>
      <t>&lt;=</t>
    </r>
    <r>
      <rPr>
        <sz val="10"/>
        <color rgb="FF000000"/>
        <rFont val="Times New Roman"/>
        <family val="1"/>
      </rPr>
      <t xml:space="preserve"> </t>
    </r>
    <r>
      <rPr>
        <sz val="10"/>
        <color rgb="FF000000"/>
        <rFont val="Times New Roman"/>
        <family val="1"/>
      </rPr>
      <t>2</t>
    </r>
    <r>
      <rPr>
        <sz val="10"/>
        <color rgb="FF000000"/>
        <rFont val="Times New Roman"/>
        <family val="1"/>
      </rPr>
      <t>5</t>
    </r>
    <r>
      <rPr>
        <sz val="10"/>
        <color rgb="FF000000"/>
        <rFont val="Times New Roman"/>
        <family val="1"/>
      </rPr>
      <t>0</t>
    </r>
    <r>
      <rPr>
        <sz val="10"/>
        <color rgb="FF000000"/>
        <rFont val="Times New Roman"/>
        <family val="1"/>
      </rPr>
      <t xml:space="preserve"> </t>
    </r>
    <r>
      <rPr>
        <sz val="10"/>
        <color rgb="FF000000"/>
        <rFont val="Times New Roman"/>
        <family val="1"/>
      </rPr>
      <t>C</t>
    </r>
    <r>
      <rPr>
        <sz val="10"/>
        <color rgb="FF000000"/>
        <rFont val="Times New Roman"/>
        <family val="1"/>
      </rPr>
      <t>r</t>
    </r>
    <r>
      <rPr>
        <sz val="10"/>
        <color rgb="FF000000"/>
        <rFont val="Times New Roman"/>
        <family val="1"/>
      </rPr>
      <t>o</t>
    </r>
    <r>
      <rPr>
        <sz val="10"/>
        <color rgb="FF000000"/>
        <rFont val="Times New Roman"/>
        <family val="1"/>
      </rPr>
      <t>r</t>
    </r>
    <r>
      <rPr>
        <sz val="10"/>
        <color rgb="FF000000"/>
        <rFont val="Times New Roman"/>
        <family val="1"/>
      </rPr>
      <t>e</t>
    </r>
    <r>
      <rPr>
        <sz val="10"/>
        <color rgb="FF000000"/>
        <rFont val="Times New Roman"/>
        <family val="1"/>
      </rPr>
      <t>s</t>
    </r>
    <r>
      <rPr>
        <sz val="10"/>
        <color rgb="FF000000"/>
        <rFont val="Times New Roman"/>
        <family val="1"/>
      </rPr>
      <t xml:space="preserve"> </t>
    </r>
    <r>
      <rPr>
        <sz val="10"/>
        <color rgb="FF000000"/>
        <rFont val="Times New Roman"/>
        <family val="1"/>
      </rPr>
      <t>–</t>
    </r>
    <r>
      <rPr>
        <sz val="10"/>
        <color rgb="FF000000"/>
        <rFont val="Times New Roman"/>
        <family val="1"/>
      </rPr>
      <t xml:space="preserve"> </t>
    </r>
    <r>
      <rPr>
        <sz val="10"/>
        <color rgb="FF000000"/>
        <rFont val="Times New Roman"/>
        <family val="1"/>
      </rPr>
      <t>1</t>
    </r>
    <r>
      <rPr>
        <sz val="10"/>
        <color rgb="FF000000"/>
        <rFont val="Times New Roman"/>
        <family val="1"/>
      </rPr>
      <t>0</t>
    </r>
    <r>
      <rPr>
        <sz val="10"/>
        <color rgb="FF000000"/>
        <rFont val="Times New Roman"/>
        <family val="1"/>
      </rPr>
      <t xml:space="preserve"> </t>
    </r>
    <r>
      <rPr>
        <sz val="10"/>
        <color rgb="FF000000"/>
        <rFont val="Times New Roman"/>
        <family val="1"/>
      </rPr>
      <t>M</t>
    </r>
    <r>
      <rPr>
        <sz val="10"/>
        <color rgb="FF000000"/>
        <rFont val="Times New Roman"/>
        <family val="1"/>
      </rPr>
      <t>a</t>
    </r>
    <r>
      <rPr>
        <sz val="10"/>
        <color rgb="FF000000"/>
        <rFont val="Times New Roman"/>
        <family val="1"/>
      </rPr>
      <t>r</t>
    </r>
    <r>
      <rPr>
        <sz val="10"/>
        <color rgb="FF000000"/>
        <rFont val="Times New Roman"/>
        <family val="1"/>
      </rPr>
      <t>k</t>
    </r>
    <r>
      <rPr>
        <sz val="10"/>
        <color rgb="FF000000"/>
        <rFont val="Times New Roman"/>
        <family val="1"/>
      </rPr>
      <t xml:space="preserve">s
</t>
    </r>
    <r>
      <rPr>
        <sz val="10"/>
        <color rgb="FF000000"/>
        <rFont val="Times New Roman"/>
        <family val="1"/>
      </rPr>
      <t>&gt;</t>
    </r>
    <r>
      <rPr>
        <sz val="10"/>
        <color rgb="FF000000"/>
        <rFont val="Times New Roman"/>
        <family val="1"/>
      </rPr>
      <t>2</t>
    </r>
    <r>
      <rPr>
        <sz val="10"/>
        <color rgb="FF000000"/>
        <rFont val="Times New Roman"/>
        <family val="1"/>
      </rPr>
      <t>5</t>
    </r>
    <r>
      <rPr>
        <sz val="10"/>
        <color rgb="FF000000"/>
        <rFont val="Times New Roman"/>
        <family val="1"/>
      </rPr>
      <t>0</t>
    </r>
    <r>
      <rPr>
        <sz val="10"/>
        <color rgb="FF000000"/>
        <rFont val="Times New Roman"/>
        <family val="1"/>
      </rPr>
      <t xml:space="preserve"> </t>
    </r>
    <r>
      <rPr>
        <sz val="10"/>
        <color rgb="FF000000"/>
        <rFont val="Times New Roman"/>
        <family val="1"/>
      </rPr>
      <t>C</t>
    </r>
    <r>
      <rPr>
        <sz val="10"/>
        <color rgb="FF000000"/>
        <rFont val="Times New Roman"/>
        <family val="1"/>
      </rPr>
      <t>r</t>
    </r>
    <r>
      <rPr>
        <sz val="10"/>
        <color rgb="FF000000"/>
        <rFont val="Times New Roman"/>
        <family val="1"/>
      </rPr>
      <t>o</t>
    </r>
    <r>
      <rPr>
        <sz val="10"/>
        <color rgb="FF000000"/>
        <rFont val="Times New Roman"/>
        <family val="1"/>
      </rPr>
      <t>r</t>
    </r>
    <r>
      <rPr>
        <sz val="10"/>
        <color rgb="FF000000"/>
        <rFont val="Times New Roman"/>
        <family val="1"/>
      </rPr>
      <t>e</t>
    </r>
    <r>
      <rPr>
        <sz val="10"/>
        <color rgb="FF000000"/>
        <rFont val="Times New Roman"/>
        <family val="1"/>
      </rPr>
      <t>s</t>
    </r>
    <r>
      <rPr>
        <sz val="10"/>
        <color rgb="FF000000"/>
        <rFont val="Times New Roman"/>
        <family val="1"/>
      </rPr>
      <t xml:space="preserve"> </t>
    </r>
    <r>
      <rPr>
        <sz val="10"/>
        <color rgb="FF000000"/>
        <rFont val="Times New Roman"/>
        <family val="1"/>
      </rPr>
      <t>–</t>
    </r>
    <r>
      <rPr>
        <sz val="10"/>
        <color rgb="FF000000"/>
        <rFont val="Times New Roman"/>
        <family val="1"/>
      </rPr>
      <t xml:space="preserve"> </t>
    </r>
    <r>
      <rPr>
        <sz val="10"/>
        <color rgb="FF000000"/>
        <rFont val="Times New Roman"/>
        <family val="1"/>
      </rPr>
      <t>1</t>
    </r>
    <r>
      <rPr>
        <sz val="10"/>
        <color rgb="FF000000"/>
        <rFont val="Times New Roman"/>
        <family val="1"/>
      </rPr>
      <t>5</t>
    </r>
    <r>
      <rPr>
        <sz val="10"/>
        <color rgb="FF000000"/>
        <rFont val="Times New Roman"/>
        <family val="1"/>
      </rPr>
      <t xml:space="preserve"> </t>
    </r>
    <r>
      <rPr>
        <sz val="10"/>
        <color rgb="FF000000"/>
        <rFont val="Times New Roman"/>
        <family val="1"/>
      </rPr>
      <t>M</t>
    </r>
    <r>
      <rPr>
        <sz val="10"/>
        <color rgb="FF000000"/>
        <rFont val="Times New Roman"/>
        <family val="1"/>
      </rPr>
      <t>a</t>
    </r>
    <r>
      <rPr>
        <sz val="10"/>
        <color rgb="FF000000"/>
        <rFont val="Times New Roman"/>
        <family val="1"/>
      </rPr>
      <t>r</t>
    </r>
    <r>
      <rPr>
        <sz val="10"/>
        <color rgb="FF000000"/>
        <rFont val="Times New Roman"/>
        <family val="1"/>
      </rPr>
      <t>k</t>
    </r>
    <r>
      <rPr>
        <sz val="10"/>
        <color rgb="FF000000"/>
        <rFont val="Times New Roman"/>
        <family val="1"/>
      </rPr>
      <t>s</t>
    </r>
  </si>
  <si>
    <r>
      <rPr>
        <sz val="10"/>
        <color rgb="FF000000"/>
        <rFont val="Times New Roman"/>
        <family val="1"/>
      </rPr>
      <t>•</t>
    </r>
    <r>
      <rPr>
        <sz val="10"/>
        <color rgb="FF000000"/>
        <rFont val="Times New Roman"/>
        <family val="1"/>
      </rPr>
      <t xml:space="preserve"> </t>
    </r>
    <r>
      <rPr>
        <sz val="10"/>
        <color rgb="FF000000"/>
        <rFont val="Times New Roman"/>
        <family val="1"/>
      </rPr>
      <t>A</t>
    </r>
    <r>
      <rPr>
        <sz val="10"/>
        <color rgb="FF000000"/>
        <rFont val="Times New Roman"/>
        <family val="1"/>
      </rPr>
      <t>u</t>
    </r>
    <r>
      <rPr>
        <sz val="10"/>
        <color rgb="FF000000"/>
        <rFont val="Times New Roman"/>
        <family val="1"/>
      </rPr>
      <t>d</t>
    </r>
    <r>
      <rPr>
        <sz val="10"/>
        <color rgb="FF000000"/>
        <rFont val="Times New Roman"/>
        <family val="1"/>
      </rPr>
      <t>i</t>
    </r>
    <r>
      <rPr>
        <sz val="10"/>
        <color rgb="FF000000"/>
        <rFont val="Times New Roman"/>
        <family val="1"/>
      </rPr>
      <t>t</t>
    </r>
    <r>
      <rPr>
        <sz val="10"/>
        <color rgb="FF000000"/>
        <rFont val="Times New Roman"/>
        <family val="1"/>
      </rPr>
      <t>e</t>
    </r>
    <r>
      <rPr>
        <sz val="10"/>
        <color rgb="FF000000"/>
        <rFont val="Times New Roman"/>
        <family val="1"/>
      </rPr>
      <t>d</t>
    </r>
    <r>
      <rPr>
        <sz val="10"/>
        <color rgb="FF000000"/>
        <rFont val="Times New Roman"/>
        <family val="1"/>
      </rPr>
      <t xml:space="preserve"> </t>
    </r>
    <r>
      <rPr>
        <sz val="10"/>
        <color rgb="FF000000"/>
        <rFont val="Times New Roman"/>
        <family val="1"/>
      </rPr>
      <t>s</t>
    </r>
    <r>
      <rPr>
        <sz val="10"/>
        <color rgb="FF000000"/>
        <rFont val="Times New Roman"/>
        <family val="1"/>
      </rPr>
      <t>t</t>
    </r>
    <r>
      <rPr>
        <sz val="10"/>
        <color rgb="FF000000"/>
        <rFont val="Times New Roman"/>
        <family val="1"/>
      </rPr>
      <t>a</t>
    </r>
    <r>
      <rPr>
        <sz val="10"/>
        <color rgb="FF000000"/>
        <rFont val="Times New Roman"/>
        <family val="1"/>
      </rPr>
      <t>t</t>
    </r>
    <r>
      <rPr>
        <sz val="10"/>
        <color rgb="FF000000"/>
        <rFont val="Times New Roman"/>
        <family val="1"/>
      </rPr>
      <t>e</t>
    </r>
    <r>
      <rPr>
        <sz val="10"/>
        <color rgb="FF000000"/>
        <rFont val="Times New Roman"/>
        <family val="1"/>
      </rPr>
      <t>m</t>
    </r>
    <r>
      <rPr>
        <sz val="10"/>
        <color rgb="FF000000"/>
        <rFont val="Times New Roman"/>
        <family val="1"/>
      </rPr>
      <t>e</t>
    </r>
    <r>
      <rPr>
        <sz val="10"/>
        <color rgb="FF000000"/>
        <rFont val="Times New Roman"/>
        <family val="1"/>
      </rPr>
      <t>n</t>
    </r>
    <r>
      <rPr>
        <sz val="10"/>
        <color rgb="FF000000"/>
        <rFont val="Times New Roman"/>
        <family val="1"/>
      </rPr>
      <t>t</t>
    </r>
    <r>
      <rPr>
        <sz val="10"/>
        <color rgb="FF000000"/>
        <rFont val="Times New Roman"/>
        <family val="1"/>
      </rPr>
      <t xml:space="preserve"> </t>
    </r>
    <r>
      <rPr>
        <sz val="10"/>
        <color rgb="FF000000"/>
        <rFont val="Times New Roman"/>
        <family val="1"/>
      </rPr>
      <t>f</t>
    </r>
    <r>
      <rPr>
        <sz val="10"/>
        <color rgb="FF000000"/>
        <rFont val="Times New Roman"/>
        <family val="1"/>
      </rPr>
      <t>o</t>
    </r>
    <r>
      <rPr>
        <sz val="10"/>
        <color rgb="FF000000"/>
        <rFont val="Times New Roman"/>
        <family val="1"/>
      </rPr>
      <t>r</t>
    </r>
    <r>
      <rPr>
        <sz val="10"/>
        <color rgb="FF000000"/>
        <rFont val="Times New Roman"/>
        <family val="1"/>
      </rPr>
      <t xml:space="preserve"> </t>
    </r>
    <r>
      <rPr>
        <sz val="10"/>
        <color rgb="FF000000"/>
        <rFont val="Times New Roman"/>
        <family val="1"/>
      </rPr>
      <t>l</t>
    </r>
    <r>
      <rPr>
        <sz val="10"/>
        <color rgb="FF000000"/>
        <rFont val="Times New Roman"/>
        <family val="1"/>
      </rPr>
      <t>a</t>
    </r>
    <r>
      <rPr>
        <sz val="10"/>
        <color rgb="FF000000"/>
        <rFont val="Times New Roman"/>
        <family val="1"/>
      </rPr>
      <t>s</t>
    </r>
    <r>
      <rPr>
        <sz val="10"/>
        <color rgb="FF000000"/>
        <rFont val="Times New Roman"/>
        <family val="1"/>
      </rPr>
      <t>t</t>
    </r>
    <r>
      <rPr>
        <sz val="10"/>
        <color rgb="FF000000"/>
        <rFont val="Times New Roman"/>
        <family val="1"/>
      </rPr>
      <t xml:space="preserve"> </t>
    </r>
    <r>
      <rPr>
        <sz val="10"/>
        <color rgb="FF000000"/>
        <rFont val="Times New Roman"/>
        <family val="1"/>
      </rPr>
      <t>3</t>
    </r>
    <r>
      <rPr>
        <sz val="10"/>
        <color rgb="FF000000"/>
        <rFont val="Times New Roman"/>
        <family val="1"/>
      </rPr>
      <t xml:space="preserve"> </t>
    </r>
    <r>
      <rPr>
        <sz val="10"/>
        <color rgb="FF000000"/>
        <rFont val="Times New Roman"/>
        <family val="1"/>
      </rPr>
      <t>f</t>
    </r>
    <r>
      <rPr>
        <sz val="10"/>
        <color rgb="FF000000"/>
        <rFont val="Times New Roman"/>
        <family val="1"/>
      </rPr>
      <t>i</t>
    </r>
    <r>
      <rPr>
        <sz val="10"/>
        <color rgb="FF000000"/>
        <rFont val="Times New Roman"/>
        <family val="1"/>
      </rPr>
      <t>n</t>
    </r>
    <r>
      <rPr>
        <sz val="10"/>
        <color rgb="FF000000"/>
        <rFont val="Times New Roman"/>
        <family val="1"/>
      </rPr>
      <t>a</t>
    </r>
    <r>
      <rPr>
        <sz val="10"/>
        <color rgb="FF000000"/>
        <rFont val="Times New Roman"/>
        <family val="1"/>
      </rPr>
      <t>n</t>
    </r>
    <r>
      <rPr>
        <sz val="10"/>
        <color rgb="FF000000"/>
        <rFont val="Times New Roman"/>
        <family val="1"/>
      </rPr>
      <t>c</t>
    </r>
    <r>
      <rPr>
        <sz val="10"/>
        <color rgb="FF000000"/>
        <rFont val="Times New Roman"/>
        <family val="1"/>
      </rPr>
      <t>i</t>
    </r>
    <r>
      <rPr>
        <sz val="10"/>
        <color rgb="FF000000"/>
        <rFont val="Times New Roman"/>
        <family val="1"/>
      </rPr>
      <t>a</t>
    </r>
    <r>
      <rPr>
        <sz val="10"/>
        <color rgb="FF000000"/>
        <rFont val="Times New Roman"/>
        <family val="1"/>
      </rPr>
      <t>l</t>
    </r>
    <r>
      <rPr>
        <sz val="10"/>
        <color rgb="FF000000"/>
        <rFont val="Times New Roman"/>
        <family val="1"/>
      </rPr>
      <t xml:space="preserve"> </t>
    </r>
    <r>
      <rPr>
        <sz val="10"/>
        <color rgb="FF000000"/>
        <rFont val="Times New Roman"/>
        <family val="1"/>
      </rPr>
      <t>y</t>
    </r>
    <r>
      <rPr>
        <sz val="10"/>
        <color rgb="FF000000"/>
        <rFont val="Times New Roman"/>
        <family val="1"/>
      </rPr>
      <t>e</t>
    </r>
    <r>
      <rPr>
        <sz val="10"/>
        <color rgb="FF000000"/>
        <rFont val="Times New Roman"/>
        <family val="1"/>
      </rPr>
      <t>a</t>
    </r>
    <r>
      <rPr>
        <sz val="10"/>
        <color rgb="FF000000"/>
        <rFont val="Times New Roman"/>
        <family val="1"/>
      </rPr>
      <t>r</t>
    </r>
    <r>
      <rPr>
        <sz val="10"/>
        <color rgb="FF000000"/>
        <rFont val="Times New Roman"/>
        <family val="1"/>
      </rPr>
      <t>s</t>
    </r>
    <r>
      <rPr>
        <sz val="10"/>
        <color rgb="FF000000"/>
        <rFont val="Times New Roman"/>
        <family val="1"/>
      </rPr>
      <t xml:space="preserve"> </t>
    </r>
    <r>
      <rPr>
        <sz val="10"/>
        <color rgb="FF000000"/>
        <rFont val="Times New Roman"/>
        <family val="1"/>
      </rPr>
      <t>o</t>
    </r>
    <r>
      <rPr>
        <sz val="10"/>
        <color rgb="FF000000"/>
        <rFont val="Times New Roman"/>
        <family val="1"/>
      </rPr>
      <t>f</t>
    </r>
    <r>
      <rPr>
        <sz val="10"/>
        <color rgb="FF000000"/>
        <rFont val="Times New Roman"/>
        <family val="1"/>
      </rPr>
      <t xml:space="preserve"> </t>
    </r>
    <r>
      <rPr>
        <sz val="10"/>
        <color rgb="FF000000"/>
        <rFont val="Times New Roman"/>
        <family val="1"/>
      </rPr>
      <t>t</t>
    </r>
    <r>
      <rPr>
        <sz val="10"/>
        <color rgb="FF000000"/>
        <rFont val="Times New Roman"/>
        <family val="1"/>
      </rPr>
      <t>h</t>
    </r>
    <r>
      <rPr>
        <sz val="10"/>
        <color rgb="FF000000"/>
        <rFont val="Times New Roman"/>
        <family val="1"/>
      </rPr>
      <t>e</t>
    </r>
    <r>
      <rPr>
        <sz val="10"/>
        <color rgb="FF000000"/>
        <rFont val="Times New Roman"/>
        <family val="1"/>
      </rPr>
      <t xml:space="preserve"> </t>
    </r>
    <r>
      <rPr>
        <sz val="11"/>
        <color rgb="FF000000"/>
        <rFont val="Times New Roman"/>
        <family val="1"/>
      </rPr>
      <t>S</t>
    </r>
    <r>
      <rPr>
        <sz val="11"/>
        <color rgb="FF000000"/>
        <rFont val="Times New Roman"/>
        <family val="1"/>
      </rPr>
      <t>y</t>
    </r>
    <r>
      <rPr>
        <sz val="11"/>
        <color rgb="FF000000"/>
        <rFont val="Times New Roman"/>
        <family val="1"/>
      </rPr>
      <t>s</t>
    </r>
    <r>
      <rPr>
        <sz val="11"/>
        <color rgb="FF000000"/>
        <rFont val="Times New Roman"/>
        <family val="1"/>
      </rPr>
      <t>t</t>
    </r>
    <r>
      <rPr>
        <sz val="11"/>
        <color rgb="FF000000"/>
        <rFont val="Times New Roman"/>
        <family val="1"/>
      </rPr>
      <t>e</t>
    </r>
    <r>
      <rPr>
        <sz val="11"/>
        <color rgb="FF000000"/>
        <rFont val="Times New Roman"/>
        <family val="1"/>
      </rPr>
      <t>m</t>
    </r>
    <r>
      <rPr>
        <sz val="11"/>
        <color rgb="FF000000"/>
        <rFont val="Times New Roman"/>
        <family val="1"/>
      </rPr>
      <t xml:space="preserve"> </t>
    </r>
    <r>
      <rPr>
        <sz val="11"/>
        <color rgb="FF000000"/>
        <rFont val="Times New Roman"/>
        <family val="1"/>
      </rPr>
      <t>I</t>
    </r>
    <r>
      <rPr>
        <sz val="11"/>
        <color rgb="FF000000"/>
        <rFont val="Times New Roman"/>
        <family val="1"/>
      </rPr>
      <t>n</t>
    </r>
    <r>
      <rPr>
        <sz val="11"/>
        <color rgb="FF000000"/>
        <rFont val="Times New Roman"/>
        <family val="1"/>
      </rPr>
      <t>t</t>
    </r>
    <r>
      <rPr>
        <sz val="11"/>
        <color rgb="FF000000"/>
        <rFont val="Times New Roman"/>
        <family val="1"/>
      </rPr>
      <t>e</t>
    </r>
    <r>
      <rPr>
        <sz val="11"/>
        <color rgb="FF000000"/>
        <rFont val="Times New Roman"/>
        <family val="1"/>
      </rPr>
      <t>g</t>
    </r>
    <r>
      <rPr>
        <sz val="11"/>
        <color rgb="FF000000"/>
        <rFont val="Times New Roman"/>
        <family val="1"/>
      </rPr>
      <t>r</t>
    </r>
    <r>
      <rPr>
        <sz val="11"/>
        <color rgb="FF000000"/>
        <rFont val="Times New Roman"/>
        <family val="1"/>
      </rPr>
      <t>a</t>
    </r>
    <r>
      <rPr>
        <sz val="11"/>
        <color rgb="FF000000"/>
        <rFont val="Times New Roman"/>
        <family val="1"/>
      </rPr>
      <t>t</t>
    </r>
    <r>
      <rPr>
        <sz val="11"/>
        <color rgb="FF000000"/>
        <rFont val="Times New Roman"/>
        <family val="1"/>
      </rPr>
      <t>o</t>
    </r>
    <r>
      <rPr>
        <sz val="11"/>
        <color rgb="FF000000"/>
        <rFont val="Times New Roman"/>
        <family val="1"/>
      </rPr>
      <t>r</t>
    </r>
    <r>
      <rPr>
        <sz val="11"/>
        <color rgb="FF000000"/>
        <rFont val="Times New Roman"/>
        <family val="1"/>
      </rPr>
      <t xml:space="preserve"> </t>
    </r>
    <r>
      <rPr>
        <sz val="11"/>
        <color rgb="FF000000"/>
        <rFont val="Times New Roman"/>
        <family val="1"/>
      </rPr>
      <t>(</t>
    </r>
    <r>
      <rPr>
        <sz val="11"/>
        <color rgb="FF000000"/>
        <rFont val="Times New Roman"/>
        <family val="1"/>
      </rPr>
      <t>S</t>
    </r>
    <r>
      <rPr>
        <sz val="11"/>
        <color rgb="FF000000"/>
        <rFont val="Times New Roman"/>
        <family val="1"/>
      </rPr>
      <t>I</t>
    </r>
    <r>
      <rPr>
        <sz val="11"/>
        <color rgb="FF000000"/>
        <rFont val="Times New Roman"/>
        <family val="1"/>
      </rPr>
      <t>)</t>
    </r>
    <r>
      <rPr>
        <sz val="10"/>
        <color rgb="FF000000"/>
        <rFont val="Times New Roman"/>
        <family val="1"/>
      </rPr>
      <t xml:space="preserve">.
</t>
    </r>
    <r>
      <rPr>
        <sz val="10"/>
        <color rgb="FF000000"/>
        <rFont val="Times New Roman"/>
        <family val="1"/>
      </rPr>
      <t>•</t>
    </r>
    <r>
      <rPr>
        <sz val="10"/>
        <color rgb="FF000000"/>
        <rFont val="Times New Roman"/>
        <family val="1"/>
      </rPr>
      <t xml:space="preserve">  </t>
    </r>
    <r>
      <rPr>
        <sz val="10"/>
        <color rgb="FF000000"/>
        <rFont val="Times New Roman"/>
        <family val="1"/>
      </rPr>
      <t xml:space="preserve"> </t>
    </r>
    <r>
      <rPr>
        <sz val="10"/>
        <color rgb="FF000000"/>
        <rFont val="Times New Roman"/>
        <family val="1"/>
      </rPr>
      <t>C</t>
    </r>
    <r>
      <rPr>
        <sz val="10"/>
        <color rgb="FF000000"/>
        <rFont val="Times New Roman"/>
        <family val="1"/>
      </rPr>
      <t>e</t>
    </r>
    <r>
      <rPr>
        <sz val="10"/>
        <color rgb="FF000000"/>
        <rFont val="Times New Roman"/>
        <family val="1"/>
      </rPr>
      <t>r</t>
    </r>
    <r>
      <rPr>
        <sz val="10"/>
        <color rgb="FF000000"/>
        <rFont val="Times New Roman"/>
        <family val="1"/>
      </rPr>
      <t>t</t>
    </r>
    <r>
      <rPr>
        <sz val="10"/>
        <color rgb="FF000000"/>
        <rFont val="Times New Roman"/>
        <family val="1"/>
      </rPr>
      <t>i</t>
    </r>
    <r>
      <rPr>
        <sz val="10"/>
        <color rgb="FF000000"/>
        <rFont val="Times New Roman"/>
        <family val="1"/>
      </rPr>
      <t>f</t>
    </r>
    <r>
      <rPr>
        <sz val="10"/>
        <color rgb="FF000000"/>
        <rFont val="Times New Roman"/>
        <family val="1"/>
      </rPr>
      <t>i</t>
    </r>
    <r>
      <rPr>
        <sz val="10"/>
        <color rgb="FF000000"/>
        <rFont val="Times New Roman"/>
        <family val="1"/>
      </rPr>
      <t>c</t>
    </r>
    <r>
      <rPr>
        <sz val="10"/>
        <color rgb="FF000000"/>
        <rFont val="Times New Roman"/>
        <family val="1"/>
      </rPr>
      <t>a</t>
    </r>
    <r>
      <rPr>
        <sz val="10"/>
        <color rgb="FF000000"/>
        <rFont val="Times New Roman"/>
        <family val="1"/>
      </rPr>
      <t>t</t>
    </r>
    <r>
      <rPr>
        <sz val="10"/>
        <color rgb="FF000000"/>
        <rFont val="Times New Roman"/>
        <family val="1"/>
      </rPr>
      <t>e</t>
    </r>
    <r>
      <rPr>
        <sz val="10"/>
        <color rgb="FF000000"/>
        <rFont val="Times New Roman"/>
        <family val="1"/>
      </rPr>
      <t xml:space="preserve">   </t>
    </r>
    <r>
      <rPr>
        <sz val="10"/>
        <color rgb="FF000000"/>
        <rFont val="Times New Roman"/>
        <family val="1"/>
      </rPr>
      <t xml:space="preserve"> </t>
    </r>
    <r>
      <rPr>
        <sz val="10"/>
        <color rgb="FF000000"/>
        <rFont val="Times New Roman"/>
        <family val="1"/>
      </rPr>
      <t>f</t>
    </r>
    <r>
      <rPr>
        <sz val="10"/>
        <color rgb="FF000000"/>
        <rFont val="Times New Roman"/>
        <family val="1"/>
      </rPr>
      <t>r</t>
    </r>
    <r>
      <rPr>
        <sz val="10"/>
        <color rgb="FF000000"/>
        <rFont val="Times New Roman"/>
        <family val="1"/>
      </rPr>
      <t>o</t>
    </r>
    <r>
      <rPr>
        <sz val="10"/>
        <color rgb="FF000000"/>
        <rFont val="Times New Roman"/>
        <family val="1"/>
      </rPr>
      <t>m</t>
    </r>
    <r>
      <rPr>
        <sz val="10"/>
        <color rgb="FF000000"/>
        <rFont val="Times New Roman"/>
        <family val="1"/>
      </rPr>
      <t xml:space="preserve">   </t>
    </r>
    <r>
      <rPr>
        <sz val="10"/>
        <color rgb="FF000000"/>
        <rFont val="Times New Roman"/>
        <family val="1"/>
      </rPr>
      <t xml:space="preserve"> </t>
    </r>
    <r>
      <rPr>
        <sz val="10"/>
        <color rgb="FF000000"/>
        <rFont val="Times New Roman"/>
        <family val="1"/>
      </rPr>
      <t>t</t>
    </r>
    <r>
      <rPr>
        <sz val="10"/>
        <color rgb="FF000000"/>
        <rFont val="Times New Roman"/>
        <family val="1"/>
      </rPr>
      <t>h</t>
    </r>
    <r>
      <rPr>
        <sz val="10"/>
        <color rgb="FF000000"/>
        <rFont val="Times New Roman"/>
        <family val="1"/>
      </rPr>
      <t>e</t>
    </r>
    <r>
      <rPr>
        <sz val="10"/>
        <color rgb="FF000000"/>
        <rFont val="Times New Roman"/>
        <family val="1"/>
      </rPr>
      <t xml:space="preserve">   </t>
    </r>
    <r>
      <rPr>
        <sz val="10"/>
        <color rgb="FF000000"/>
        <rFont val="Times New Roman"/>
        <family val="1"/>
      </rPr>
      <t xml:space="preserve"> </t>
    </r>
    <r>
      <rPr>
        <sz val="10"/>
        <color rgb="FF000000"/>
        <rFont val="Times New Roman"/>
        <family val="1"/>
      </rPr>
      <t>C</t>
    </r>
    <r>
      <rPr>
        <sz val="10"/>
        <color rgb="FF000000"/>
        <rFont val="Times New Roman"/>
        <family val="1"/>
      </rPr>
      <t>h</t>
    </r>
    <r>
      <rPr>
        <sz val="10"/>
        <color rgb="FF000000"/>
        <rFont val="Times New Roman"/>
        <family val="1"/>
      </rPr>
      <t>a</t>
    </r>
    <r>
      <rPr>
        <sz val="10"/>
        <color rgb="FF000000"/>
        <rFont val="Times New Roman"/>
        <family val="1"/>
      </rPr>
      <t>r</t>
    </r>
    <r>
      <rPr>
        <sz val="10"/>
        <color rgb="FF000000"/>
        <rFont val="Times New Roman"/>
        <family val="1"/>
      </rPr>
      <t>t</t>
    </r>
    <r>
      <rPr>
        <sz val="10"/>
        <color rgb="FF000000"/>
        <rFont val="Times New Roman"/>
        <family val="1"/>
      </rPr>
      <t>e</t>
    </r>
    <r>
      <rPr>
        <sz val="10"/>
        <color rgb="FF000000"/>
        <rFont val="Times New Roman"/>
        <family val="1"/>
      </rPr>
      <t>r</t>
    </r>
    <r>
      <rPr>
        <sz val="10"/>
        <color rgb="FF000000"/>
        <rFont val="Times New Roman"/>
        <family val="1"/>
      </rPr>
      <t>e</t>
    </r>
    <r>
      <rPr>
        <sz val="10"/>
        <color rgb="FF000000"/>
        <rFont val="Times New Roman"/>
        <family val="1"/>
      </rPr>
      <t xml:space="preserve">d
</t>
    </r>
    <r>
      <rPr>
        <sz val="10"/>
        <color rgb="FF000000"/>
        <rFont val="Times New Roman"/>
        <family val="1"/>
      </rPr>
      <t>A</t>
    </r>
    <r>
      <rPr>
        <sz val="10"/>
        <color rgb="FF000000"/>
        <rFont val="Times New Roman"/>
        <family val="1"/>
      </rPr>
      <t>c</t>
    </r>
    <r>
      <rPr>
        <sz val="10"/>
        <color rgb="FF000000"/>
        <rFont val="Times New Roman"/>
        <family val="1"/>
      </rPr>
      <t>c</t>
    </r>
    <r>
      <rPr>
        <sz val="10"/>
        <color rgb="FF000000"/>
        <rFont val="Times New Roman"/>
        <family val="1"/>
      </rPr>
      <t>o</t>
    </r>
    <r>
      <rPr>
        <sz val="10"/>
        <color rgb="FF000000"/>
        <rFont val="Times New Roman"/>
        <family val="1"/>
      </rPr>
      <t>un</t>
    </r>
    <r>
      <rPr>
        <sz val="10"/>
        <color rgb="FF000000"/>
        <rFont val="Times New Roman"/>
        <family val="1"/>
      </rPr>
      <t>t</t>
    </r>
    <r>
      <rPr>
        <sz val="10"/>
        <color rgb="FF000000"/>
        <rFont val="Times New Roman"/>
        <family val="1"/>
      </rPr>
      <t>a</t>
    </r>
    <r>
      <rPr>
        <sz val="10"/>
        <color rgb="FF000000"/>
        <rFont val="Times New Roman"/>
        <family val="1"/>
      </rPr>
      <t>n</t>
    </r>
    <r>
      <rPr>
        <sz val="10"/>
        <color rgb="FF000000"/>
        <rFont val="Times New Roman"/>
        <family val="1"/>
      </rPr>
      <t>t</t>
    </r>
    <r>
      <rPr>
        <sz val="10"/>
        <color rgb="FF000000"/>
        <rFont val="Times New Roman"/>
        <family val="1"/>
      </rPr>
      <t>/</t>
    </r>
    <r>
      <rPr>
        <sz val="10"/>
        <color rgb="FF000000"/>
        <rFont val="Times New Roman"/>
        <family val="1"/>
      </rPr>
      <t xml:space="preserve"> </t>
    </r>
    <r>
      <rPr>
        <sz val="10"/>
        <color rgb="FF000000"/>
        <rFont val="Times New Roman"/>
        <family val="1"/>
      </rPr>
      <t xml:space="preserve"> </t>
    </r>
    <r>
      <rPr>
        <sz val="10"/>
        <color rgb="FF000000"/>
        <rFont val="Times New Roman"/>
        <family val="1"/>
      </rPr>
      <t>s</t>
    </r>
    <r>
      <rPr>
        <sz val="10"/>
        <color rgb="FF000000"/>
        <rFont val="Times New Roman"/>
        <family val="1"/>
      </rPr>
      <t>t</t>
    </r>
    <r>
      <rPr>
        <sz val="10"/>
        <color rgb="FF000000"/>
        <rFont val="Times New Roman"/>
        <family val="1"/>
      </rPr>
      <t>a</t>
    </r>
    <r>
      <rPr>
        <sz val="10"/>
        <color rgb="FF000000"/>
        <rFont val="Times New Roman"/>
        <family val="1"/>
      </rPr>
      <t>t</t>
    </r>
    <r>
      <rPr>
        <sz val="10"/>
        <color rgb="FF000000"/>
        <rFont val="Times New Roman"/>
        <family val="1"/>
      </rPr>
      <t>u</t>
    </r>
    <r>
      <rPr>
        <sz val="10"/>
        <color rgb="FF000000"/>
        <rFont val="Times New Roman"/>
        <family val="1"/>
      </rPr>
      <t>t</t>
    </r>
    <r>
      <rPr>
        <sz val="10"/>
        <color rgb="FF000000"/>
        <rFont val="Times New Roman"/>
        <family val="1"/>
      </rPr>
      <t>o</t>
    </r>
    <r>
      <rPr>
        <sz val="10"/>
        <color rgb="FF000000"/>
        <rFont val="Times New Roman"/>
        <family val="1"/>
      </rPr>
      <t>r</t>
    </r>
    <r>
      <rPr>
        <sz val="10"/>
        <color rgb="FF000000"/>
        <rFont val="Times New Roman"/>
        <family val="1"/>
      </rPr>
      <t>y</t>
    </r>
    <r>
      <rPr>
        <sz val="10"/>
        <color rgb="FF000000"/>
        <rFont val="Times New Roman"/>
        <family val="1"/>
      </rPr>
      <t xml:space="preserve">  </t>
    </r>
    <r>
      <rPr>
        <sz val="10"/>
        <color rgb="FF000000"/>
        <rFont val="Times New Roman"/>
        <family val="1"/>
      </rPr>
      <t xml:space="preserve"> </t>
    </r>
    <r>
      <rPr>
        <sz val="10"/>
        <color rgb="FF000000"/>
        <rFont val="Times New Roman"/>
        <family val="1"/>
      </rPr>
      <t>a</t>
    </r>
    <r>
      <rPr>
        <sz val="10"/>
        <color rgb="FF000000"/>
        <rFont val="Times New Roman"/>
        <family val="1"/>
      </rPr>
      <t>u</t>
    </r>
    <r>
      <rPr>
        <sz val="10"/>
        <color rgb="FF000000"/>
        <rFont val="Times New Roman"/>
        <family val="1"/>
      </rPr>
      <t>d</t>
    </r>
    <r>
      <rPr>
        <sz val="10"/>
        <color rgb="FF000000"/>
        <rFont val="Times New Roman"/>
        <family val="1"/>
      </rPr>
      <t>i</t>
    </r>
    <r>
      <rPr>
        <sz val="10"/>
        <color rgb="FF000000"/>
        <rFont val="Times New Roman"/>
        <family val="1"/>
      </rPr>
      <t>t</t>
    </r>
    <r>
      <rPr>
        <sz val="10"/>
        <color rgb="FF000000"/>
        <rFont val="Times New Roman"/>
        <family val="1"/>
      </rPr>
      <t>o</t>
    </r>
    <r>
      <rPr>
        <sz val="10"/>
        <color rgb="FF000000"/>
        <rFont val="Times New Roman"/>
        <family val="1"/>
      </rPr>
      <t>r</t>
    </r>
    <r>
      <rPr>
        <sz val="10"/>
        <color rgb="FF000000"/>
        <rFont val="Times New Roman"/>
        <family val="1"/>
      </rPr>
      <t>/</t>
    </r>
    <r>
      <rPr>
        <sz val="10"/>
        <color rgb="FF000000"/>
        <rFont val="Times New Roman"/>
        <family val="1"/>
      </rPr>
      <t xml:space="preserve"> </t>
    </r>
    <r>
      <rPr>
        <sz val="10"/>
        <color rgb="FF000000"/>
        <rFont val="Times New Roman"/>
        <family val="1"/>
      </rPr>
      <t>C</t>
    </r>
    <r>
      <rPr>
        <sz val="10"/>
        <color rgb="FF000000"/>
        <rFont val="Times New Roman"/>
        <family val="1"/>
      </rPr>
      <t>o</t>
    </r>
    <r>
      <rPr>
        <sz val="10"/>
        <color rgb="FF000000"/>
        <rFont val="Times New Roman"/>
        <family val="1"/>
      </rPr>
      <t>m</t>
    </r>
    <r>
      <rPr>
        <sz val="10"/>
        <color rgb="FF000000"/>
        <rFont val="Times New Roman"/>
        <family val="1"/>
      </rPr>
      <t>p</t>
    </r>
    <r>
      <rPr>
        <sz val="10"/>
        <color rgb="FF000000"/>
        <rFont val="Times New Roman"/>
        <family val="1"/>
      </rPr>
      <t>a</t>
    </r>
    <r>
      <rPr>
        <sz val="10"/>
        <color rgb="FF000000"/>
        <rFont val="Times New Roman"/>
        <family val="1"/>
      </rPr>
      <t>n</t>
    </r>
    <r>
      <rPr>
        <sz val="10"/>
        <color rgb="FF000000"/>
        <rFont val="Times New Roman"/>
        <family val="1"/>
      </rPr>
      <t>y</t>
    </r>
    <r>
      <rPr>
        <sz val="10"/>
        <color rgb="FF000000"/>
        <rFont val="Times New Roman"/>
        <family val="1"/>
      </rPr>
      <t xml:space="preserve"> </t>
    </r>
    <r>
      <rPr>
        <sz val="10"/>
        <color rgb="FF000000"/>
        <rFont val="Times New Roman"/>
        <family val="1"/>
      </rPr>
      <t xml:space="preserve"> </t>
    </r>
    <r>
      <rPr>
        <sz val="10"/>
        <color rgb="FF000000"/>
        <rFont val="Times New Roman"/>
        <family val="1"/>
      </rPr>
      <t>S</t>
    </r>
    <r>
      <rPr>
        <sz val="10"/>
        <color rgb="FF000000"/>
        <rFont val="Times New Roman"/>
        <family val="1"/>
      </rPr>
      <t>e</t>
    </r>
    <r>
      <rPr>
        <sz val="10"/>
        <color rgb="FF000000"/>
        <rFont val="Times New Roman"/>
        <family val="1"/>
      </rPr>
      <t>c</t>
    </r>
    <r>
      <rPr>
        <sz val="10"/>
        <color rgb="FF000000"/>
        <rFont val="Times New Roman"/>
        <family val="1"/>
      </rPr>
      <t>r</t>
    </r>
    <r>
      <rPr>
        <sz val="10"/>
        <color rgb="FF000000"/>
        <rFont val="Times New Roman"/>
        <family val="1"/>
      </rPr>
      <t>e</t>
    </r>
    <r>
      <rPr>
        <sz val="10"/>
        <color rgb="FF000000"/>
        <rFont val="Times New Roman"/>
        <family val="1"/>
      </rPr>
      <t>t</t>
    </r>
    <r>
      <rPr>
        <sz val="10"/>
        <color rgb="FF000000"/>
        <rFont val="Times New Roman"/>
        <family val="1"/>
      </rPr>
      <t>a</t>
    </r>
    <r>
      <rPr>
        <sz val="10"/>
        <color rgb="FF000000"/>
        <rFont val="Times New Roman"/>
        <family val="1"/>
      </rPr>
      <t>r</t>
    </r>
    <r>
      <rPr>
        <sz val="10"/>
        <color rgb="FF000000"/>
        <rFont val="Times New Roman"/>
        <family val="1"/>
      </rPr>
      <t>y</t>
    </r>
    <r>
      <rPr>
        <sz val="10"/>
        <color rgb="FF000000"/>
        <rFont val="Times New Roman"/>
        <family val="1"/>
      </rPr>
      <t xml:space="preserve">  </t>
    </r>
    <r>
      <rPr>
        <sz val="10"/>
        <color rgb="FF000000"/>
        <rFont val="Times New Roman"/>
        <family val="1"/>
      </rPr>
      <t xml:space="preserve"> </t>
    </r>
    <r>
      <rPr>
        <sz val="10"/>
        <color rgb="FF000000"/>
        <rFont val="Times New Roman"/>
        <family val="1"/>
      </rPr>
      <t>c</t>
    </r>
    <r>
      <rPr>
        <sz val="10"/>
        <color rgb="FF000000"/>
        <rFont val="Times New Roman"/>
        <family val="1"/>
      </rPr>
      <t>l</t>
    </r>
    <r>
      <rPr>
        <sz val="10"/>
        <color rgb="FF000000"/>
        <rFont val="Times New Roman"/>
        <family val="1"/>
      </rPr>
      <t>e</t>
    </r>
    <r>
      <rPr>
        <sz val="10"/>
        <color rgb="FF000000"/>
        <rFont val="Times New Roman"/>
        <family val="1"/>
      </rPr>
      <t>a</t>
    </r>
    <r>
      <rPr>
        <sz val="10"/>
        <color rgb="FF000000"/>
        <rFont val="Times New Roman"/>
        <family val="1"/>
      </rPr>
      <t>r</t>
    </r>
    <r>
      <rPr>
        <sz val="10"/>
        <color rgb="FF000000"/>
        <rFont val="Times New Roman"/>
        <family val="1"/>
      </rPr>
      <t>l</t>
    </r>
    <r>
      <rPr>
        <sz val="10"/>
        <color rgb="FF000000"/>
        <rFont val="Times New Roman"/>
        <family val="1"/>
      </rPr>
      <t>y</t>
    </r>
    <r>
      <rPr>
        <sz val="10"/>
        <color rgb="FF000000"/>
        <rFont val="Times New Roman"/>
        <family val="1"/>
      </rPr>
      <t xml:space="preserve"> </t>
    </r>
    <r>
      <rPr>
        <sz val="10"/>
        <color rgb="FF000000"/>
        <rFont val="Times New Roman"/>
        <family val="1"/>
      </rPr>
      <t xml:space="preserve"> </t>
    </r>
    <r>
      <rPr>
        <sz val="10"/>
        <color rgb="FF000000"/>
        <rFont val="Times New Roman"/>
        <family val="1"/>
      </rPr>
      <t>s</t>
    </r>
    <r>
      <rPr>
        <sz val="10"/>
        <color rgb="FF000000"/>
        <rFont val="Times New Roman"/>
        <family val="1"/>
      </rPr>
      <t>p</t>
    </r>
    <r>
      <rPr>
        <sz val="10"/>
        <color rgb="FF000000"/>
        <rFont val="Times New Roman"/>
        <family val="1"/>
      </rPr>
      <t>e</t>
    </r>
    <r>
      <rPr>
        <sz val="10"/>
        <color rgb="FF000000"/>
        <rFont val="Times New Roman"/>
        <family val="1"/>
      </rPr>
      <t>c</t>
    </r>
    <r>
      <rPr>
        <sz val="10"/>
        <color rgb="FF000000"/>
        <rFont val="Times New Roman"/>
        <family val="1"/>
      </rPr>
      <t>i</t>
    </r>
    <r>
      <rPr>
        <sz val="10"/>
        <color rgb="FF000000"/>
        <rFont val="Times New Roman"/>
        <family val="1"/>
      </rPr>
      <t>f</t>
    </r>
    <r>
      <rPr>
        <sz val="10"/>
        <color rgb="FF000000"/>
        <rFont val="Times New Roman"/>
        <family val="1"/>
      </rPr>
      <t>y</t>
    </r>
    <r>
      <rPr>
        <sz val="10"/>
        <color rgb="FF000000"/>
        <rFont val="Times New Roman"/>
        <family val="1"/>
      </rPr>
      <t>i</t>
    </r>
    <r>
      <rPr>
        <sz val="10"/>
        <color rgb="FF000000"/>
        <rFont val="Times New Roman"/>
        <family val="1"/>
      </rPr>
      <t>n</t>
    </r>
    <r>
      <rPr>
        <sz val="10"/>
        <color rgb="FF000000"/>
        <rFont val="Times New Roman"/>
        <family val="1"/>
      </rPr>
      <t>g</t>
    </r>
    <r>
      <rPr>
        <sz val="10"/>
        <color rgb="FF000000"/>
        <rFont val="Times New Roman"/>
        <family val="1"/>
      </rPr>
      <t xml:space="preserve"> </t>
    </r>
    <r>
      <rPr>
        <sz val="10"/>
        <color rgb="FF000000"/>
        <rFont val="Times New Roman"/>
        <family val="1"/>
      </rPr>
      <t>t</t>
    </r>
    <r>
      <rPr>
        <sz val="10"/>
        <color rgb="FF000000"/>
        <rFont val="Times New Roman"/>
        <family val="1"/>
      </rPr>
      <t>h</t>
    </r>
    <r>
      <rPr>
        <sz val="10"/>
        <color rgb="FF000000"/>
        <rFont val="Times New Roman"/>
        <family val="1"/>
      </rPr>
      <t>e</t>
    </r>
    <r>
      <rPr>
        <sz val="10"/>
        <color rgb="FF000000"/>
        <rFont val="Times New Roman"/>
        <family val="1"/>
      </rPr>
      <t xml:space="preserve"> </t>
    </r>
    <r>
      <rPr>
        <sz val="10"/>
        <color rgb="FF000000"/>
        <rFont val="Times New Roman"/>
        <family val="1"/>
      </rPr>
      <t>a</t>
    </r>
    <r>
      <rPr>
        <sz val="10"/>
        <color rgb="FF000000"/>
        <rFont val="Times New Roman"/>
        <family val="1"/>
      </rPr>
      <t>nn</t>
    </r>
    <r>
      <rPr>
        <sz val="10"/>
        <color rgb="FF000000"/>
        <rFont val="Times New Roman"/>
        <family val="1"/>
      </rPr>
      <t>u</t>
    </r>
    <r>
      <rPr>
        <sz val="10"/>
        <color rgb="FF000000"/>
        <rFont val="Times New Roman"/>
        <family val="1"/>
      </rPr>
      <t>a</t>
    </r>
    <r>
      <rPr>
        <sz val="10"/>
        <color rgb="FF000000"/>
        <rFont val="Times New Roman"/>
        <family val="1"/>
      </rPr>
      <t>l</t>
    </r>
    <r>
      <rPr>
        <sz val="10"/>
        <color rgb="FF000000"/>
        <rFont val="Times New Roman"/>
        <family val="1"/>
      </rPr>
      <t xml:space="preserve"> </t>
    </r>
    <r>
      <rPr>
        <sz val="10"/>
        <color rgb="FF000000"/>
        <rFont val="Times New Roman"/>
        <family val="1"/>
      </rPr>
      <t>t</t>
    </r>
    <r>
      <rPr>
        <sz val="10"/>
        <color rgb="FF000000"/>
        <rFont val="Times New Roman"/>
        <family val="1"/>
      </rPr>
      <t>u</t>
    </r>
    <r>
      <rPr>
        <sz val="10"/>
        <color rgb="FF000000"/>
        <rFont val="Times New Roman"/>
        <family val="1"/>
      </rPr>
      <t>r</t>
    </r>
    <r>
      <rPr>
        <sz val="10"/>
        <color rgb="FF000000"/>
        <rFont val="Times New Roman"/>
        <family val="1"/>
      </rPr>
      <t>n</t>
    </r>
    <r>
      <rPr>
        <sz val="10"/>
        <color rgb="FF000000"/>
        <rFont val="Times New Roman"/>
        <family val="1"/>
      </rPr>
      <t>o</t>
    </r>
    <r>
      <rPr>
        <sz val="10"/>
        <color rgb="FF000000"/>
        <rFont val="Times New Roman"/>
        <family val="1"/>
      </rPr>
      <t>v</t>
    </r>
    <r>
      <rPr>
        <sz val="10"/>
        <color rgb="FF000000"/>
        <rFont val="Times New Roman"/>
        <family val="1"/>
      </rPr>
      <t>e</t>
    </r>
    <r>
      <rPr>
        <sz val="10"/>
        <color rgb="FF000000"/>
        <rFont val="Times New Roman"/>
        <family val="1"/>
      </rPr>
      <t>r</t>
    </r>
    <r>
      <rPr>
        <sz val="10"/>
        <color rgb="FF000000"/>
        <rFont val="Times New Roman"/>
        <family val="1"/>
      </rPr>
      <t xml:space="preserve"> </t>
    </r>
    <r>
      <rPr>
        <sz val="10"/>
        <color rgb="FF000000"/>
        <rFont val="Times New Roman"/>
        <family val="1"/>
      </rPr>
      <t>f</t>
    </r>
    <r>
      <rPr>
        <sz val="10"/>
        <color rgb="FF000000"/>
        <rFont val="Times New Roman"/>
        <family val="1"/>
      </rPr>
      <t>r</t>
    </r>
    <r>
      <rPr>
        <sz val="10"/>
        <color rgb="FF000000"/>
        <rFont val="Times New Roman"/>
        <family val="1"/>
      </rPr>
      <t>o</t>
    </r>
    <r>
      <rPr>
        <sz val="10"/>
        <color rgb="FF000000"/>
        <rFont val="Times New Roman"/>
        <family val="1"/>
      </rPr>
      <t>m</t>
    </r>
    <r>
      <rPr>
        <sz val="10"/>
        <color rgb="FF000000"/>
        <rFont val="Times New Roman"/>
        <family val="1"/>
      </rPr>
      <t xml:space="preserve"> </t>
    </r>
    <r>
      <rPr>
        <sz val="10"/>
        <color rgb="FF000000"/>
        <rFont val="Times New Roman"/>
        <family val="1"/>
      </rPr>
      <t>t</t>
    </r>
    <r>
      <rPr>
        <sz val="10"/>
        <color rgb="FF000000"/>
        <rFont val="Times New Roman"/>
        <family val="1"/>
      </rPr>
      <t>h</t>
    </r>
    <r>
      <rPr>
        <sz val="10"/>
        <color rgb="FF000000"/>
        <rFont val="Times New Roman"/>
        <family val="1"/>
      </rPr>
      <t>e</t>
    </r>
    <r>
      <rPr>
        <sz val="10"/>
        <color rgb="FF000000"/>
        <rFont val="Times New Roman"/>
        <family val="1"/>
      </rPr>
      <t xml:space="preserve"> </t>
    </r>
    <r>
      <rPr>
        <sz val="10"/>
        <color rgb="FF000000"/>
        <rFont val="Times New Roman"/>
        <family val="1"/>
      </rPr>
      <t>o</t>
    </r>
    <r>
      <rPr>
        <sz val="10"/>
        <color rgb="FF000000"/>
        <rFont val="Times New Roman"/>
        <family val="1"/>
      </rPr>
      <t>p</t>
    </r>
    <r>
      <rPr>
        <sz val="10"/>
        <color rgb="FF000000"/>
        <rFont val="Times New Roman"/>
        <family val="1"/>
      </rPr>
      <t>e</t>
    </r>
    <r>
      <rPr>
        <sz val="10"/>
        <color rgb="FF000000"/>
        <rFont val="Times New Roman"/>
        <family val="1"/>
      </rPr>
      <t>r</t>
    </r>
    <r>
      <rPr>
        <sz val="10"/>
        <color rgb="FF000000"/>
        <rFont val="Times New Roman"/>
        <family val="1"/>
      </rPr>
      <t>a</t>
    </r>
    <r>
      <rPr>
        <sz val="10"/>
        <color rgb="FF000000"/>
        <rFont val="Times New Roman"/>
        <family val="1"/>
      </rPr>
      <t>t</t>
    </r>
    <r>
      <rPr>
        <sz val="10"/>
        <color rgb="FF000000"/>
        <rFont val="Times New Roman"/>
        <family val="1"/>
      </rPr>
      <t>i</t>
    </r>
    <r>
      <rPr>
        <sz val="10"/>
        <color rgb="FF000000"/>
        <rFont val="Times New Roman"/>
        <family val="1"/>
      </rPr>
      <t>o</t>
    </r>
    <r>
      <rPr>
        <sz val="10"/>
        <color rgb="FF000000"/>
        <rFont val="Times New Roman"/>
        <family val="1"/>
      </rPr>
      <t>n</t>
    </r>
    <r>
      <rPr>
        <sz val="10"/>
        <color rgb="FF000000"/>
        <rFont val="Times New Roman"/>
        <family val="1"/>
      </rPr>
      <t>s</t>
    </r>
    <r>
      <rPr>
        <sz val="10"/>
        <color rgb="FF000000"/>
        <rFont val="Times New Roman"/>
        <family val="1"/>
      </rPr>
      <t xml:space="preserve"> </t>
    </r>
    <r>
      <rPr>
        <sz val="10"/>
        <color rgb="FF000000"/>
        <rFont val="Times New Roman"/>
        <family val="1"/>
      </rPr>
      <t>o</t>
    </r>
    <r>
      <rPr>
        <sz val="10"/>
        <color rgb="FF000000"/>
        <rFont val="Times New Roman"/>
        <family val="1"/>
      </rPr>
      <t>f</t>
    </r>
    <r>
      <rPr>
        <sz val="10"/>
        <color rgb="FF000000"/>
        <rFont val="Times New Roman"/>
        <family val="1"/>
      </rPr>
      <t xml:space="preserve"> </t>
    </r>
    <r>
      <rPr>
        <sz val="10"/>
        <color rgb="FF000000"/>
        <rFont val="Times New Roman"/>
        <family val="1"/>
      </rPr>
      <t>C</t>
    </r>
    <r>
      <rPr>
        <sz val="10"/>
        <color rgb="FF000000"/>
        <rFont val="Times New Roman"/>
        <family val="1"/>
      </rPr>
      <t>l</t>
    </r>
    <r>
      <rPr>
        <sz val="10"/>
        <color rgb="FF000000"/>
        <rFont val="Times New Roman"/>
        <family val="1"/>
      </rPr>
      <t>o</t>
    </r>
    <r>
      <rPr>
        <sz val="10"/>
        <color rgb="FF000000"/>
        <rFont val="Times New Roman"/>
        <family val="1"/>
      </rPr>
      <t>u</t>
    </r>
    <r>
      <rPr>
        <sz val="10"/>
        <color rgb="FF000000"/>
        <rFont val="Times New Roman"/>
        <family val="1"/>
      </rPr>
      <t>d</t>
    </r>
    <r>
      <rPr>
        <sz val="10"/>
        <color rgb="FF000000"/>
        <rFont val="Times New Roman"/>
        <family val="1"/>
      </rPr>
      <t xml:space="preserve"> </t>
    </r>
    <r>
      <rPr>
        <sz val="10"/>
        <color rgb="FF000000"/>
        <rFont val="Times New Roman"/>
        <family val="1"/>
      </rPr>
      <t>S</t>
    </r>
    <r>
      <rPr>
        <sz val="10"/>
        <color rgb="FF000000"/>
        <rFont val="Times New Roman"/>
        <family val="1"/>
      </rPr>
      <t>e</t>
    </r>
    <r>
      <rPr>
        <sz val="10"/>
        <color rgb="FF000000"/>
        <rFont val="Times New Roman"/>
        <family val="1"/>
      </rPr>
      <t>r</t>
    </r>
    <r>
      <rPr>
        <sz val="10"/>
        <color rgb="FF000000"/>
        <rFont val="Times New Roman"/>
        <family val="1"/>
      </rPr>
      <t>v</t>
    </r>
    <r>
      <rPr>
        <sz val="10"/>
        <color rgb="FF000000"/>
        <rFont val="Times New Roman"/>
        <family val="1"/>
      </rPr>
      <t>i</t>
    </r>
    <r>
      <rPr>
        <sz val="10"/>
        <color rgb="FF000000"/>
        <rFont val="Times New Roman"/>
        <family val="1"/>
      </rPr>
      <t>c</t>
    </r>
    <r>
      <rPr>
        <sz val="10"/>
        <color rgb="FF000000"/>
        <rFont val="Times New Roman"/>
        <family val="1"/>
      </rPr>
      <t>e</t>
    </r>
    <r>
      <rPr>
        <sz val="10"/>
        <color rgb="FF000000"/>
        <rFont val="Times New Roman"/>
        <family val="1"/>
      </rPr>
      <t xml:space="preserve"> </t>
    </r>
    <r>
      <rPr>
        <sz val="10"/>
        <color rgb="FF000000"/>
        <rFont val="Times New Roman"/>
        <family val="1"/>
      </rPr>
      <t>b</t>
    </r>
    <r>
      <rPr>
        <sz val="10"/>
        <color rgb="FF000000"/>
        <rFont val="Times New Roman"/>
        <family val="1"/>
      </rPr>
      <t>u</t>
    </r>
    <r>
      <rPr>
        <sz val="10"/>
        <color rgb="FF000000"/>
        <rFont val="Times New Roman"/>
        <family val="1"/>
      </rPr>
      <t>s</t>
    </r>
    <r>
      <rPr>
        <sz val="10"/>
        <color rgb="FF000000"/>
        <rFont val="Times New Roman"/>
        <family val="1"/>
      </rPr>
      <t>i</t>
    </r>
    <r>
      <rPr>
        <sz val="10"/>
        <color rgb="FF000000"/>
        <rFont val="Times New Roman"/>
        <family val="1"/>
      </rPr>
      <t>n</t>
    </r>
    <r>
      <rPr>
        <sz val="10"/>
        <color rgb="FF000000"/>
        <rFont val="Times New Roman"/>
        <family val="1"/>
      </rPr>
      <t>e</t>
    </r>
    <r>
      <rPr>
        <sz val="10"/>
        <color rgb="FF000000"/>
        <rFont val="Times New Roman"/>
        <family val="1"/>
      </rPr>
      <t>ss</t>
    </r>
    <r>
      <rPr>
        <sz val="10"/>
        <color rgb="FF000000"/>
        <rFont val="Times New Roman"/>
        <family val="1"/>
      </rPr>
      <t>.</t>
    </r>
  </si>
  <si>
    <r>
      <rPr>
        <sz val="10"/>
        <color rgb="FF000000"/>
        <rFont val="Times New Roman"/>
        <family val="1"/>
      </rPr>
      <t>T</t>
    </r>
    <r>
      <rPr>
        <sz val="10"/>
        <color rgb="FF000000"/>
        <rFont val="Times New Roman"/>
        <family val="1"/>
      </rPr>
      <t>h</t>
    </r>
    <r>
      <rPr>
        <sz val="10"/>
        <color rgb="FF000000"/>
        <rFont val="Times New Roman"/>
        <family val="1"/>
      </rPr>
      <t>e</t>
    </r>
    <r>
      <rPr>
        <sz val="10"/>
        <color rgb="FF000000"/>
        <rFont val="Times New Roman"/>
        <family val="1"/>
      </rPr>
      <t xml:space="preserve"> </t>
    </r>
    <r>
      <rPr>
        <sz val="10"/>
        <color rgb="FF000000"/>
        <rFont val="Times New Roman"/>
        <family val="1"/>
      </rPr>
      <t>C</t>
    </r>
    <r>
      <rPr>
        <sz val="10"/>
        <color rgb="FF000000"/>
        <rFont val="Times New Roman"/>
        <family val="1"/>
      </rPr>
      <t>S</t>
    </r>
    <r>
      <rPr>
        <sz val="10"/>
        <color rgb="FF000000"/>
        <rFont val="Times New Roman"/>
        <family val="1"/>
      </rPr>
      <t>P</t>
    </r>
    <r>
      <rPr>
        <sz val="10"/>
        <color rgb="FF000000"/>
        <rFont val="Times New Roman"/>
        <family val="1"/>
      </rPr>
      <t xml:space="preserve"> </t>
    </r>
    <r>
      <rPr>
        <sz val="10"/>
        <color rgb="FF000000"/>
        <rFont val="Times New Roman"/>
        <family val="1"/>
      </rPr>
      <t xml:space="preserve"> </t>
    </r>
    <r>
      <rPr>
        <sz val="10"/>
        <color rgb="FF000000"/>
        <rFont val="Times New Roman"/>
        <family val="1"/>
      </rPr>
      <t>s</t>
    </r>
    <r>
      <rPr>
        <sz val="10"/>
        <color rgb="FF000000"/>
        <rFont val="Times New Roman"/>
        <family val="1"/>
      </rPr>
      <t>h</t>
    </r>
    <r>
      <rPr>
        <sz val="10"/>
        <color rgb="FF000000"/>
        <rFont val="Times New Roman"/>
        <family val="1"/>
      </rPr>
      <t>a</t>
    </r>
    <r>
      <rPr>
        <sz val="10"/>
        <color rgb="FF000000"/>
        <rFont val="Times New Roman"/>
        <family val="1"/>
      </rPr>
      <t>l</t>
    </r>
    <r>
      <rPr>
        <sz val="10"/>
        <color rgb="FF000000"/>
        <rFont val="Times New Roman"/>
        <family val="1"/>
      </rPr>
      <t>l</t>
    </r>
    <r>
      <rPr>
        <sz val="10"/>
        <color rgb="FF000000"/>
        <rFont val="Times New Roman"/>
        <family val="1"/>
      </rPr>
      <t xml:space="preserve"> </t>
    </r>
    <r>
      <rPr>
        <sz val="10"/>
        <color rgb="FF000000"/>
        <rFont val="Times New Roman"/>
        <family val="1"/>
      </rPr>
      <t>h</t>
    </r>
    <r>
      <rPr>
        <sz val="10"/>
        <color rgb="FF000000"/>
        <rFont val="Times New Roman"/>
        <family val="1"/>
      </rPr>
      <t>a</t>
    </r>
    <r>
      <rPr>
        <sz val="10"/>
        <color rgb="FF000000"/>
        <rFont val="Times New Roman"/>
        <family val="1"/>
      </rPr>
      <t>v</t>
    </r>
    <r>
      <rPr>
        <sz val="10"/>
        <color rgb="FF000000"/>
        <rFont val="Times New Roman"/>
        <family val="1"/>
      </rPr>
      <t>e</t>
    </r>
    <r>
      <rPr>
        <sz val="10"/>
        <color rgb="FF000000"/>
        <rFont val="Times New Roman"/>
        <family val="1"/>
      </rPr>
      <t xml:space="preserve"> </t>
    </r>
    <r>
      <rPr>
        <sz val="10"/>
        <color rgb="FF000000"/>
        <rFont val="Times New Roman"/>
        <family val="1"/>
      </rPr>
      <t xml:space="preserve"> </t>
    </r>
    <r>
      <rPr>
        <sz val="10"/>
        <color rgb="FF000000"/>
        <rFont val="Times New Roman"/>
        <family val="1"/>
      </rPr>
      <t>s</t>
    </r>
    <r>
      <rPr>
        <sz val="10"/>
        <color rgb="FF000000"/>
        <rFont val="Times New Roman"/>
        <family val="1"/>
      </rPr>
      <t>u</t>
    </r>
    <r>
      <rPr>
        <sz val="10"/>
        <color rgb="FF000000"/>
        <rFont val="Times New Roman"/>
        <family val="1"/>
      </rPr>
      <t>c</t>
    </r>
    <r>
      <rPr>
        <sz val="10"/>
        <color rgb="FF000000"/>
        <rFont val="Times New Roman"/>
        <family val="1"/>
      </rPr>
      <t>c</t>
    </r>
    <r>
      <rPr>
        <sz val="10"/>
        <color rgb="FF000000"/>
        <rFont val="Times New Roman"/>
        <family val="1"/>
      </rPr>
      <t>e</t>
    </r>
    <r>
      <rPr>
        <sz val="10"/>
        <color rgb="FF000000"/>
        <rFont val="Times New Roman"/>
        <family val="1"/>
      </rPr>
      <t>s</t>
    </r>
    <r>
      <rPr>
        <sz val="10"/>
        <color rgb="FF000000"/>
        <rFont val="Times New Roman"/>
        <family val="1"/>
      </rPr>
      <t>s</t>
    </r>
    <r>
      <rPr>
        <sz val="10"/>
        <color rgb="FF000000"/>
        <rFont val="Times New Roman"/>
        <family val="1"/>
      </rPr>
      <t>f</t>
    </r>
    <r>
      <rPr>
        <sz val="10"/>
        <color rgb="FF000000"/>
        <rFont val="Times New Roman"/>
        <family val="1"/>
      </rPr>
      <t>u</t>
    </r>
    <r>
      <rPr>
        <sz val="10"/>
        <color rgb="FF000000"/>
        <rFont val="Times New Roman"/>
        <family val="1"/>
      </rPr>
      <t>l</t>
    </r>
    <r>
      <rPr>
        <sz val="10"/>
        <color rgb="FF000000"/>
        <rFont val="Times New Roman"/>
        <family val="1"/>
      </rPr>
      <t>l</t>
    </r>
    <r>
      <rPr>
        <sz val="10"/>
        <color rgb="FF000000"/>
        <rFont val="Times New Roman"/>
        <family val="1"/>
      </rPr>
      <t>y</t>
    </r>
    <r>
      <rPr>
        <sz val="10"/>
        <color rgb="FF000000"/>
        <rFont val="Times New Roman"/>
        <family val="1"/>
      </rPr>
      <t xml:space="preserve"> </t>
    </r>
    <r>
      <rPr>
        <sz val="10"/>
        <color rgb="FF000000"/>
        <rFont val="Times New Roman"/>
        <family val="1"/>
      </rPr>
      <t>d</t>
    </r>
    <r>
      <rPr>
        <sz val="10"/>
        <color rgb="FF000000"/>
        <rFont val="Times New Roman"/>
        <family val="1"/>
      </rPr>
      <t>e</t>
    </r>
    <r>
      <rPr>
        <sz val="10"/>
        <color rgb="FF000000"/>
        <rFont val="Times New Roman"/>
        <family val="1"/>
      </rPr>
      <t>p</t>
    </r>
    <r>
      <rPr>
        <sz val="10"/>
        <color rgb="FF000000"/>
        <rFont val="Times New Roman"/>
        <family val="1"/>
      </rPr>
      <t>l</t>
    </r>
    <r>
      <rPr>
        <sz val="10"/>
        <color rgb="FF000000"/>
        <rFont val="Times New Roman"/>
        <family val="1"/>
      </rPr>
      <t>o</t>
    </r>
    <r>
      <rPr>
        <sz val="10"/>
        <color rgb="FF000000"/>
        <rFont val="Times New Roman"/>
        <family val="1"/>
      </rPr>
      <t>y</t>
    </r>
    <r>
      <rPr>
        <sz val="10"/>
        <color rgb="FF000000"/>
        <rFont val="Times New Roman"/>
        <family val="1"/>
      </rPr>
      <t>e</t>
    </r>
    <r>
      <rPr>
        <sz val="10"/>
        <color rgb="FF000000"/>
        <rFont val="Times New Roman"/>
        <family val="1"/>
      </rPr>
      <t>d</t>
    </r>
    <r>
      <rPr>
        <sz val="10"/>
        <color rgb="FF000000"/>
        <rFont val="Times New Roman"/>
        <family val="1"/>
      </rPr>
      <t xml:space="preserve"> </t>
    </r>
    <r>
      <rPr>
        <sz val="10"/>
        <color rgb="FF000000"/>
        <rFont val="Times New Roman"/>
        <family val="1"/>
      </rPr>
      <t>a</t>
    </r>
    <r>
      <rPr>
        <sz val="10"/>
        <color rgb="FF000000"/>
        <rFont val="Times New Roman"/>
        <family val="1"/>
      </rPr>
      <t>n</t>
    </r>
    <r>
      <rPr>
        <sz val="10"/>
        <color rgb="FF000000"/>
        <rFont val="Times New Roman"/>
        <family val="1"/>
      </rPr>
      <t>d</t>
    </r>
    <r>
      <rPr>
        <sz val="10"/>
        <color rgb="FF000000"/>
        <rFont val="Times New Roman"/>
        <family val="1"/>
      </rPr>
      <t xml:space="preserve"> </t>
    </r>
    <r>
      <rPr>
        <sz val="10"/>
        <color rgb="FF000000"/>
        <rFont val="Times New Roman"/>
        <family val="1"/>
      </rPr>
      <t>p</t>
    </r>
    <r>
      <rPr>
        <sz val="10"/>
        <color rgb="FF000000"/>
        <rFont val="Times New Roman"/>
        <family val="1"/>
      </rPr>
      <t>r</t>
    </r>
    <r>
      <rPr>
        <sz val="10"/>
        <color rgb="FF000000"/>
        <rFont val="Times New Roman"/>
        <family val="1"/>
      </rPr>
      <t>o</t>
    </r>
    <r>
      <rPr>
        <sz val="10"/>
        <color rgb="FF000000"/>
        <rFont val="Times New Roman"/>
        <family val="1"/>
      </rPr>
      <t>v</t>
    </r>
    <r>
      <rPr>
        <sz val="10"/>
        <color rgb="FF000000"/>
        <rFont val="Times New Roman"/>
        <family val="1"/>
      </rPr>
      <t>i</t>
    </r>
    <r>
      <rPr>
        <sz val="10"/>
        <color rgb="FF000000"/>
        <rFont val="Times New Roman"/>
        <family val="1"/>
      </rPr>
      <t>d</t>
    </r>
    <r>
      <rPr>
        <sz val="10"/>
        <color rgb="FF000000"/>
        <rFont val="Times New Roman"/>
        <family val="1"/>
      </rPr>
      <t>e</t>
    </r>
    <r>
      <rPr>
        <sz val="10"/>
        <color rgb="FF000000"/>
        <rFont val="Times New Roman"/>
        <family val="1"/>
      </rPr>
      <t>d</t>
    </r>
    <r>
      <rPr>
        <sz val="10"/>
        <color rgb="FF000000"/>
        <rFont val="Times New Roman"/>
        <family val="1"/>
      </rPr>
      <t xml:space="preserve"> </t>
    </r>
    <r>
      <rPr>
        <sz val="10"/>
        <color rgb="FF000000"/>
        <rFont val="Times New Roman"/>
        <family val="1"/>
      </rPr>
      <t>D</t>
    </r>
    <r>
      <rPr>
        <sz val="10"/>
        <color rgb="FF000000"/>
        <rFont val="Times New Roman"/>
        <family val="1"/>
      </rPr>
      <t>a</t>
    </r>
    <r>
      <rPr>
        <sz val="10"/>
        <color rgb="FF000000"/>
        <rFont val="Times New Roman"/>
        <family val="1"/>
      </rPr>
      <t>t</t>
    </r>
    <r>
      <rPr>
        <sz val="10"/>
        <color rgb="FF000000"/>
        <rFont val="Times New Roman"/>
        <family val="1"/>
      </rPr>
      <t>a</t>
    </r>
    <r>
      <rPr>
        <sz val="10"/>
        <color rgb="FF000000"/>
        <rFont val="Times New Roman"/>
        <family val="1"/>
      </rPr>
      <t xml:space="preserve"> </t>
    </r>
    <r>
      <rPr>
        <sz val="10"/>
        <color rgb="FF000000"/>
        <rFont val="Times New Roman"/>
        <family val="1"/>
      </rPr>
      <t>C</t>
    </r>
    <r>
      <rPr>
        <sz val="10"/>
        <color rgb="FF000000"/>
        <rFont val="Times New Roman"/>
        <family val="1"/>
      </rPr>
      <t>e</t>
    </r>
    <r>
      <rPr>
        <sz val="10"/>
        <color rgb="FF000000"/>
        <rFont val="Times New Roman"/>
        <family val="1"/>
      </rPr>
      <t>n</t>
    </r>
    <r>
      <rPr>
        <sz val="10"/>
        <color rgb="FF000000"/>
        <rFont val="Times New Roman"/>
        <family val="1"/>
      </rPr>
      <t>t</t>
    </r>
    <r>
      <rPr>
        <sz val="10"/>
        <color rgb="FF000000"/>
        <rFont val="Times New Roman"/>
        <family val="1"/>
      </rPr>
      <t>r</t>
    </r>
    <r>
      <rPr>
        <sz val="10"/>
        <color rgb="FF000000"/>
        <rFont val="Times New Roman"/>
        <family val="1"/>
      </rPr>
      <t>e</t>
    </r>
    <r>
      <rPr>
        <sz val="10"/>
        <color rgb="FF000000"/>
        <rFont val="Times New Roman"/>
        <family val="1"/>
      </rPr>
      <t>/</t>
    </r>
    <r>
      <rPr>
        <sz val="10"/>
        <color rgb="FF000000"/>
        <rFont val="Times New Roman"/>
        <family val="1"/>
      </rPr>
      <t xml:space="preserve"> </t>
    </r>
    <r>
      <rPr>
        <sz val="10"/>
        <color rgb="FF000000"/>
        <rFont val="Times New Roman"/>
        <family val="1"/>
      </rPr>
      <t>D</t>
    </r>
    <r>
      <rPr>
        <sz val="10"/>
        <color rgb="FF000000"/>
        <rFont val="Times New Roman"/>
        <family val="1"/>
      </rPr>
      <t>i</t>
    </r>
    <r>
      <rPr>
        <sz val="10"/>
        <color rgb="FF000000"/>
        <rFont val="Times New Roman"/>
        <family val="1"/>
      </rPr>
      <t>s</t>
    </r>
    <r>
      <rPr>
        <sz val="10"/>
        <color rgb="FF000000"/>
        <rFont val="Times New Roman"/>
        <family val="1"/>
      </rPr>
      <t>a</t>
    </r>
    <r>
      <rPr>
        <sz val="10"/>
        <color rgb="FF000000"/>
        <rFont val="Times New Roman"/>
        <family val="1"/>
      </rPr>
      <t>s</t>
    </r>
    <r>
      <rPr>
        <sz val="10"/>
        <color rgb="FF000000"/>
        <rFont val="Times New Roman"/>
        <family val="1"/>
      </rPr>
      <t>t</t>
    </r>
    <r>
      <rPr>
        <sz val="10"/>
        <color rgb="FF000000"/>
        <rFont val="Times New Roman"/>
        <family val="1"/>
      </rPr>
      <t>e</t>
    </r>
    <r>
      <rPr>
        <sz val="10"/>
        <color rgb="FF000000"/>
        <rFont val="Times New Roman"/>
        <family val="1"/>
      </rPr>
      <t>r</t>
    </r>
    <r>
      <rPr>
        <sz val="10"/>
        <color rgb="FF000000"/>
        <rFont val="Times New Roman"/>
        <family val="1"/>
      </rPr>
      <t xml:space="preserve"> </t>
    </r>
    <r>
      <rPr>
        <sz val="10"/>
        <color rgb="FF000000"/>
        <rFont val="Times New Roman"/>
        <family val="1"/>
      </rPr>
      <t>r</t>
    </r>
    <r>
      <rPr>
        <sz val="10"/>
        <color rgb="FF000000"/>
        <rFont val="Times New Roman"/>
        <family val="1"/>
      </rPr>
      <t>e</t>
    </r>
    <r>
      <rPr>
        <sz val="10"/>
        <color rgb="FF000000"/>
        <rFont val="Times New Roman"/>
        <family val="1"/>
      </rPr>
      <t>c</t>
    </r>
    <r>
      <rPr>
        <sz val="10"/>
        <color rgb="FF000000"/>
        <rFont val="Times New Roman"/>
        <family val="1"/>
      </rPr>
      <t>o</t>
    </r>
    <r>
      <rPr>
        <sz val="10"/>
        <color rgb="FF000000"/>
        <rFont val="Times New Roman"/>
        <family val="1"/>
      </rPr>
      <t>v</t>
    </r>
    <r>
      <rPr>
        <sz val="10"/>
        <color rgb="FF000000"/>
        <rFont val="Times New Roman"/>
        <family val="1"/>
      </rPr>
      <t>e</t>
    </r>
    <r>
      <rPr>
        <sz val="10"/>
        <color rgb="FF000000"/>
        <rFont val="Times New Roman"/>
        <family val="1"/>
      </rPr>
      <t>r</t>
    </r>
    <r>
      <rPr>
        <sz val="10"/>
        <color rgb="FF000000"/>
        <rFont val="Times New Roman"/>
        <family val="1"/>
      </rPr>
      <t>y</t>
    </r>
    <r>
      <rPr>
        <sz val="10"/>
        <color rgb="FF000000"/>
        <rFont val="Times New Roman"/>
        <family val="1"/>
      </rPr>
      <t>/</t>
    </r>
    <r>
      <rPr>
        <sz val="10"/>
        <color rgb="FF000000"/>
        <rFont val="Times New Roman"/>
        <family val="1"/>
      </rPr>
      <t xml:space="preserve"> </t>
    </r>
    <r>
      <rPr>
        <sz val="10"/>
        <color rgb="FF000000"/>
        <rFont val="Times New Roman"/>
        <family val="1"/>
      </rPr>
      <t>C</t>
    </r>
    <r>
      <rPr>
        <sz val="10"/>
        <color rgb="FF000000"/>
        <rFont val="Times New Roman"/>
        <family val="1"/>
      </rPr>
      <t>l</t>
    </r>
    <r>
      <rPr>
        <sz val="10"/>
        <color rgb="FF000000"/>
        <rFont val="Times New Roman"/>
        <family val="1"/>
      </rPr>
      <t>o</t>
    </r>
    <r>
      <rPr>
        <sz val="10"/>
        <color rgb="FF000000"/>
        <rFont val="Times New Roman"/>
        <family val="1"/>
      </rPr>
      <t>ud</t>
    </r>
    <r>
      <rPr>
        <sz val="10"/>
        <color rgb="FF000000"/>
        <rFont val="Times New Roman"/>
        <family val="1"/>
      </rPr>
      <t xml:space="preserve"> </t>
    </r>
    <r>
      <rPr>
        <sz val="10"/>
        <color rgb="FF000000"/>
        <rFont val="Times New Roman"/>
        <family val="1"/>
      </rPr>
      <t>S</t>
    </r>
    <r>
      <rPr>
        <sz val="10"/>
        <color rgb="FF000000"/>
        <rFont val="Times New Roman"/>
        <family val="1"/>
      </rPr>
      <t>e</t>
    </r>
    <r>
      <rPr>
        <sz val="10"/>
        <color rgb="FF000000"/>
        <rFont val="Times New Roman"/>
        <family val="1"/>
      </rPr>
      <t>r</t>
    </r>
    <r>
      <rPr>
        <sz val="10"/>
        <color rgb="FF000000"/>
        <rFont val="Times New Roman"/>
        <family val="1"/>
      </rPr>
      <t>v</t>
    </r>
    <r>
      <rPr>
        <sz val="10"/>
        <color rgb="FF000000"/>
        <rFont val="Times New Roman"/>
        <family val="1"/>
      </rPr>
      <t>i</t>
    </r>
    <r>
      <rPr>
        <sz val="10"/>
        <color rgb="FF000000"/>
        <rFont val="Times New Roman"/>
        <family val="1"/>
      </rPr>
      <t>c</t>
    </r>
    <r>
      <rPr>
        <sz val="10"/>
        <color rgb="FF000000"/>
        <rFont val="Times New Roman"/>
        <family val="1"/>
      </rPr>
      <t>e</t>
    </r>
    <r>
      <rPr>
        <sz val="10"/>
        <color rgb="FF000000"/>
        <rFont val="Times New Roman"/>
        <family val="1"/>
      </rPr>
      <t>s</t>
    </r>
    <r>
      <rPr>
        <sz val="10"/>
        <color rgb="FF000000"/>
        <rFont val="Times New Roman"/>
        <family val="1"/>
      </rPr>
      <t xml:space="preserve"> </t>
    </r>
    <r>
      <rPr>
        <sz val="10"/>
        <color rgb="FF000000"/>
        <rFont val="Times New Roman"/>
        <family val="1"/>
      </rPr>
      <t>f</t>
    </r>
    <r>
      <rPr>
        <sz val="10"/>
        <color rgb="FF000000"/>
        <rFont val="Times New Roman"/>
        <family val="1"/>
      </rPr>
      <t>o</t>
    </r>
    <r>
      <rPr>
        <sz val="10"/>
        <color rgb="FF000000"/>
        <rFont val="Times New Roman"/>
        <family val="1"/>
      </rPr>
      <t>r</t>
    </r>
    <r>
      <rPr>
        <sz val="10"/>
        <color rgb="FF000000"/>
        <rFont val="Times New Roman"/>
        <family val="1"/>
      </rPr>
      <t xml:space="preserve"> </t>
    </r>
    <r>
      <rPr>
        <sz val="10"/>
        <color rgb="FF000000"/>
        <rFont val="Times New Roman"/>
        <family val="1"/>
      </rPr>
      <t>a</t>
    </r>
    <r>
      <rPr>
        <sz val="10"/>
        <color rgb="FF000000"/>
        <rFont val="Times New Roman"/>
        <family val="1"/>
      </rPr>
      <t>n</t>
    </r>
    <r>
      <rPr>
        <sz val="10"/>
        <color rgb="FF000000"/>
        <rFont val="Times New Roman"/>
        <family val="1"/>
      </rPr>
      <t>y</t>
    </r>
    <r>
      <rPr>
        <sz val="10"/>
        <color rgb="FF000000"/>
        <rFont val="Times New Roman"/>
        <family val="1"/>
      </rPr>
      <t xml:space="preserve"> </t>
    </r>
    <r>
      <rPr>
        <sz val="10"/>
        <color rgb="FF000000"/>
        <rFont val="Times New Roman"/>
        <family val="1"/>
      </rPr>
      <t>G</t>
    </r>
    <r>
      <rPr>
        <sz val="10"/>
        <color rgb="FF000000"/>
        <rFont val="Times New Roman"/>
        <family val="1"/>
      </rPr>
      <t>o</t>
    </r>
    <r>
      <rPr>
        <sz val="10"/>
        <color rgb="FF000000"/>
        <rFont val="Times New Roman"/>
        <family val="1"/>
      </rPr>
      <t>v</t>
    </r>
    <r>
      <rPr>
        <sz val="10"/>
        <color rgb="FF000000"/>
        <rFont val="Times New Roman"/>
        <family val="1"/>
      </rPr>
      <t>t</t>
    </r>
    <r>
      <rPr>
        <sz val="10"/>
        <color rgb="FF000000"/>
        <rFont val="Times New Roman"/>
        <family val="1"/>
      </rPr>
      <t>.</t>
    </r>
    <r>
      <rPr>
        <sz val="10"/>
        <color rgb="FF000000"/>
        <rFont val="Times New Roman"/>
        <family val="1"/>
      </rPr>
      <t xml:space="preserve"> </t>
    </r>
    <r>
      <rPr>
        <sz val="10"/>
        <color rgb="FF000000"/>
        <rFont val="Times New Roman"/>
        <family val="1"/>
      </rPr>
      <t>o</t>
    </r>
    <r>
      <rPr>
        <sz val="10"/>
        <color rgb="FF000000"/>
        <rFont val="Times New Roman"/>
        <family val="1"/>
      </rPr>
      <t>r</t>
    </r>
    <r>
      <rPr>
        <sz val="10"/>
        <color rgb="FF000000"/>
        <rFont val="Times New Roman"/>
        <family val="1"/>
      </rPr>
      <t>g</t>
    </r>
    <r>
      <rPr>
        <sz val="10"/>
        <color rgb="FF000000"/>
        <rFont val="Times New Roman"/>
        <family val="1"/>
      </rPr>
      <t>a</t>
    </r>
    <r>
      <rPr>
        <sz val="10"/>
        <color rgb="FF000000"/>
        <rFont val="Times New Roman"/>
        <family val="1"/>
      </rPr>
      <t>n</t>
    </r>
    <r>
      <rPr>
        <sz val="10"/>
        <color rgb="FF000000"/>
        <rFont val="Times New Roman"/>
        <family val="1"/>
      </rPr>
      <t>i</t>
    </r>
    <r>
      <rPr>
        <sz val="10"/>
        <color rgb="FF000000"/>
        <rFont val="Times New Roman"/>
        <family val="1"/>
      </rPr>
      <t>s</t>
    </r>
    <r>
      <rPr>
        <sz val="10"/>
        <color rgb="FF000000"/>
        <rFont val="Times New Roman"/>
        <family val="1"/>
      </rPr>
      <t>a</t>
    </r>
    <r>
      <rPr>
        <sz val="10"/>
        <color rgb="FF000000"/>
        <rFont val="Times New Roman"/>
        <family val="1"/>
      </rPr>
      <t>t</t>
    </r>
    <r>
      <rPr>
        <sz val="10"/>
        <color rgb="FF000000"/>
        <rFont val="Times New Roman"/>
        <family val="1"/>
      </rPr>
      <t>i</t>
    </r>
    <r>
      <rPr>
        <sz val="10"/>
        <color rgb="FF000000"/>
        <rFont val="Times New Roman"/>
        <family val="1"/>
      </rPr>
      <t>o</t>
    </r>
    <r>
      <rPr>
        <sz val="10"/>
        <color rgb="FF000000"/>
        <rFont val="Times New Roman"/>
        <family val="1"/>
      </rPr>
      <t>n</t>
    </r>
    <r>
      <rPr>
        <sz val="10"/>
        <color rgb="FF000000"/>
        <rFont val="Times New Roman"/>
        <family val="1"/>
      </rPr>
      <t>/</t>
    </r>
    <r>
      <rPr>
        <sz val="10"/>
        <color rgb="FF000000"/>
        <rFont val="Times New Roman"/>
        <family val="1"/>
      </rPr>
      <t xml:space="preserve"> </t>
    </r>
    <r>
      <rPr>
        <sz val="10"/>
        <color rgb="FF000000"/>
        <rFont val="Times New Roman"/>
        <family val="1"/>
      </rPr>
      <t xml:space="preserve"> </t>
    </r>
    <r>
      <rPr>
        <sz val="10"/>
        <color rgb="FF000000"/>
        <rFont val="Times New Roman"/>
        <family val="1"/>
      </rPr>
      <t>P</t>
    </r>
    <r>
      <rPr>
        <sz val="10"/>
        <color rgb="FF000000"/>
        <rFont val="Times New Roman"/>
        <family val="1"/>
      </rPr>
      <t>S</t>
    </r>
    <r>
      <rPr>
        <sz val="10"/>
        <color rgb="FF000000"/>
        <rFont val="Times New Roman"/>
        <family val="1"/>
      </rPr>
      <t>U</t>
    </r>
    <r>
      <rPr>
        <sz val="10"/>
        <color rgb="FF000000"/>
        <rFont val="Times New Roman"/>
        <family val="1"/>
      </rPr>
      <t xml:space="preserve"> </t>
    </r>
    <r>
      <rPr>
        <sz val="10"/>
        <color rgb="FF000000"/>
        <rFont val="Times New Roman"/>
        <family val="1"/>
      </rPr>
      <t>i</t>
    </r>
    <r>
      <rPr>
        <sz val="10"/>
        <color rgb="FF000000"/>
        <rFont val="Times New Roman"/>
        <family val="1"/>
      </rPr>
      <t>n</t>
    </r>
    <r>
      <rPr>
        <sz val="10"/>
        <color rgb="FF000000"/>
        <rFont val="Times New Roman"/>
        <family val="1"/>
      </rPr>
      <t xml:space="preserve"> </t>
    </r>
    <r>
      <rPr>
        <sz val="10"/>
        <color rgb="FF000000"/>
        <rFont val="Times New Roman"/>
        <family val="1"/>
      </rPr>
      <t xml:space="preserve"> </t>
    </r>
    <r>
      <rPr>
        <sz val="10"/>
        <color rgb="FF000000"/>
        <rFont val="Times New Roman"/>
        <family val="1"/>
      </rPr>
      <t>I</t>
    </r>
    <r>
      <rPr>
        <sz val="10"/>
        <color rgb="FF000000"/>
        <rFont val="Times New Roman"/>
        <family val="1"/>
      </rPr>
      <t>n</t>
    </r>
    <r>
      <rPr>
        <sz val="10"/>
        <color rgb="FF000000"/>
        <rFont val="Times New Roman"/>
        <family val="1"/>
      </rPr>
      <t>d</t>
    </r>
    <r>
      <rPr>
        <sz val="10"/>
        <color rgb="FF000000"/>
        <rFont val="Times New Roman"/>
        <family val="1"/>
      </rPr>
      <t>i</t>
    </r>
    <r>
      <rPr>
        <sz val="10"/>
        <color rgb="FF000000"/>
        <rFont val="Times New Roman"/>
        <family val="1"/>
      </rPr>
      <t>a</t>
    </r>
    <r>
      <rPr>
        <sz val="10"/>
        <color rgb="FF000000"/>
        <rFont val="Times New Roman"/>
        <family val="1"/>
      </rPr>
      <t xml:space="preserve"> </t>
    </r>
    <r>
      <rPr>
        <sz val="10"/>
        <color rgb="FF000000"/>
        <rFont val="Times New Roman"/>
        <family val="1"/>
      </rPr>
      <t xml:space="preserve"> </t>
    </r>
    <r>
      <rPr>
        <sz val="10"/>
        <color rgb="FF000000"/>
        <rFont val="Times New Roman"/>
        <family val="1"/>
      </rPr>
      <t>w</t>
    </r>
    <r>
      <rPr>
        <sz val="10"/>
        <color rgb="FF000000"/>
        <rFont val="Times New Roman"/>
        <family val="1"/>
      </rPr>
      <t>i</t>
    </r>
    <r>
      <rPr>
        <sz val="10"/>
        <color rgb="FF000000"/>
        <rFont val="Times New Roman"/>
        <family val="1"/>
      </rPr>
      <t>t</t>
    </r>
    <r>
      <rPr>
        <sz val="10"/>
        <color rgb="FF000000"/>
        <rFont val="Times New Roman"/>
        <family val="1"/>
      </rPr>
      <t>h</t>
    </r>
    <r>
      <rPr>
        <sz val="10"/>
        <color rgb="FF000000"/>
        <rFont val="Times New Roman"/>
        <family val="1"/>
      </rPr>
      <t>i</t>
    </r>
    <r>
      <rPr>
        <sz val="10"/>
        <color rgb="FF000000"/>
        <rFont val="Times New Roman"/>
        <family val="1"/>
      </rPr>
      <t>n</t>
    </r>
    <r>
      <rPr>
        <sz val="10"/>
        <color rgb="FF000000"/>
        <rFont val="Times New Roman"/>
        <family val="1"/>
      </rPr>
      <t xml:space="preserve"> </t>
    </r>
    <r>
      <rPr>
        <sz val="10"/>
        <color rgb="FF000000"/>
        <rFont val="Times New Roman"/>
        <family val="1"/>
      </rPr>
      <t xml:space="preserve"> </t>
    </r>
    <r>
      <rPr>
        <sz val="10"/>
        <color rgb="FF000000"/>
        <rFont val="Times New Roman"/>
        <family val="1"/>
      </rPr>
      <t>l</t>
    </r>
    <r>
      <rPr>
        <sz val="10"/>
        <color rgb="FF000000"/>
        <rFont val="Times New Roman"/>
        <family val="1"/>
      </rPr>
      <t>a</t>
    </r>
    <r>
      <rPr>
        <sz val="10"/>
        <color rgb="FF000000"/>
        <rFont val="Times New Roman"/>
        <family val="1"/>
      </rPr>
      <t>s</t>
    </r>
    <r>
      <rPr>
        <sz val="10"/>
        <color rgb="FF000000"/>
        <rFont val="Times New Roman"/>
        <family val="1"/>
      </rPr>
      <t>t</t>
    </r>
    <r>
      <rPr>
        <sz val="10"/>
        <color rgb="FF000000"/>
        <rFont val="Times New Roman"/>
        <family val="1"/>
      </rPr>
      <t xml:space="preserve"> </t>
    </r>
    <r>
      <rPr>
        <sz val="10"/>
        <color rgb="FF000000"/>
        <rFont val="Times New Roman"/>
        <family val="1"/>
      </rPr>
      <t xml:space="preserve"> </t>
    </r>
    <r>
      <rPr>
        <sz val="10"/>
        <color rgb="FF000000"/>
        <rFont val="Times New Roman"/>
        <family val="1"/>
      </rPr>
      <t xml:space="preserve">7
</t>
    </r>
    <r>
      <rPr>
        <sz val="10"/>
        <color rgb="FF000000"/>
        <rFont val="Times New Roman"/>
        <family val="1"/>
      </rPr>
      <t>Y</t>
    </r>
    <r>
      <rPr>
        <sz val="10"/>
        <color rgb="FF000000"/>
        <rFont val="Times New Roman"/>
        <family val="1"/>
      </rPr>
      <t>e</t>
    </r>
    <r>
      <rPr>
        <sz val="10"/>
        <color rgb="FF000000"/>
        <rFont val="Times New Roman"/>
        <family val="1"/>
      </rPr>
      <t>a</t>
    </r>
    <r>
      <rPr>
        <sz val="10"/>
        <color rgb="FF000000"/>
        <rFont val="Times New Roman"/>
        <family val="1"/>
      </rPr>
      <t>r</t>
    </r>
    <r>
      <rPr>
        <sz val="10"/>
        <color rgb="FF000000"/>
        <rFont val="Times New Roman"/>
        <family val="1"/>
      </rPr>
      <t>s</t>
    </r>
    <r>
      <rPr>
        <sz val="10"/>
        <color rgb="FF000000"/>
        <rFont val="Times New Roman"/>
        <family val="1"/>
      </rPr>
      <t xml:space="preserve"> </t>
    </r>
    <r>
      <rPr>
        <sz val="10"/>
        <color rgb="FF000000"/>
        <rFont val="Times New Roman"/>
        <family val="1"/>
      </rPr>
      <t>w</t>
    </r>
    <r>
      <rPr>
        <sz val="10"/>
        <color rgb="FF000000"/>
        <rFont val="Times New Roman"/>
        <family val="1"/>
      </rPr>
      <t>i</t>
    </r>
    <r>
      <rPr>
        <sz val="10"/>
        <color rgb="FF000000"/>
        <rFont val="Times New Roman"/>
        <family val="1"/>
      </rPr>
      <t>t</t>
    </r>
    <r>
      <rPr>
        <sz val="10"/>
        <color rgb="FF000000"/>
        <rFont val="Times New Roman"/>
        <family val="1"/>
      </rPr>
      <t>h</t>
    </r>
    <r>
      <rPr>
        <sz val="10"/>
        <color rgb="FF000000"/>
        <rFont val="Times New Roman"/>
        <family val="1"/>
      </rPr>
      <t xml:space="preserve"> </t>
    </r>
    <r>
      <rPr>
        <sz val="10"/>
        <color rgb="FF000000"/>
        <rFont val="Times New Roman"/>
        <family val="1"/>
      </rPr>
      <t>c</t>
    </r>
    <r>
      <rPr>
        <sz val="10"/>
        <color rgb="FF000000"/>
        <rFont val="Times New Roman"/>
        <family val="1"/>
      </rPr>
      <t>o</t>
    </r>
    <r>
      <rPr>
        <sz val="10"/>
        <color rgb="FF000000"/>
        <rFont val="Times New Roman"/>
        <family val="1"/>
      </rPr>
      <t>m</t>
    </r>
    <r>
      <rPr>
        <sz val="10"/>
        <color rgb="FF000000"/>
        <rFont val="Times New Roman"/>
        <family val="1"/>
      </rPr>
      <t>b</t>
    </r>
    <r>
      <rPr>
        <sz val="10"/>
        <color rgb="FF000000"/>
        <rFont val="Times New Roman"/>
        <family val="1"/>
      </rPr>
      <t>i</t>
    </r>
    <r>
      <rPr>
        <sz val="10"/>
        <color rgb="FF000000"/>
        <rFont val="Times New Roman"/>
        <family val="1"/>
      </rPr>
      <t>n</t>
    </r>
    <r>
      <rPr>
        <sz val="10"/>
        <color rgb="FF000000"/>
        <rFont val="Times New Roman"/>
        <family val="1"/>
      </rPr>
      <t>e</t>
    </r>
    <r>
      <rPr>
        <sz val="10"/>
        <color rgb="FF000000"/>
        <rFont val="Times New Roman"/>
        <family val="1"/>
      </rPr>
      <t>d</t>
    </r>
    <r>
      <rPr>
        <sz val="10"/>
        <color rgb="FF000000"/>
        <rFont val="Times New Roman"/>
        <family val="1"/>
      </rPr>
      <t xml:space="preserve"> </t>
    </r>
    <r>
      <rPr>
        <sz val="10"/>
        <color rgb="FF000000"/>
        <rFont val="Times New Roman"/>
        <family val="1"/>
      </rPr>
      <t>p</t>
    </r>
    <r>
      <rPr>
        <sz val="10"/>
        <color rgb="FF000000"/>
        <rFont val="Times New Roman"/>
        <family val="1"/>
      </rPr>
      <t>r</t>
    </r>
    <r>
      <rPr>
        <sz val="10"/>
        <color rgb="FF000000"/>
        <rFont val="Times New Roman"/>
        <family val="1"/>
      </rPr>
      <t>o</t>
    </r>
    <r>
      <rPr>
        <sz val="10"/>
        <color rgb="FF000000"/>
        <rFont val="Times New Roman"/>
        <family val="1"/>
      </rPr>
      <t>j</t>
    </r>
    <r>
      <rPr>
        <sz val="10"/>
        <color rgb="FF000000"/>
        <rFont val="Times New Roman"/>
        <family val="1"/>
      </rPr>
      <t>e</t>
    </r>
    <r>
      <rPr>
        <sz val="10"/>
        <color rgb="FF000000"/>
        <rFont val="Times New Roman"/>
        <family val="1"/>
      </rPr>
      <t>c</t>
    </r>
    <r>
      <rPr>
        <sz val="10"/>
        <color rgb="FF000000"/>
        <rFont val="Times New Roman"/>
        <family val="1"/>
      </rPr>
      <t>t</t>
    </r>
    <r>
      <rPr>
        <sz val="10"/>
        <color rgb="FF000000"/>
        <rFont val="Times New Roman"/>
        <family val="1"/>
      </rPr>
      <t xml:space="preserve"> </t>
    </r>
    <r>
      <rPr>
        <sz val="10"/>
        <color rgb="FF000000"/>
        <rFont val="Times New Roman"/>
        <family val="1"/>
      </rPr>
      <t>v</t>
    </r>
    <r>
      <rPr>
        <sz val="10"/>
        <color rgb="FF000000"/>
        <rFont val="Times New Roman"/>
        <family val="1"/>
      </rPr>
      <t>a</t>
    </r>
    <r>
      <rPr>
        <sz val="10"/>
        <color rgb="FF000000"/>
        <rFont val="Times New Roman"/>
        <family val="1"/>
      </rPr>
      <t>l</t>
    </r>
    <r>
      <rPr>
        <sz val="10"/>
        <color rgb="FF000000"/>
        <rFont val="Times New Roman"/>
        <family val="1"/>
      </rPr>
      <t>u</t>
    </r>
    <r>
      <rPr>
        <sz val="10"/>
        <color rgb="FF000000"/>
        <rFont val="Times New Roman"/>
        <family val="1"/>
      </rPr>
      <t>e</t>
    </r>
    <r>
      <rPr>
        <sz val="10"/>
        <color rgb="FF000000"/>
        <rFont val="Times New Roman"/>
        <family val="1"/>
      </rPr>
      <t xml:space="preserve"> </t>
    </r>
    <r>
      <rPr>
        <sz val="10"/>
        <color rgb="FF000000"/>
        <rFont val="Times New Roman"/>
        <family val="1"/>
      </rPr>
      <t>o</t>
    </r>
    <r>
      <rPr>
        <sz val="10"/>
        <color rgb="FF000000"/>
        <rFont val="Times New Roman"/>
        <family val="1"/>
      </rPr>
      <t>f</t>
    </r>
    <r>
      <rPr>
        <sz val="10"/>
        <color rgb="FF000000"/>
        <rFont val="Times New Roman"/>
        <family val="1"/>
      </rPr>
      <t>:</t>
    </r>
  </si>
  <si>
    <r>
      <rPr>
        <sz val="10"/>
        <color rgb="FF000000"/>
        <rFont val="Times New Roman"/>
        <family val="1"/>
      </rPr>
      <t>C</t>
    </r>
    <r>
      <rPr>
        <sz val="10"/>
        <color rgb="FF000000"/>
        <rFont val="Times New Roman"/>
        <family val="1"/>
      </rPr>
      <t>o</t>
    </r>
    <r>
      <rPr>
        <sz val="10"/>
        <color rgb="FF000000"/>
        <rFont val="Times New Roman"/>
        <family val="1"/>
      </rPr>
      <t>p</t>
    </r>
    <r>
      <rPr>
        <sz val="10"/>
        <color rgb="FF000000"/>
        <rFont val="Times New Roman"/>
        <family val="1"/>
      </rPr>
      <t>y</t>
    </r>
    <r>
      <rPr>
        <sz val="10"/>
        <color rgb="FF000000"/>
        <rFont val="Times New Roman"/>
        <family val="1"/>
      </rPr>
      <t xml:space="preserve">       </t>
    </r>
    <r>
      <rPr>
        <sz val="10"/>
        <color rgb="FF000000"/>
        <rFont val="Times New Roman"/>
        <family val="1"/>
      </rPr>
      <t xml:space="preserve"> </t>
    </r>
    <r>
      <rPr>
        <sz val="10"/>
        <color rgb="FF000000"/>
        <rFont val="Times New Roman"/>
        <family val="1"/>
      </rPr>
      <t>o</t>
    </r>
    <r>
      <rPr>
        <sz val="10"/>
        <color rgb="FF000000"/>
        <rFont val="Times New Roman"/>
        <family val="1"/>
      </rPr>
      <t>f</t>
    </r>
    <r>
      <rPr>
        <sz val="10"/>
        <color rgb="FF000000"/>
        <rFont val="Times New Roman"/>
        <family val="1"/>
      </rPr>
      <t xml:space="preserve">       </t>
    </r>
    <r>
      <rPr>
        <sz val="10"/>
        <color rgb="FF000000"/>
        <rFont val="Times New Roman"/>
        <family val="1"/>
      </rPr>
      <t xml:space="preserve"> </t>
    </r>
    <r>
      <rPr>
        <sz val="10"/>
        <color rgb="FF000000"/>
        <rFont val="Times New Roman"/>
        <family val="1"/>
      </rPr>
      <t>W</t>
    </r>
    <r>
      <rPr>
        <sz val="10"/>
        <color rgb="FF000000"/>
        <rFont val="Times New Roman"/>
        <family val="1"/>
      </rPr>
      <t>o</t>
    </r>
    <r>
      <rPr>
        <sz val="10"/>
        <color rgb="FF000000"/>
        <rFont val="Times New Roman"/>
        <family val="1"/>
      </rPr>
      <t>r</t>
    </r>
    <r>
      <rPr>
        <sz val="10"/>
        <color rgb="FF000000"/>
        <rFont val="Times New Roman"/>
        <family val="1"/>
      </rPr>
      <t>k</t>
    </r>
    <r>
      <rPr>
        <sz val="10"/>
        <color rgb="FF000000"/>
        <rFont val="Times New Roman"/>
        <family val="1"/>
      </rPr>
      <t xml:space="preserve">      </t>
    </r>
    <r>
      <rPr>
        <sz val="10"/>
        <color rgb="FF000000"/>
        <rFont val="Times New Roman"/>
        <family val="1"/>
      </rPr>
      <t xml:space="preserve"> </t>
    </r>
    <r>
      <rPr>
        <sz val="10"/>
        <color rgb="FF000000"/>
        <rFont val="Times New Roman"/>
        <family val="1"/>
      </rPr>
      <t>o</t>
    </r>
    <r>
      <rPr>
        <sz val="10"/>
        <color rgb="FF000000"/>
        <rFont val="Times New Roman"/>
        <family val="1"/>
      </rPr>
      <t>r</t>
    </r>
    <r>
      <rPr>
        <sz val="10"/>
        <color rgb="FF000000"/>
        <rFont val="Times New Roman"/>
        <family val="1"/>
      </rPr>
      <t>d</t>
    </r>
    <r>
      <rPr>
        <sz val="10"/>
        <color rgb="FF000000"/>
        <rFont val="Times New Roman"/>
        <family val="1"/>
      </rPr>
      <t>e</t>
    </r>
    <r>
      <rPr>
        <sz val="10"/>
        <color rgb="FF000000"/>
        <rFont val="Times New Roman"/>
        <family val="1"/>
      </rPr>
      <t>r</t>
    </r>
    <r>
      <rPr>
        <sz val="10"/>
        <color rgb="FF000000"/>
        <rFont val="Times New Roman"/>
        <family val="1"/>
      </rPr>
      <t>s</t>
    </r>
    <r>
      <rPr>
        <sz val="10"/>
        <color rgb="FF000000"/>
        <rFont val="Times New Roman"/>
        <family val="1"/>
      </rPr>
      <t>/</t>
    </r>
    <r>
      <rPr>
        <sz val="10"/>
        <color rgb="FF000000"/>
        <rFont val="Times New Roman"/>
        <family val="1"/>
      </rPr>
      <t>C</t>
    </r>
    <r>
      <rPr>
        <sz val="10"/>
        <color rgb="FF000000"/>
        <rFont val="Times New Roman"/>
        <family val="1"/>
      </rPr>
      <t>li</t>
    </r>
    <r>
      <rPr>
        <sz val="10"/>
        <color rgb="FF000000"/>
        <rFont val="Times New Roman"/>
        <family val="1"/>
      </rPr>
      <t>e</t>
    </r>
    <r>
      <rPr>
        <sz val="10"/>
        <color rgb="FF000000"/>
        <rFont val="Times New Roman"/>
        <family val="1"/>
      </rPr>
      <t>n</t>
    </r>
    <r>
      <rPr>
        <sz val="10"/>
        <color rgb="FF000000"/>
        <rFont val="Times New Roman"/>
        <family val="1"/>
      </rPr>
      <t xml:space="preserve">t
</t>
    </r>
    <r>
      <rPr>
        <sz val="10"/>
        <color rgb="FF000000"/>
        <rFont val="Times New Roman"/>
        <family val="1"/>
      </rPr>
      <t>C</t>
    </r>
    <r>
      <rPr>
        <sz val="10"/>
        <color rgb="FF000000"/>
        <rFont val="Times New Roman"/>
        <family val="1"/>
      </rPr>
      <t>e</t>
    </r>
    <r>
      <rPr>
        <sz val="10"/>
        <color rgb="FF000000"/>
        <rFont val="Times New Roman"/>
        <family val="1"/>
      </rPr>
      <t>r</t>
    </r>
    <r>
      <rPr>
        <sz val="10"/>
        <color rgb="FF000000"/>
        <rFont val="Times New Roman"/>
        <family val="1"/>
      </rPr>
      <t>t</t>
    </r>
    <r>
      <rPr>
        <sz val="10"/>
        <color rgb="FF000000"/>
        <rFont val="Times New Roman"/>
        <family val="1"/>
      </rPr>
      <t>i</t>
    </r>
    <r>
      <rPr>
        <sz val="10"/>
        <color rgb="FF000000"/>
        <rFont val="Times New Roman"/>
        <family val="1"/>
      </rPr>
      <t>f</t>
    </r>
    <r>
      <rPr>
        <sz val="10"/>
        <color rgb="FF000000"/>
        <rFont val="Times New Roman"/>
        <family val="1"/>
      </rPr>
      <t>i</t>
    </r>
    <r>
      <rPr>
        <sz val="10"/>
        <color rgb="FF000000"/>
        <rFont val="Times New Roman"/>
        <family val="1"/>
      </rPr>
      <t>c</t>
    </r>
    <r>
      <rPr>
        <sz val="10"/>
        <color rgb="FF000000"/>
        <rFont val="Times New Roman"/>
        <family val="1"/>
      </rPr>
      <t>a</t>
    </r>
    <r>
      <rPr>
        <sz val="10"/>
        <color rgb="FF000000"/>
        <rFont val="Times New Roman"/>
        <family val="1"/>
      </rPr>
      <t>t</t>
    </r>
    <r>
      <rPr>
        <sz val="10"/>
        <color rgb="FF000000"/>
        <rFont val="Times New Roman"/>
        <family val="1"/>
      </rPr>
      <t>e</t>
    </r>
    <r>
      <rPr>
        <sz val="10"/>
        <color rgb="FF000000"/>
        <rFont val="Times New Roman"/>
        <family val="1"/>
      </rPr>
      <t>/</t>
    </r>
    <r>
      <rPr>
        <sz val="10"/>
        <color rgb="FF000000"/>
        <rFont val="Times New Roman"/>
        <family val="1"/>
      </rPr>
      <t>A</t>
    </r>
    <r>
      <rPr>
        <sz val="10"/>
        <color rgb="FF000000"/>
        <rFont val="Times New Roman"/>
        <family val="1"/>
      </rPr>
      <t>g</t>
    </r>
    <r>
      <rPr>
        <sz val="10"/>
        <color rgb="FF000000"/>
        <rFont val="Times New Roman"/>
        <family val="1"/>
      </rPr>
      <t>r</t>
    </r>
    <r>
      <rPr>
        <sz val="10"/>
        <color rgb="FF000000"/>
        <rFont val="Times New Roman"/>
        <family val="1"/>
      </rPr>
      <t>e</t>
    </r>
    <r>
      <rPr>
        <sz val="10"/>
        <color rgb="FF000000"/>
        <rFont val="Times New Roman"/>
        <family val="1"/>
      </rPr>
      <t>e</t>
    </r>
    <r>
      <rPr>
        <sz val="10"/>
        <color rgb="FF000000"/>
        <rFont val="Times New Roman"/>
        <family val="1"/>
      </rPr>
      <t>m</t>
    </r>
    <r>
      <rPr>
        <sz val="10"/>
        <color rgb="FF000000"/>
        <rFont val="Times New Roman"/>
        <family val="1"/>
      </rPr>
      <t>e</t>
    </r>
    <r>
      <rPr>
        <sz val="10"/>
        <color rgb="FF000000"/>
        <rFont val="Times New Roman"/>
        <family val="1"/>
      </rPr>
      <t>n</t>
    </r>
    <r>
      <rPr>
        <sz val="10"/>
        <color rgb="FF000000"/>
        <rFont val="Times New Roman"/>
        <family val="1"/>
      </rPr>
      <t>t</t>
    </r>
  </si>
  <si>
    <t>5 Crores to &lt; 10 Crores – 5 Marks</t>
  </si>
  <si>
    <t>10 Crores to &lt;= 15 Crores – 7 Marks</t>
  </si>
  <si>
    <t>&gt;15 Crores – 10 Marks</t>
  </si>
  <si>
    <r>
      <rPr>
        <sz val="10"/>
        <color rgb="FF000000"/>
        <rFont val="Times New Roman"/>
        <family val="1"/>
      </rPr>
      <t>T</t>
    </r>
    <r>
      <rPr>
        <sz val="10"/>
        <color rgb="FF000000"/>
        <rFont val="Times New Roman"/>
        <family val="1"/>
      </rPr>
      <t>h</t>
    </r>
    <r>
      <rPr>
        <sz val="10"/>
        <color rgb="FF000000"/>
        <rFont val="Times New Roman"/>
        <family val="1"/>
      </rPr>
      <t>e</t>
    </r>
    <r>
      <rPr>
        <sz val="10"/>
        <color rgb="FF000000"/>
        <rFont val="Times New Roman"/>
        <family val="1"/>
      </rPr>
      <t xml:space="preserve"> </t>
    </r>
    <r>
      <rPr>
        <sz val="10"/>
        <color rgb="FF000000"/>
        <rFont val="Times New Roman"/>
        <family val="1"/>
      </rPr>
      <t>C</t>
    </r>
    <r>
      <rPr>
        <sz val="10"/>
        <color rgb="FF000000"/>
        <rFont val="Times New Roman"/>
        <family val="1"/>
      </rPr>
      <t>S</t>
    </r>
    <r>
      <rPr>
        <sz val="10"/>
        <color rgb="FF000000"/>
        <rFont val="Times New Roman"/>
        <family val="1"/>
      </rPr>
      <t>P</t>
    </r>
    <r>
      <rPr>
        <sz val="10"/>
        <color rgb="FF000000"/>
        <rFont val="Times New Roman"/>
        <family val="1"/>
      </rPr>
      <t xml:space="preserve"> </t>
    </r>
    <r>
      <rPr>
        <sz val="10"/>
        <color rgb="FF000000"/>
        <rFont val="Times New Roman"/>
        <family val="1"/>
      </rPr>
      <t xml:space="preserve"> </t>
    </r>
    <r>
      <rPr>
        <sz val="10"/>
        <color rgb="FF000000"/>
        <rFont val="Times New Roman"/>
        <family val="1"/>
      </rPr>
      <t>s</t>
    </r>
    <r>
      <rPr>
        <sz val="10"/>
        <color rgb="FF000000"/>
        <rFont val="Times New Roman"/>
        <family val="1"/>
      </rPr>
      <t>h</t>
    </r>
    <r>
      <rPr>
        <sz val="10"/>
        <color rgb="FF000000"/>
        <rFont val="Times New Roman"/>
        <family val="1"/>
      </rPr>
      <t>a</t>
    </r>
    <r>
      <rPr>
        <sz val="10"/>
        <color rgb="FF000000"/>
        <rFont val="Times New Roman"/>
        <family val="1"/>
      </rPr>
      <t>l</t>
    </r>
    <r>
      <rPr>
        <sz val="10"/>
        <color rgb="FF000000"/>
        <rFont val="Times New Roman"/>
        <family val="1"/>
      </rPr>
      <t>l</t>
    </r>
    <r>
      <rPr>
        <sz val="10"/>
        <color rgb="FF000000"/>
        <rFont val="Times New Roman"/>
        <family val="1"/>
      </rPr>
      <t xml:space="preserve"> </t>
    </r>
    <r>
      <rPr>
        <sz val="10"/>
        <color rgb="FF000000"/>
        <rFont val="Times New Roman"/>
        <family val="1"/>
      </rPr>
      <t>h</t>
    </r>
    <r>
      <rPr>
        <sz val="10"/>
        <color rgb="FF000000"/>
        <rFont val="Times New Roman"/>
        <family val="1"/>
      </rPr>
      <t>a</t>
    </r>
    <r>
      <rPr>
        <sz val="10"/>
        <color rgb="FF000000"/>
        <rFont val="Times New Roman"/>
        <family val="1"/>
      </rPr>
      <t>v</t>
    </r>
    <r>
      <rPr>
        <sz val="10"/>
        <color rgb="FF000000"/>
        <rFont val="Times New Roman"/>
        <family val="1"/>
      </rPr>
      <t>e</t>
    </r>
    <r>
      <rPr>
        <sz val="10"/>
        <color rgb="FF000000"/>
        <rFont val="Times New Roman"/>
        <family val="1"/>
      </rPr>
      <t xml:space="preserve"> </t>
    </r>
    <r>
      <rPr>
        <sz val="10"/>
        <color rgb="FF000000"/>
        <rFont val="Times New Roman"/>
        <family val="1"/>
      </rPr>
      <t xml:space="preserve"> </t>
    </r>
    <r>
      <rPr>
        <sz val="10"/>
        <color rgb="FF000000"/>
        <rFont val="Times New Roman"/>
        <family val="1"/>
      </rPr>
      <t>s</t>
    </r>
    <r>
      <rPr>
        <sz val="10"/>
        <color rgb="FF000000"/>
        <rFont val="Times New Roman"/>
        <family val="1"/>
      </rPr>
      <t>u</t>
    </r>
    <r>
      <rPr>
        <sz val="10"/>
        <color rgb="FF000000"/>
        <rFont val="Times New Roman"/>
        <family val="1"/>
      </rPr>
      <t>c</t>
    </r>
    <r>
      <rPr>
        <sz val="10"/>
        <color rgb="FF000000"/>
        <rFont val="Times New Roman"/>
        <family val="1"/>
      </rPr>
      <t>c</t>
    </r>
    <r>
      <rPr>
        <sz val="10"/>
        <color rgb="FF000000"/>
        <rFont val="Times New Roman"/>
        <family val="1"/>
      </rPr>
      <t>e</t>
    </r>
    <r>
      <rPr>
        <sz val="10"/>
        <color rgb="FF000000"/>
        <rFont val="Times New Roman"/>
        <family val="1"/>
      </rPr>
      <t>s</t>
    </r>
    <r>
      <rPr>
        <sz val="10"/>
        <color rgb="FF000000"/>
        <rFont val="Times New Roman"/>
        <family val="1"/>
      </rPr>
      <t>s</t>
    </r>
    <r>
      <rPr>
        <sz val="10"/>
        <color rgb="FF000000"/>
        <rFont val="Times New Roman"/>
        <family val="1"/>
      </rPr>
      <t>f</t>
    </r>
    <r>
      <rPr>
        <sz val="10"/>
        <color rgb="FF000000"/>
        <rFont val="Times New Roman"/>
        <family val="1"/>
      </rPr>
      <t>u</t>
    </r>
    <r>
      <rPr>
        <sz val="10"/>
        <color rgb="FF000000"/>
        <rFont val="Times New Roman"/>
        <family val="1"/>
      </rPr>
      <t>l</t>
    </r>
    <r>
      <rPr>
        <sz val="10"/>
        <color rgb="FF000000"/>
        <rFont val="Times New Roman"/>
        <family val="1"/>
      </rPr>
      <t>l</t>
    </r>
    <r>
      <rPr>
        <sz val="10"/>
        <color rgb="FF000000"/>
        <rFont val="Times New Roman"/>
        <family val="1"/>
      </rPr>
      <t>y</t>
    </r>
    <r>
      <rPr>
        <sz val="10"/>
        <color rgb="FF000000"/>
        <rFont val="Times New Roman"/>
        <family val="1"/>
      </rPr>
      <t xml:space="preserve"> </t>
    </r>
    <r>
      <rPr>
        <sz val="10"/>
        <color rgb="FF000000"/>
        <rFont val="Times New Roman"/>
        <family val="1"/>
      </rPr>
      <t>d</t>
    </r>
    <r>
      <rPr>
        <sz val="10"/>
        <color rgb="FF000000"/>
        <rFont val="Times New Roman"/>
        <family val="1"/>
      </rPr>
      <t>e</t>
    </r>
    <r>
      <rPr>
        <sz val="10"/>
        <color rgb="FF000000"/>
        <rFont val="Times New Roman"/>
        <family val="1"/>
      </rPr>
      <t>p</t>
    </r>
    <r>
      <rPr>
        <sz val="10"/>
        <color rgb="FF000000"/>
        <rFont val="Times New Roman"/>
        <family val="1"/>
      </rPr>
      <t>l</t>
    </r>
    <r>
      <rPr>
        <sz val="10"/>
        <color rgb="FF000000"/>
        <rFont val="Times New Roman"/>
        <family val="1"/>
      </rPr>
      <t>o</t>
    </r>
    <r>
      <rPr>
        <sz val="10"/>
        <color rgb="FF000000"/>
        <rFont val="Times New Roman"/>
        <family val="1"/>
      </rPr>
      <t>y</t>
    </r>
    <r>
      <rPr>
        <sz val="10"/>
        <color rgb="FF000000"/>
        <rFont val="Times New Roman"/>
        <family val="1"/>
      </rPr>
      <t>e</t>
    </r>
    <r>
      <rPr>
        <sz val="10"/>
        <color rgb="FF000000"/>
        <rFont val="Times New Roman"/>
        <family val="1"/>
      </rPr>
      <t>d</t>
    </r>
    <r>
      <rPr>
        <sz val="10"/>
        <color rgb="FF000000"/>
        <rFont val="Times New Roman"/>
        <family val="1"/>
      </rPr>
      <t xml:space="preserve"> </t>
    </r>
    <r>
      <rPr>
        <sz val="10"/>
        <color rgb="FF000000"/>
        <rFont val="Times New Roman"/>
        <family val="1"/>
      </rPr>
      <t>a</t>
    </r>
    <r>
      <rPr>
        <sz val="10"/>
        <color rgb="FF000000"/>
        <rFont val="Times New Roman"/>
        <family val="1"/>
      </rPr>
      <t>n</t>
    </r>
    <r>
      <rPr>
        <sz val="10"/>
        <color rgb="FF000000"/>
        <rFont val="Times New Roman"/>
        <family val="1"/>
      </rPr>
      <t>d</t>
    </r>
    <r>
      <rPr>
        <sz val="10"/>
        <color rgb="FF000000"/>
        <rFont val="Times New Roman"/>
        <family val="1"/>
      </rPr>
      <t xml:space="preserve"> </t>
    </r>
    <r>
      <rPr>
        <sz val="10"/>
        <color rgb="FF000000"/>
        <rFont val="Times New Roman"/>
        <family val="1"/>
      </rPr>
      <t>p</t>
    </r>
    <r>
      <rPr>
        <sz val="10"/>
        <color rgb="FF000000"/>
        <rFont val="Times New Roman"/>
        <family val="1"/>
      </rPr>
      <t>r</t>
    </r>
    <r>
      <rPr>
        <sz val="10"/>
        <color rgb="FF000000"/>
        <rFont val="Times New Roman"/>
        <family val="1"/>
      </rPr>
      <t>o</t>
    </r>
    <r>
      <rPr>
        <sz val="10"/>
        <color rgb="FF000000"/>
        <rFont val="Times New Roman"/>
        <family val="1"/>
      </rPr>
      <t>v</t>
    </r>
    <r>
      <rPr>
        <sz val="10"/>
        <color rgb="FF000000"/>
        <rFont val="Times New Roman"/>
        <family val="1"/>
      </rPr>
      <t>i</t>
    </r>
    <r>
      <rPr>
        <sz val="10"/>
        <color rgb="FF000000"/>
        <rFont val="Times New Roman"/>
        <family val="1"/>
      </rPr>
      <t>d</t>
    </r>
    <r>
      <rPr>
        <sz val="10"/>
        <color rgb="FF000000"/>
        <rFont val="Times New Roman"/>
        <family val="1"/>
      </rPr>
      <t>e</t>
    </r>
    <r>
      <rPr>
        <sz val="10"/>
        <color rgb="FF000000"/>
        <rFont val="Times New Roman"/>
        <family val="1"/>
      </rPr>
      <t>d</t>
    </r>
    <r>
      <rPr>
        <sz val="10"/>
        <color rgb="FF000000"/>
        <rFont val="Times New Roman"/>
        <family val="1"/>
      </rPr>
      <t xml:space="preserve"> </t>
    </r>
    <r>
      <rPr>
        <sz val="10"/>
        <color rgb="FF000000"/>
        <rFont val="Times New Roman"/>
        <family val="1"/>
      </rPr>
      <t>D</t>
    </r>
    <r>
      <rPr>
        <sz val="10"/>
        <color rgb="FF000000"/>
        <rFont val="Times New Roman"/>
        <family val="1"/>
      </rPr>
      <t>a</t>
    </r>
    <r>
      <rPr>
        <sz val="10"/>
        <color rgb="FF000000"/>
        <rFont val="Times New Roman"/>
        <family val="1"/>
      </rPr>
      <t>t</t>
    </r>
    <r>
      <rPr>
        <sz val="10"/>
        <color rgb="FF000000"/>
        <rFont val="Times New Roman"/>
        <family val="1"/>
      </rPr>
      <t>a</t>
    </r>
    <r>
      <rPr>
        <sz val="10"/>
        <color rgb="FF000000"/>
        <rFont val="Times New Roman"/>
        <family val="1"/>
      </rPr>
      <t xml:space="preserve"> </t>
    </r>
    <r>
      <rPr>
        <sz val="10"/>
        <color rgb="FF000000"/>
        <rFont val="Times New Roman"/>
        <family val="1"/>
      </rPr>
      <t>C</t>
    </r>
    <r>
      <rPr>
        <sz val="10"/>
        <color rgb="FF000000"/>
        <rFont val="Times New Roman"/>
        <family val="1"/>
      </rPr>
      <t>e</t>
    </r>
    <r>
      <rPr>
        <sz val="10"/>
        <color rgb="FF000000"/>
        <rFont val="Times New Roman"/>
        <family val="1"/>
      </rPr>
      <t>n</t>
    </r>
    <r>
      <rPr>
        <sz val="10"/>
        <color rgb="FF000000"/>
        <rFont val="Times New Roman"/>
        <family val="1"/>
      </rPr>
      <t>t</t>
    </r>
    <r>
      <rPr>
        <sz val="10"/>
        <color rgb="FF000000"/>
        <rFont val="Times New Roman"/>
        <family val="1"/>
      </rPr>
      <t>r</t>
    </r>
    <r>
      <rPr>
        <sz val="10"/>
        <color rgb="FF000000"/>
        <rFont val="Times New Roman"/>
        <family val="1"/>
      </rPr>
      <t>e</t>
    </r>
    <r>
      <rPr>
        <sz val="10"/>
        <color rgb="FF000000"/>
        <rFont val="Times New Roman"/>
        <family val="1"/>
      </rPr>
      <t>/</t>
    </r>
    <r>
      <rPr>
        <sz val="10"/>
        <color rgb="FF000000"/>
        <rFont val="Times New Roman"/>
        <family val="1"/>
      </rPr>
      <t xml:space="preserve"> </t>
    </r>
    <r>
      <rPr>
        <sz val="10"/>
        <color rgb="FF000000"/>
        <rFont val="Times New Roman"/>
        <family val="1"/>
      </rPr>
      <t>D</t>
    </r>
    <r>
      <rPr>
        <sz val="10"/>
        <color rgb="FF000000"/>
        <rFont val="Times New Roman"/>
        <family val="1"/>
      </rPr>
      <t>i</t>
    </r>
    <r>
      <rPr>
        <sz val="10"/>
        <color rgb="FF000000"/>
        <rFont val="Times New Roman"/>
        <family val="1"/>
      </rPr>
      <t>s</t>
    </r>
    <r>
      <rPr>
        <sz val="10"/>
        <color rgb="FF000000"/>
        <rFont val="Times New Roman"/>
        <family val="1"/>
      </rPr>
      <t>a</t>
    </r>
    <r>
      <rPr>
        <sz val="10"/>
        <color rgb="FF000000"/>
        <rFont val="Times New Roman"/>
        <family val="1"/>
      </rPr>
      <t>s</t>
    </r>
    <r>
      <rPr>
        <sz val="10"/>
        <color rgb="FF000000"/>
        <rFont val="Times New Roman"/>
        <family val="1"/>
      </rPr>
      <t>t</t>
    </r>
    <r>
      <rPr>
        <sz val="10"/>
        <color rgb="FF000000"/>
        <rFont val="Times New Roman"/>
        <family val="1"/>
      </rPr>
      <t>e</t>
    </r>
    <r>
      <rPr>
        <sz val="10"/>
        <color rgb="FF000000"/>
        <rFont val="Times New Roman"/>
        <family val="1"/>
      </rPr>
      <t>r</t>
    </r>
    <r>
      <rPr>
        <sz val="10"/>
        <color rgb="FF000000"/>
        <rFont val="Times New Roman"/>
        <family val="1"/>
      </rPr>
      <t xml:space="preserve"> </t>
    </r>
    <r>
      <rPr>
        <sz val="10"/>
        <color rgb="FF000000"/>
        <rFont val="Times New Roman"/>
        <family val="1"/>
      </rPr>
      <t>r</t>
    </r>
    <r>
      <rPr>
        <sz val="10"/>
        <color rgb="FF000000"/>
        <rFont val="Times New Roman"/>
        <family val="1"/>
      </rPr>
      <t>e</t>
    </r>
    <r>
      <rPr>
        <sz val="10"/>
        <color rgb="FF000000"/>
        <rFont val="Times New Roman"/>
        <family val="1"/>
      </rPr>
      <t>c</t>
    </r>
    <r>
      <rPr>
        <sz val="10"/>
        <color rgb="FF000000"/>
        <rFont val="Times New Roman"/>
        <family val="1"/>
      </rPr>
      <t>o</t>
    </r>
    <r>
      <rPr>
        <sz val="10"/>
        <color rgb="FF000000"/>
        <rFont val="Times New Roman"/>
        <family val="1"/>
      </rPr>
      <t>v</t>
    </r>
    <r>
      <rPr>
        <sz val="10"/>
        <color rgb="FF000000"/>
        <rFont val="Times New Roman"/>
        <family val="1"/>
      </rPr>
      <t>e</t>
    </r>
    <r>
      <rPr>
        <sz val="10"/>
        <color rgb="FF000000"/>
        <rFont val="Times New Roman"/>
        <family val="1"/>
      </rPr>
      <t>r</t>
    </r>
    <r>
      <rPr>
        <sz val="10"/>
        <color rgb="FF000000"/>
        <rFont val="Times New Roman"/>
        <family val="1"/>
      </rPr>
      <t>y</t>
    </r>
    <r>
      <rPr>
        <sz val="10"/>
        <color rgb="FF000000"/>
        <rFont val="Times New Roman"/>
        <family val="1"/>
      </rPr>
      <t>/</t>
    </r>
    <r>
      <rPr>
        <sz val="10"/>
        <color rgb="FF000000"/>
        <rFont val="Times New Roman"/>
        <family val="1"/>
      </rPr>
      <t xml:space="preserve"> </t>
    </r>
    <r>
      <rPr>
        <sz val="10"/>
        <color rgb="FF000000"/>
        <rFont val="Times New Roman"/>
        <family val="1"/>
      </rPr>
      <t>C</t>
    </r>
    <r>
      <rPr>
        <sz val="10"/>
        <color rgb="FF000000"/>
        <rFont val="Times New Roman"/>
        <family val="1"/>
      </rPr>
      <t>l</t>
    </r>
    <r>
      <rPr>
        <sz val="10"/>
        <color rgb="FF000000"/>
        <rFont val="Times New Roman"/>
        <family val="1"/>
      </rPr>
      <t>o</t>
    </r>
    <r>
      <rPr>
        <sz val="10"/>
        <color rgb="FF000000"/>
        <rFont val="Times New Roman"/>
        <family val="1"/>
      </rPr>
      <t>ud</t>
    </r>
    <r>
      <rPr>
        <sz val="10"/>
        <color rgb="FF000000"/>
        <rFont val="Times New Roman"/>
        <family val="1"/>
      </rPr>
      <t xml:space="preserve"> </t>
    </r>
    <r>
      <rPr>
        <sz val="10"/>
        <color rgb="FF000000"/>
        <rFont val="Times New Roman"/>
        <family val="1"/>
      </rPr>
      <t>S</t>
    </r>
    <r>
      <rPr>
        <sz val="10"/>
        <color rgb="FF000000"/>
        <rFont val="Times New Roman"/>
        <family val="1"/>
      </rPr>
      <t>e</t>
    </r>
    <r>
      <rPr>
        <sz val="10"/>
        <color rgb="FF000000"/>
        <rFont val="Times New Roman"/>
        <family val="1"/>
      </rPr>
      <t>r</t>
    </r>
    <r>
      <rPr>
        <sz val="10"/>
        <color rgb="FF000000"/>
        <rFont val="Times New Roman"/>
        <family val="1"/>
      </rPr>
      <t>v</t>
    </r>
    <r>
      <rPr>
        <sz val="10"/>
        <color rgb="FF000000"/>
        <rFont val="Times New Roman"/>
        <family val="1"/>
      </rPr>
      <t>i</t>
    </r>
    <r>
      <rPr>
        <sz val="10"/>
        <color rgb="FF000000"/>
        <rFont val="Times New Roman"/>
        <family val="1"/>
      </rPr>
      <t>c</t>
    </r>
    <r>
      <rPr>
        <sz val="10"/>
        <color rgb="FF000000"/>
        <rFont val="Times New Roman"/>
        <family val="1"/>
      </rPr>
      <t>e</t>
    </r>
    <r>
      <rPr>
        <sz val="10"/>
        <color rgb="FF000000"/>
        <rFont val="Times New Roman"/>
        <family val="1"/>
      </rPr>
      <t>s</t>
    </r>
    <r>
      <rPr>
        <sz val="10"/>
        <color rgb="FF000000"/>
        <rFont val="Times New Roman"/>
        <family val="1"/>
      </rPr>
      <t xml:space="preserve"> </t>
    </r>
    <r>
      <rPr>
        <sz val="10"/>
        <color rgb="FF000000"/>
        <rFont val="Times New Roman"/>
        <family val="1"/>
      </rPr>
      <t>f</t>
    </r>
    <r>
      <rPr>
        <sz val="10"/>
        <color rgb="FF000000"/>
        <rFont val="Times New Roman"/>
        <family val="1"/>
      </rPr>
      <t>o</t>
    </r>
    <r>
      <rPr>
        <sz val="10"/>
        <color rgb="FF000000"/>
        <rFont val="Times New Roman"/>
        <family val="1"/>
      </rPr>
      <t>r</t>
    </r>
    <r>
      <rPr>
        <sz val="10"/>
        <color rgb="FF000000"/>
        <rFont val="Times New Roman"/>
        <family val="1"/>
      </rPr>
      <t xml:space="preserve"> </t>
    </r>
    <r>
      <rPr>
        <sz val="10"/>
        <color rgb="FF000000"/>
        <rFont val="Times New Roman"/>
        <family val="1"/>
      </rPr>
      <t>a</t>
    </r>
    <r>
      <rPr>
        <sz val="10"/>
        <color rgb="FF000000"/>
        <rFont val="Times New Roman"/>
        <family val="1"/>
      </rPr>
      <t>n</t>
    </r>
    <r>
      <rPr>
        <sz val="10"/>
        <color rgb="FF000000"/>
        <rFont val="Times New Roman"/>
        <family val="1"/>
      </rPr>
      <t>y</t>
    </r>
    <r>
      <rPr>
        <sz val="10"/>
        <color rgb="FF000000"/>
        <rFont val="Times New Roman"/>
        <family val="1"/>
      </rPr>
      <t xml:space="preserve"> </t>
    </r>
    <r>
      <rPr>
        <sz val="10"/>
        <color rgb="FF000000"/>
        <rFont val="Times New Roman"/>
        <family val="1"/>
      </rPr>
      <t>G</t>
    </r>
    <r>
      <rPr>
        <sz val="10"/>
        <color rgb="FF000000"/>
        <rFont val="Times New Roman"/>
        <family val="1"/>
      </rPr>
      <t>o</t>
    </r>
    <r>
      <rPr>
        <sz val="10"/>
        <color rgb="FF000000"/>
        <rFont val="Times New Roman"/>
        <family val="1"/>
      </rPr>
      <t>v</t>
    </r>
    <r>
      <rPr>
        <sz val="10"/>
        <color rgb="FF000000"/>
        <rFont val="Times New Roman"/>
        <family val="1"/>
      </rPr>
      <t>t</t>
    </r>
    <r>
      <rPr>
        <sz val="10"/>
        <color rgb="FF000000"/>
        <rFont val="Times New Roman"/>
        <family val="1"/>
      </rPr>
      <t>.</t>
    </r>
    <r>
      <rPr>
        <sz val="10"/>
        <color rgb="FF000000"/>
        <rFont val="Times New Roman"/>
        <family val="1"/>
      </rPr>
      <t xml:space="preserve"> </t>
    </r>
    <r>
      <rPr>
        <sz val="10"/>
        <color rgb="FF000000"/>
        <rFont val="Times New Roman"/>
        <family val="1"/>
      </rPr>
      <t>O</t>
    </r>
    <r>
      <rPr>
        <sz val="10"/>
        <color rgb="FF000000"/>
        <rFont val="Times New Roman"/>
        <family val="1"/>
      </rPr>
      <t>r</t>
    </r>
    <r>
      <rPr>
        <sz val="10"/>
        <color rgb="FF000000"/>
        <rFont val="Times New Roman"/>
        <family val="1"/>
      </rPr>
      <t>g</t>
    </r>
    <r>
      <rPr>
        <sz val="10"/>
        <color rgb="FF000000"/>
        <rFont val="Times New Roman"/>
        <family val="1"/>
      </rPr>
      <t>a</t>
    </r>
    <r>
      <rPr>
        <sz val="10"/>
        <color rgb="FF000000"/>
        <rFont val="Times New Roman"/>
        <family val="1"/>
      </rPr>
      <t>n</t>
    </r>
    <r>
      <rPr>
        <sz val="10"/>
        <color rgb="FF000000"/>
        <rFont val="Times New Roman"/>
        <family val="1"/>
      </rPr>
      <t>i</t>
    </r>
    <r>
      <rPr>
        <sz val="10"/>
        <color rgb="FF000000"/>
        <rFont val="Times New Roman"/>
        <family val="1"/>
      </rPr>
      <t>z</t>
    </r>
    <r>
      <rPr>
        <sz val="10"/>
        <color rgb="FF000000"/>
        <rFont val="Times New Roman"/>
        <family val="1"/>
      </rPr>
      <t>a</t>
    </r>
    <r>
      <rPr>
        <sz val="10"/>
        <color rgb="FF000000"/>
        <rFont val="Times New Roman"/>
        <family val="1"/>
      </rPr>
      <t>t</t>
    </r>
    <r>
      <rPr>
        <sz val="10"/>
        <color rgb="FF000000"/>
        <rFont val="Times New Roman"/>
        <family val="1"/>
      </rPr>
      <t>i</t>
    </r>
    <r>
      <rPr>
        <sz val="10"/>
        <color rgb="FF000000"/>
        <rFont val="Times New Roman"/>
        <family val="1"/>
      </rPr>
      <t>on</t>
    </r>
    <r>
      <rPr>
        <sz val="10"/>
        <color rgb="FF000000"/>
        <rFont val="Times New Roman"/>
        <family val="1"/>
      </rPr>
      <t>/</t>
    </r>
    <r>
      <rPr>
        <sz val="10"/>
        <color rgb="FF000000"/>
        <rFont val="Times New Roman"/>
        <family val="1"/>
      </rPr>
      <t xml:space="preserve"> </t>
    </r>
    <r>
      <rPr>
        <sz val="10"/>
        <color rgb="FF000000"/>
        <rFont val="Times New Roman"/>
        <family val="1"/>
      </rPr>
      <t xml:space="preserve"> </t>
    </r>
    <r>
      <rPr>
        <sz val="10"/>
        <color rgb="FF000000"/>
        <rFont val="Times New Roman"/>
        <family val="1"/>
      </rPr>
      <t>P</t>
    </r>
    <r>
      <rPr>
        <sz val="10"/>
        <color rgb="FF000000"/>
        <rFont val="Times New Roman"/>
        <family val="1"/>
      </rPr>
      <t>S</t>
    </r>
    <r>
      <rPr>
        <sz val="10"/>
        <color rgb="FF000000"/>
        <rFont val="Times New Roman"/>
        <family val="1"/>
      </rPr>
      <t>U</t>
    </r>
    <r>
      <rPr>
        <sz val="10"/>
        <color rgb="FF000000"/>
        <rFont val="Times New Roman"/>
        <family val="1"/>
      </rPr>
      <t xml:space="preserve"> </t>
    </r>
    <r>
      <rPr>
        <sz val="10"/>
        <color rgb="FF000000"/>
        <rFont val="Times New Roman"/>
        <family val="1"/>
      </rPr>
      <t>i</t>
    </r>
    <r>
      <rPr>
        <sz val="10"/>
        <color rgb="FF000000"/>
        <rFont val="Times New Roman"/>
        <family val="1"/>
      </rPr>
      <t>n</t>
    </r>
    <r>
      <rPr>
        <sz val="10"/>
        <color rgb="FF000000"/>
        <rFont val="Times New Roman"/>
        <family val="1"/>
      </rPr>
      <t xml:space="preserve"> </t>
    </r>
    <r>
      <rPr>
        <sz val="10"/>
        <color rgb="FF000000"/>
        <rFont val="Times New Roman"/>
        <family val="1"/>
      </rPr>
      <t xml:space="preserve"> </t>
    </r>
    <r>
      <rPr>
        <sz val="10"/>
        <color rgb="FF000000"/>
        <rFont val="Times New Roman"/>
        <family val="1"/>
      </rPr>
      <t>I</t>
    </r>
    <r>
      <rPr>
        <sz val="10"/>
        <color rgb="FF000000"/>
        <rFont val="Times New Roman"/>
        <family val="1"/>
      </rPr>
      <t>n</t>
    </r>
    <r>
      <rPr>
        <sz val="10"/>
        <color rgb="FF000000"/>
        <rFont val="Times New Roman"/>
        <family val="1"/>
      </rPr>
      <t>d</t>
    </r>
    <r>
      <rPr>
        <sz val="10"/>
        <color rgb="FF000000"/>
        <rFont val="Times New Roman"/>
        <family val="1"/>
      </rPr>
      <t>i</t>
    </r>
    <r>
      <rPr>
        <sz val="10"/>
        <color rgb="FF000000"/>
        <rFont val="Times New Roman"/>
        <family val="1"/>
      </rPr>
      <t>a</t>
    </r>
    <r>
      <rPr>
        <sz val="10"/>
        <color rgb="FF000000"/>
        <rFont val="Times New Roman"/>
        <family val="1"/>
      </rPr>
      <t xml:space="preserve">  </t>
    </r>
    <r>
      <rPr>
        <sz val="10"/>
        <color rgb="FF000000"/>
        <rFont val="Times New Roman"/>
        <family val="1"/>
      </rPr>
      <t>w</t>
    </r>
    <r>
      <rPr>
        <sz val="10"/>
        <color rgb="FF000000"/>
        <rFont val="Times New Roman"/>
        <family val="1"/>
      </rPr>
      <t>i</t>
    </r>
    <r>
      <rPr>
        <sz val="10"/>
        <color rgb="FF000000"/>
        <rFont val="Times New Roman"/>
        <family val="1"/>
      </rPr>
      <t>t</t>
    </r>
    <r>
      <rPr>
        <sz val="10"/>
        <color rgb="FF000000"/>
        <rFont val="Times New Roman"/>
        <family val="1"/>
      </rPr>
      <t>h</t>
    </r>
    <r>
      <rPr>
        <sz val="10"/>
        <color rgb="FF000000"/>
        <rFont val="Times New Roman"/>
        <family val="1"/>
      </rPr>
      <t>i</t>
    </r>
    <r>
      <rPr>
        <sz val="10"/>
        <color rgb="FF000000"/>
        <rFont val="Times New Roman"/>
        <family val="1"/>
      </rPr>
      <t>n</t>
    </r>
    <r>
      <rPr>
        <sz val="10"/>
        <color rgb="FF000000"/>
        <rFont val="Times New Roman"/>
        <family val="1"/>
      </rPr>
      <t xml:space="preserve"> </t>
    </r>
    <r>
      <rPr>
        <sz val="10"/>
        <color rgb="FF000000"/>
        <rFont val="Times New Roman"/>
        <family val="1"/>
      </rPr>
      <t xml:space="preserve"> </t>
    </r>
    <r>
      <rPr>
        <sz val="10"/>
        <color rgb="FF000000"/>
        <rFont val="Times New Roman"/>
        <family val="1"/>
      </rPr>
      <t>l</t>
    </r>
    <r>
      <rPr>
        <sz val="10"/>
        <color rgb="FF000000"/>
        <rFont val="Times New Roman"/>
        <family val="1"/>
      </rPr>
      <t>a</t>
    </r>
    <r>
      <rPr>
        <sz val="10"/>
        <color rgb="FF000000"/>
        <rFont val="Times New Roman"/>
        <family val="1"/>
      </rPr>
      <t>s</t>
    </r>
    <r>
      <rPr>
        <sz val="10"/>
        <color rgb="FF000000"/>
        <rFont val="Times New Roman"/>
        <family val="1"/>
      </rPr>
      <t>t</t>
    </r>
    <r>
      <rPr>
        <sz val="10"/>
        <color rgb="FF000000"/>
        <rFont val="Times New Roman"/>
        <family val="1"/>
      </rPr>
      <t xml:space="preserve"> </t>
    </r>
    <r>
      <rPr>
        <sz val="10"/>
        <color rgb="FF000000"/>
        <rFont val="Times New Roman"/>
        <family val="1"/>
      </rPr>
      <t xml:space="preserve"> </t>
    </r>
    <r>
      <rPr>
        <sz val="10"/>
        <color rgb="FF000000"/>
        <rFont val="Times New Roman"/>
        <family val="1"/>
      </rPr>
      <t xml:space="preserve">7
</t>
    </r>
    <r>
      <rPr>
        <sz val="10"/>
        <color rgb="FF000000"/>
        <rFont val="Times New Roman"/>
        <family val="1"/>
      </rPr>
      <t>Y</t>
    </r>
    <r>
      <rPr>
        <sz val="10"/>
        <color rgb="FF000000"/>
        <rFont val="Times New Roman"/>
        <family val="1"/>
      </rPr>
      <t>e</t>
    </r>
    <r>
      <rPr>
        <sz val="10"/>
        <color rgb="FF000000"/>
        <rFont val="Times New Roman"/>
        <family val="1"/>
      </rPr>
      <t>a</t>
    </r>
    <r>
      <rPr>
        <sz val="10"/>
        <color rgb="FF000000"/>
        <rFont val="Times New Roman"/>
        <family val="1"/>
      </rPr>
      <t>r</t>
    </r>
    <r>
      <rPr>
        <sz val="10"/>
        <color rgb="FF000000"/>
        <rFont val="Times New Roman"/>
        <family val="1"/>
      </rPr>
      <t>s</t>
    </r>
    <r>
      <rPr>
        <sz val="10"/>
        <color rgb="FF000000"/>
        <rFont val="Times New Roman"/>
        <family val="1"/>
      </rPr>
      <t>:</t>
    </r>
  </si>
  <si>
    <r>
      <rPr>
        <sz val="10"/>
        <color rgb="FF000000"/>
        <rFont val="Times New Roman"/>
        <family val="1"/>
      </rPr>
      <t>3</t>
    </r>
    <r>
      <rPr>
        <sz val="10"/>
        <color rgb="FF000000"/>
        <rFont val="Times New Roman"/>
        <family val="1"/>
      </rPr>
      <t xml:space="preserve"> </t>
    </r>
    <r>
      <rPr>
        <sz val="10"/>
        <color rgb="FF000000"/>
        <rFont val="Times New Roman"/>
        <family val="1"/>
      </rPr>
      <t>t</t>
    </r>
    <r>
      <rPr>
        <sz val="10"/>
        <color rgb="FF000000"/>
        <rFont val="Times New Roman"/>
        <family val="1"/>
      </rPr>
      <t>o</t>
    </r>
    <r>
      <rPr>
        <sz val="10"/>
        <color rgb="FF000000"/>
        <rFont val="Times New Roman"/>
        <family val="1"/>
      </rPr>
      <t xml:space="preserve"> </t>
    </r>
    <r>
      <rPr>
        <sz val="10"/>
        <color rgb="FF000000"/>
        <rFont val="Times New Roman"/>
        <family val="1"/>
      </rPr>
      <t>&lt;</t>
    </r>
    <r>
      <rPr>
        <sz val="10"/>
        <color rgb="FF000000"/>
        <rFont val="Times New Roman"/>
        <family val="1"/>
      </rPr>
      <t>=</t>
    </r>
    <r>
      <rPr>
        <sz val="10"/>
        <color rgb="FF000000"/>
        <rFont val="Times New Roman"/>
        <family val="1"/>
      </rPr>
      <t xml:space="preserve"> </t>
    </r>
    <r>
      <rPr>
        <sz val="10"/>
        <color rgb="FF000000"/>
        <rFont val="Times New Roman"/>
        <family val="1"/>
      </rPr>
      <t>5</t>
    </r>
    <r>
      <rPr>
        <sz val="10"/>
        <color rgb="FF000000"/>
        <rFont val="Times New Roman"/>
        <family val="1"/>
      </rPr>
      <t xml:space="preserve"> </t>
    </r>
    <r>
      <rPr>
        <sz val="10"/>
        <color rgb="FF000000"/>
        <rFont val="Times New Roman"/>
        <family val="1"/>
      </rPr>
      <t>p</t>
    </r>
    <r>
      <rPr>
        <sz val="10"/>
        <color rgb="FF000000"/>
        <rFont val="Times New Roman"/>
        <family val="1"/>
      </rPr>
      <t>r</t>
    </r>
    <r>
      <rPr>
        <sz val="10"/>
        <color rgb="FF000000"/>
        <rFont val="Times New Roman"/>
        <family val="1"/>
      </rPr>
      <t>o</t>
    </r>
    <r>
      <rPr>
        <sz val="10"/>
        <color rgb="FF000000"/>
        <rFont val="Times New Roman"/>
        <family val="1"/>
      </rPr>
      <t>j</t>
    </r>
    <r>
      <rPr>
        <sz val="10"/>
        <color rgb="FF000000"/>
        <rFont val="Times New Roman"/>
        <family val="1"/>
      </rPr>
      <t>e</t>
    </r>
    <r>
      <rPr>
        <sz val="10"/>
        <color rgb="FF000000"/>
        <rFont val="Times New Roman"/>
        <family val="1"/>
      </rPr>
      <t>c</t>
    </r>
    <r>
      <rPr>
        <sz val="10"/>
        <color rgb="FF000000"/>
        <rFont val="Times New Roman"/>
        <family val="1"/>
      </rPr>
      <t>t</t>
    </r>
    <r>
      <rPr>
        <sz val="10"/>
        <color rgb="FF000000"/>
        <rFont val="Times New Roman"/>
        <family val="1"/>
      </rPr>
      <t>s</t>
    </r>
    <r>
      <rPr>
        <sz val="10"/>
        <color rgb="FF000000"/>
        <rFont val="Times New Roman"/>
        <family val="1"/>
      </rPr>
      <t xml:space="preserve"> </t>
    </r>
    <r>
      <rPr>
        <sz val="10"/>
        <color rgb="FF000000"/>
        <rFont val="Times New Roman"/>
        <family val="1"/>
      </rPr>
      <t>–</t>
    </r>
    <r>
      <rPr>
        <sz val="10"/>
        <color rgb="FF000000"/>
        <rFont val="Times New Roman"/>
        <family val="1"/>
      </rPr>
      <t xml:space="preserve"> </t>
    </r>
    <r>
      <rPr>
        <sz val="10"/>
        <color rgb="FF000000"/>
        <rFont val="Times New Roman"/>
        <family val="1"/>
      </rPr>
      <t>5</t>
    </r>
    <r>
      <rPr>
        <sz val="10"/>
        <color rgb="FF000000"/>
        <rFont val="Times New Roman"/>
        <family val="1"/>
      </rPr>
      <t xml:space="preserve"> </t>
    </r>
    <r>
      <rPr>
        <sz val="10"/>
        <color rgb="FF000000"/>
        <rFont val="Times New Roman"/>
        <family val="1"/>
      </rPr>
      <t>M</t>
    </r>
    <r>
      <rPr>
        <sz val="10"/>
        <color rgb="FF000000"/>
        <rFont val="Times New Roman"/>
        <family val="1"/>
      </rPr>
      <t>a</t>
    </r>
    <r>
      <rPr>
        <sz val="10"/>
        <color rgb="FF000000"/>
        <rFont val="Times New Roman"/>
        <family val="1"/>
      </rPr>
      <t>r</t>
    </r>
    <r>
      <rPr>
        <sz val="10"/>
        <color rgb="FF000000"/>
        <rFont val="Times New Roman"/>
        <family val="1"/>
      </rPr>
      <t>k</t>
    </r>
    <r>
      <rPr>
        <sz val="10"/>
        <color rgb="FF000000"/>
        <rFont val="Times New Roman"/>
        <family val="1"/>
      </rPr>
      <t>s</t>
    </r>
  </si>
  <si>
    <r>
      <rPr>
        <sz val="10"/>
        <color rgb="FF000000"/>
        <rFont val="Times New Roman"/>
        <family val="1"/>
      </rPr>
      <t>5</t>
    </r>
    <r>
      <rPr>
        <sz val="10"/>
        <color rgb="FF000000"/>
        <rFont val="Times New Roman"/>
        <family val="1"/>
      </rPr>
      <t xml:space="preserve"> </t>
    </r>
    <r>
      <rPr>
        <sz val="10"/>
        <color rgb="FF000000"/>
        <rFont val="Times New Roman"/>
        <family val="1"/>
      </rPr>
      <t>t</t>
    </r>
    <r>
      <rPr>
        <sz val="10"/>
        <color rgb="FF000000"/>
        <rFont val="Times New Roman"/>
        <family val="1"/>
      </rPr>
      <t>o</t>
    </r>
    <r>
      <rPr>
        <sz val="10"/>
        <color rgb="FF000000"/>
        <rFont val="Times New Roman"/>
        <family val="1"/>
      </rPr>
      <t xml:space="preserve"> </t>
    </r>
    <r>
      <rPr>
        <sz val="10"/>
        <color rgb="FF000000"/>
        <rFont val="Times New Roman"/>
        <family val="1"/>
      </rPr>
      <t>&lt;</t>
    </r>
    <r>
      <rPr>
        <sz val="10"/>
        <color rgb="FF000000"/>
        <rFont val="Times New Roman"/>
        <family val="1"/>
      </rPr>
      <t>=</t>
    </r>
    <r>
      <rPr>
        <sz val="10"/>
        <color rgb="FF000000"/>
        <rFont val="Times New Roman"/>
        <family val="1"/>
      </rPr>
      <t xml:space="preserve"> </t>
    </r>
    <r>
      <rPr>
        <sz val="10"/>
        <color rgb="FF000000"/>
        <rFont val="Times New Roman"/>
        <family val="1"/>
      </rPr>
      <t>7</t>
    </r>
    <r>
      <rPr>
        <sz val="10"/>
        <color rgb="FF000000"/>
        <rFont val="Times New Roman"/>
        <family val="1"/>
      </rPr>
      <t xml:space="preserve"> </t>
    </r>
    <r>
      <rPr>
        <sz val="10"/>
        <color rgb="FF000000"/>
        <rFont val="Times New Roman"/>
        <family val="1"/>
      </rPr>
      <t>p</t>
    </r>
    <r>
      <rPr>
        <sz val="10"/>
        <color rgb="FF000000"/>
        <rFont val="Times New Roman"/>
        <family val="1"/>
      </rPr>
      <t>r</t>
    </r>
    <r>
      <rPr>
        <sz val="10"/>
        <color rgb="FF000000"/>
        <rFont val="Times New Roman"/>
        <family val="1"/>
      </rPr>
      <t>o</t>
    </r>
    <r>
      <rPr>
        <sz val="10"/>
        <color rgb="FF000000"/>
        <rFont val="Times New Roman"/>
        <family val="1"/>
      </rPr>
      <t>j</t>
    </r>
    <r>
      <rPr>
        <sz val="10"/>
        <color rgb="FF000000"/>
        <rFont val="Times New Roman"/>
        <family val="1"/>
      </rPr>
      <t>e</t>
    </r>
    <r>
      <rPr>
        <sz val="10"/>
        <color rgb="FF000000"/>
        <rFont val="Times New Roman"/>
        <family val="1"/>
      </rPr>
      <t>c</t>
    </r>
    <r>
      <rPr>
        <sz val="10"/>
        <color rgb="FF000000"/>
        <rFont val="Times New Roman"/>
        <family val="1"/>
      </rPr>
      <t>t</t>
    </r>
    <r>
      <rPr>
        <sz val="10"/>
        <color rgb="FF000000"/>
        <rFont val="Times New Roman"/>
        <family val="1"/>
      </rPr>
      <t>s</t>
    </r>
    <r>
      <rPr>
        <sz val="10"/>
        <color rgb="FF000000"/>
        <rFont val="Times New Roman"/>
        <family val="1"/>
      </rPr>
      <t xml:space="preserve"> </t>
    </r>
    <r>
      <rPr>
        <sz val="10"/>
        <color rgb="FF000000"/>
        <rFont val="Times New Roman"/>
        <family val="1"/>
      </rPr>
      <t>–</t>
    </r>
    <r>
      <rPr>
        <sz val="10"/>
        <color rgb="FF000000"/>
        <rFont val="Times New Roman"/>
        <family val="1"/>
      </rPr>
      <t xml:space="preserve"> </t>
    </r>
    <r>
      <rPr>
        <sz val="10"/>
        <color rgb="FF000000"/>
        <rFont val="Times New Roman"/>
        <family val="1"/>
      </rPr>
      <t>7</t>
    </r>
    <r>
      <rPr>
        <sz val="10"/>
        <color rgb="FF000000"/>
        <rFont val="Times New Roman"/>
        <family val="1"/>
      </rPr>
      <t xml:space="preserve"> </t>
    </r>
    <r>
      <rPr>
        <sz val="10"/>
        <color rgb="FF000000"/>
        <rFont val="Times New Roman"/>
        <family val="1"/>
      </rPr>
      <t>M</t>
    </r>
    <r>
      <rPr>
        <sz val="10"/>
        <color rgb="FF000000"/>
        <rFont val="Times New Roman"/>
        <family val="1"/>
      </rPr>
      <t>a</t>
    </r>
    <r>
      <rPr>
        <sz val="10"/>
        <color rgb="FF000000"/>
        <rFont val="Times New Roman"/>
        <family val="1"/>
      </rPr>
      <t>r</t>
    </r>
    <r>
      <rPr>
        <sz val="10"/>
        <color rgb="FF000000"/>
        <rFont val="Times New Roman"/>
        <family val="1"/>
      </rPr>
      <t>k</t>
    </r>
    <r>
      <rPr>
        <sz val="10"/>
        <color rgb="FF000000"/>
        <rFont val="Times New Roman"/>
        <family val="1"/>
      </rPr>
      <t>s</t>
    </r>
  </si>
  <si>
    <r>
      <rPr>
        <sz val="10"/>
        <color rgb="FF000000"/>
        <rFont val="Times New Roman"/>
        <family val="1"/>
      </rPr>
      <t>&gt;</t>
    </r>
    <r>
      <rPr>
        <sz val="10"/>
        <color rgb="FF000000"/>
        <rFont val="Times New Roman"/>
        <family val="1"/>
      </rPr>
      <t>7</t>
    </r>
    <r>
      <rPr>
        <sz val="10"/>
        <color rgb="FF000000"/>
        <rFont val="Times New Roman"/>
        <family val="1"/>
      </rPr>
      <t xml:space="preserve"> </t>
    </r>
    <r>
      <rPr>
        <sz val="10"/>
        <color rgb="FF000000"/>
        <rFont val="Times New Roman"/>
        <family val="1"/>
      </rPr>
      <t>p</t>
    </r>
    <r>
      <rPr>
        <sz val="10"/>
        <color rgb="FF000000"/>
        <rFont val="Times New Roman"/>
        <family val="1"/>
      </rPr>
      <t>r</t>
    </r>
    <r>
      <rPr>
        <sz val="10"/>
        <color rgb="FF000000"/>
        <rFont val="Times New Roman"/>
        <family val="1"/>
      </rPr>
      <t>o</t>
    </r>
    <r>
      <rPr>
        <sz val="10"/>
        <color rgb="FF000000"/>
        <rFont val="Times New Roman"/>
        <family val="1"/>
      </rPr>
      <t>j</t>
    </r>
    <r>
      <rPr>
        <sz val="10"/>
        <color rgb="FF000000"/>
        <rFont val="Times New Roman"/>
        <family val="1"/>
      </rPr>
      <t>e</t>
    </r>
    <r>
      <rPr>
        <sz val="10"/>
        <color rgb="FF000000"/>
        <rFont val="Times New Roman"/>
        <family val="1"/>
      </rPr>
      <t>c</t>
    </r>
    <r>
      <rPr>
        <sz val="10"/>
        <color rgb="FF000000"/>
        <rFont val="Times New Roman"/>
        <family val="1"/>
      </rPr>
      <t>t</t>
    </r>
    <r>
      <rPr>
        <sz val="10"/>
        <color rgb="FF000000"/>
        <rFont val="Times New Roman"/>
        <family val="1"/>
      </rPr>
      <t>s</t>
    </r>
    <r>
      <rPr>
        <sz val="10"/>
        <color rgb="FF000000"/>
        <rFont val="Times New Roman"/>
        <family val="1"/>
      </rPr>
      <t xml:space="preserve"> </t>
    </r>
    <r>
      <rPr>
        <sz val="10"/>
        <color rgb="FF000000"/>
        <rFont val="Times New Roman"/>
        <family val="1"/>
      </rPr>
      <t>–</t>
    </r>
    <r>
      <rPr>
        <sz val="10"/>
        <color rgb="FF000000"/>
        <rFont val="Times New Roman"/>
        <family val="1"/>
      </rPr>
      <t xml:space="preserve"> </t>
    </r>
    <r>
      <rPr>
        <sz val="10"/>
        <color rgb="FF000000"/>
        <rFont val="Times New Roman"/>
        <family val="1"/>
      </rPr>
      <t>1</t>
    </r>
    <r>
      <rPr>
        <sz val="10"/>
        <color rgb="FF000000"/>
        <rFont val="Times New Roman"/>
        <family val="1"/>
      </rPr>
      <t>0</t>
    </r>
    <r>
      <rPr>
        <sz val="10"/>
        <color rgb="FF000000"/>
        <rFont val="Times New Roman"/>
        <family val="1"/>
      </rPr>
      <t xml:space="preserve"> </t>
    </r>
    <r>
      <rPr>
        <sz val="10"/>
        <color rgb="FF000000"/>
        <rFont val="Times New Roman"/>
        <family val="1"/>
      </rPr>
      <t>M</t>
    </r>
    <r>
      <rPr>
        <sz val="10"/>
        <color rgb="FF000000"/>
        <rFont val="Times New Roman"/>
        <family val="1"/>
      </rPr>
      <t>a</t>
    </r>
    <r>
      <rPr>
        <sz val="10"/>
        <color rgb="FF000000"/>
        <rFont val="Times New Roman"/>
        <family val="1"/>
      </rPr>
      <t>r</t>
    </r>
    <r>
      <rPr>
        <sz val="10"/>
        <color rgb="FF000000"/>
        <rFont val="Times New Roman"/>
        <family val="1"/>
      </rPr>
      <t>k</t>
    </r>
    <r>
      <rPr>
        <sz val="10"/>
        <color rgb="FF000000"/>
        <rFont val="Times New Roman"/>
        <family val="1"/>
      </rPr>
      <t>s</t>
    </r>
  </si>
  <si>
    <r>
      <rPr>
        <sz val="10"/>
        <color rgb="FF000000"/>
        <rFont val="Times New Roman"/>
        <family val="1"/>
      </rPr>
      <t>T</t>
    </r>
    <r>
      <rPr>
        <sz val="10"/>
        <color rgb="FF000000"/>
        <rFont val="Times New Roman"/>
        <family val="1"/>
      </rPr>
      <t>h</t>
    </r>
    <r>
      <rPr>
        <sz val="10"/>
        <color rgb="FF000000"/>
        <rFont val="Times New Roman"/>
        <family val="1"/>
      </rPr>
      <t>e</t>
    </r>
    <r>
      <rPr>
        <sz val="10"/>
        <color rgb="FF000000"/>
        <rFont val="Times New Roman"/>
        <family val="1"/>
      </rPr>
      <t xml:space="preserve">  </t>
    </r>
    <r>
      <rPr>
        <sz val="10"/>
        <color rgb="FF000000"/>
        <rFont val="Times New Roman"/>
        <family val="1"/>
      </rPr>
      <t xml:space="preserve"> </t>
    </r>
    <r>
      <rPr>
        <sz val="10"/>
        <color rgb="FF000000"/>
        <rFont val="Times New Roman"/>
        <family val="1"/>
      </rPr>
      <t>C</t>
    </r>
    <r>
      <rPr>
        <sz val="10"/>
        <color rgb="FF000000"/>
        <rFont val="Times New Roman"/>
        <family val="1"/>
      </rPr>
      <t>S</t>
    </r>
    <r>
      <rPr>
        <sz val="10"/>
        <color rgb="FF000000"/>
        <rFont val="Times New Roman"/>
        <family val="1"/>
      </rPr>
      <t>P</t>
    </r>
    <r>
      <rPr>
        <sz val="10"/>
        <color rgb="FF000000"/>
        <rFont val="Times New Roman"/>
        <family val="1"/>
      </rPr>
      <t xml:space="preserve">  </t>
    </r>
    <r>
      <rPr>
        <sz val="10"/>
        <color rgb="FF000000"/>
        <rFont val="Times New Roman"/>
        <family val="1"/>
      </rPr>
      <t xml:space="preserve"> </t>
    </r>
    <r>
      <rPr>
        <sz val="10"/>
        <color rgb="FF000000"/>
        <rFont val="Times New Roman"/>
        <family val="1"/>
      </rPr>
      <t>s</t>
    </r>
    <r>
      <rPr>
        <sz val="10"/>
        <color rgb="FF000000"/>
        <rFont val="Times New Roman"/>
        <family val="1"/>
      </rPr>
      <t>h</t>
    </r>
    <r>
      <rPr>
        <sz val="10"/>
        <color rgb="FF000000"/>
        <rFont val="Times New Roman"/>
        <family val="1"/>
      </rPr>
      <t>o</t>
    </r>
    <r>
      <rPr>
        <sz val="10"/>
        <color rgb="FF000000"/>
        <rFont val="Times New Roman"/>
        <family val="1"/>
      </rPr>
      <t>u</t>
    </r>
    <r>
      <rPr>
        <sz val="10"/>
        <color rgb="FF000000"/>
        <rFont val="Times New Roman"/>
        <family val="1"/>
      </rPr>
      <t>l</t>
    </r>
    <r>
      <rPr>
        <sz val="10"/>
        <color rgb="FF000000"/>
        <rFont val="Times New Roman"/>
        <family val="1"/>
      </rPr>
      <t>d</t>
    </r>
    <r>
      <rPr>
        <sz val="10"/>
        <color rgb="FF000000"/>
        <rFont val="Times New Roman"/>
        <family val="1"/>
      </rPr>
      <t xml:space="preserve">  </t>
    </r>
    <r>
      <rPr>
        <sz val="10"/>
        <color rgb="FF000000"/>
        <rFont val="Times New Roman"/>
        <family val="1"/>
      </rPr>
      <t xml:space="preserve"> </t>
    </r>
    <r>
      <rPr>
        <sz val="10"/>
        <color rgb="FF000000"/>
        <rFont val="Times New Roman"/>
        <family val="1"/>
      </rPr>
      <t>h</t>
    </r>
    <r>
      <rPr>
        <sz val="10"/>
        <color rgb="FF000000"/>
        <rFont val="Times New Roman"/>
        <family val="1"/>
      </rPr>
      <t>a</t>
    </r>
    <r>
      <rPr>
        <sz val="10"/>
        <color rgb="FF000000"/>
        <rFont val="Times New Roman"/>
        <family val="1"/>
      </rPr>
      <t>v</t>
    </r>
    <r>
      <rPr>
        <sz val="10"/>
        <color rgb="FF000000"/>
        <rFont val="Times New Roman"/>
        <family val="1"/>
      </rPr>
      <t>e</t>
    </r>
    <r>
      <rPr>
        <sz val="10"/>
        <color rgb="FF000000"/>
        <rFont val="Times New Roman"/>
        <family val="1"/>
      </rPr>
      <t xml:space="preserve">  </t>
    </r>
    <r>
      <rPr>
        <sz val="10"/>
        <color rgb="FF000000"/>
        <rFont val="Times New Roman"/>
        <family val="1"/>
      </rPr>
      <t xml:space="preserve"> </t>
    </r>
    <r>
      <rPr>
        <sz val="10"/>
        <color rgb="FF000000"/>
        <rFont val="Times New Roman"/>
        <family val="1"/>
      </rPr>
      <t>o</t>
    </r>
    <r>
      <rPr>
        <sz val="10"/>
        <color rgb="FF000000"/>
        <rFont val="Times New Roman"/>
        <family val="1"/>
      </rPr>
      <t>f</t>
    </r>
    <r>
      <rPr>
        <sz val="10"/>
        <color rgb="FF000000"/>
        <rFont val="Times New Roman"/>
        <family val="1"/>
      </rPr>
      <t xml:space="preserve"> </t>
    </r>
    <r>
      <rPr>
        <sz val="10"/>
        <color rgb="FF000000"/>
        <rFont val="Times New Roman"/>
        <family val="1"/>
      </rPr>
      <t xml:space="preserve"> </t>
    </r>
    <r>
      <rPr>
        <sz val="10"/>
        <color rgb="FF000000"/>
        <rFont val="Times New Roman"/>
        <family val="1"/>
      </rPr>
      <t>t</t>
    </r>
    <r>
      <rPr>
        <sz val="10"/>
        <color rgb="FF000000"/>
        <rFont val="Times New Roman"/>
        <family val="1"/>
      </rPr>
      <t>h</t>
    </r>
    <r>
      <rPr>
        <sz val="10"/>
        <color rgb="FF000000"/>
        <rFont val="Times New Roman"/>
        <family val="1"/>
      </rPr>
      <t>e</t>
    </r>
    <r>
      <rPr>
        <sz val="10"/>
        <color rgb="FF000000"/>
        <rFont val="Times New Roman"/>
        <family val="1"/>
      </rPr>
      <t xml:space="preserve">  </t>
    </r>
    <r>
      <rPr>
        <sz val="10"/>
        <color rgb="FF000000"/>
        <rFont val="Times New Roman"/>
        <family val="1"/>
      </rPr>
      <t xml:space="preserve"> </t>
    </r>
    <r>
      <rPr>
        <sz val="10"/>
        <color rgb="FF000000"/>
        <rFont val="Times New Roman"/>
        <family val="1"/>
      </rPr>
      <t>f</t>
    </r>
    <r>
      <rPr>
        <sz val="10"/>
        <color rgb="FF000000"/>
        <rFont val="Times New Roman"/>
        <family val="1"/>
      </rPr>
      <t>o</t>
    </r>
    <r>
      <rPr>
        <sz val="10"/>
        <color rgb="FF000000"/>
        <rFont val="Times New Roman"/>
        <family val="1"/>
      </rPr>
      <t>l</t>
    </r>
    <r>
      <rPr>
        <sz val="10"/>
        <color rgb="FF000000"/>
        <rFont val="Times New Roman"/>
        <family val="1"/>
      </rPr>
      <t>l</t>
    </r>
    <r>
      <rPr>
        <sz val="10"/>
        <color rgb="FF000000"/>
        <rFont val="Times New Roman"/>
        <family val="1"/>
      </rPr>
      <t>o</t>
    </r>
    <r>
      <rPr>
        <sz val="10"/>
        <color rgb="FF000000"/>
        <rFont val="Times New Roman"/>
        <family val="1"/>
      </rPr>
      <t>w</t>
    </r>
    <r>
      <rPr>
        <sz val="10"/>
        <color rgb="FF000000"/>
        <rFont val="Times New Roman"/>
        <family val="1"/>
      </rPr>
      <t>i</t>
    </r>
    <r>
      <rPr>
        <sz val="10"/>
        <color rgb="FF000000"/>
        <rFont val="Times New Roman"/>
        <family val="1"/>
      </rPr>
      <t>n</t>
    </r>
    <r>
      <rPr>
        <sz val="10"/>
        <color rgb="FF000000"/>
        <rFont val="Times New Roman"/>
        <family val="1"/>
      </rPr>
      <t xml:space="preserve">g
</t>
    </r>
    <r>
      <rPr>
        <sz val="10"/>
        <color rgb="FF000000"/>
        <rFont val="Times New Roman"/>
        <family val="1"/>
      </rPr>
      <t>C</t>
    </r>
    <r>
      <rPr>
        <sz val="10"/>
        <color rgb="FF000000"/>
        <rFont val="Times New Roman"/>
        <family val="1"/>
      </rPr>
      <t>e</t>
    </r>
    <r>
      <rPr>
        <sz val="10"/>
        <color rgb="FF000000"/>
        <rFont val="Times New Roman"/>
        <family val="1"/>
      </rPr>
      <t>r</t>
    </r>
    <r>
      <rPr>
        <sz val="10"/>
        <color rgb="FF000000"/>
        <rFont val="Times New Roman"/>
        <family val="1"/>
      </rPr>
      <t>t</t>
    </r>
    <r>
      <rPr>
        <sz val="10"/>
        <color rgb="FF000000"/>
        <rFont val="Times New Roman"/>
        <family val="1"/>
      </rPr>
      <t>i</t>
    </r>
    <r>
      <rPr>
        <sz val="10"/>
        <color rgb="FF000000"/>
        <rFont val="Times New Roman"/>
        <family val="1"/>
      </rPr>
      <t>f</t>
    </r>
    <r>
      <rPr>
        <sz val="10"/>
        <color rgb="FF000000"/>
        <rFont val="Times New Roman"/>
        <family val="1"/>
      </rPr>
      <t>i</t>
    </r>
    <r>
      <rPr>
        <sz val="10"/>
        <color rgb="FF000000"/>
        <rFont val="Times New Roman"/>
        <family val="1"/>
      </rPr>
      <t>c</t>
    </r>
    <r>
      <rPr>
        <sz val="10"/>
        <color rgb="FF000000"/>
        <rFont val="Times New Roman"/>
        <family val="1"/>
      </rPr>
      <t>a</t>
    </r>
    <r>
      <rPr>
        <sz val="10"/>
        <color rgb="FF000000"/>
        <rFont val="Times New Roman"/>
        <family val="1"/>
      </rPr>
      <t>t</t>
    </r>
    <r>
      <rPr>
        <sz val="10"/>
        <color rgb="FF000000"/>
        <rFont val="Times New Roman"/>
        <family val="1"/>
      </rPr>
      <t>i</t>
    </r>
    <r>
      <rPr>
        <sz val="10"/>
        <color rgb="FF000000"/>
        <rFont val="Times New Roman"/>
        <family val="1"/>
      </rPr>
      <t>on</t>
    </r>
    <r>
      <rPr>
        <sz val="10"/>
        <color rgb="FF000000"/>
        <rFont val="Times New Roman"/>
        <family val="1"/>
      </rPr>
      <t>s</t>
    </r>
    <r>
      <rPr>
        <sz val="10"/>
        <color rgb="FF000000"/>
        <rFont val="Times New Roman"/>
        <family val="1"/>
      </rPr>
      <t xml:space="preserve"> </t>
    </r>
    <r>
      <rPr>
        <sz val="10"/>
        <color rgb="FF000000"/>
        <rFont val="Times New Roman"/>
        <family val="1"/>
      </rPr>
      <t>v</t>
    </r>
    <r>
      <rPr>
        <sz val="10"/>
        <color rgb="FF000000"/>
        <rFont val="Times New Roman"/>
        <family val="1"/>
      </rPr>
      <t>a</t>
    </r>
    <r>
      <rPr>
        <sz val="10"/>
        <color rgb="FF000000"/>
        <rFont val="Times New Roman"/>
        <family val="1"/>
      </rPr>
      <t>l</t>
    </r>
    <r>
      <rPr>
        <sz val="10"/>
        <color rgb="FF000000"/>
        <rFont val="Times New Roman"/>
        <family val="1"/>
      </rPr>
      <t>i</t>
    </r>
    <r>
      <rPr>
        <sz val="10"/>
        <color rgb="FF000000"/>
        <rFont val="Times New Roman"/>
        <family val="1"/>
      </rPr>
      <t>d</t>
    </r>
    <r>
      <rPr>
        <sz val="10"/>
        <color rgb="FF000000"/>
        <rFont val="Times New Roman"/>
        <family val="1"/>
      </rPr>
      <t xml:space="preserve"> </t>
    </r>
    <r>
      <rPr>
        <sz val="10"/>
        <color rgb="FF000000"/>
        <rFont val="Times New Roman"/>
        <family val="1"/>
      </rPr>
      <t>a</t>
    </r>
    <r>
      <rPr>
        <sz val="10"/>
        <color rgb="FF000000"/>
        <rFont val="Times New Roman"/>
        <family val="1"/>
      </rPr>
      <t>t</t>
    </r>
    <r>
      <rPr>
        <sz val="10"/>
        <color rgb="FF000000"/>
        <rFont val="Times New Roman"/>
        <family val="1"/>
      </rPr>
      <t xml:space="preserve"> </t>
    </r>
    <r>
      <rPr>
        <sz val="10"/>
        <color rgb="FF000000"/>
        <rFont val="Times New Roman"/>
        <family val="1"/>
      </rPr>
      <t>t</t>
    </r>
    <r>
      <rPr>
        <sz val="10"/>
        <color rgb="FF000000"/>
        <rFont val="Times New Roman"/>
        <family val="1"/>
      </rPr>
      <t>h</t>
    </r>
    <r>
      <rPr>
        <sz val="10"/>
        <color rgb="FF000000"/>
        <rFont val="Times New Roman"/>
        <family val="1"/>
      </rPr>
      <t>e</t>
    </r>
    <r>
      <rPr>
        <sz val="10"/>
        <color rgb="FF000000"/>
        <rFont val="Times New Roman"/>
        <family val="1"/>
      </rPr>
      <t xml:space="preserve"> </t>
    </r>
    <r>
      <rPr>
        <sz val="10"/>
        <color rgb="FF000000"/>
        <rFont val="Times New Roman"/>
        <family val="1"/>
      </rPr>
      <t>t</t>
    </r>
    <r>
      <rPr>
        <sz val="10"/>
        <color rgb="FF000000"/>
        <rFont val="Times New Roman"/>
        <family val="1"/>
      </rPr>
      <t>i</t>
    </r>
    <r>
      <rPr>
        <sz val="10"/>
        <color rgb="FF000000"/>
        <rFont val="Times New Roman"/>
        <family val="1"/>
      </rPr>
      <t>m</t>
    </r>
    <r>
      <rPr>
        <sz val="10"/>
        <color rgb="FF000000"/>
        <rFont val="Times New Roman"/>
        <family val="1"/>
      </rPr>
      <t>e</t>
    </r>
    <r>
      <rPr>
        <sz val="10"/>
        <color rgb="FF000000"/>
        <rFont val="Times New Roman"/>
        <family val="1"/>
      </rPr>
      <t xml:space="preserve"> </t>
    </r>
    <r>
      <rPr>
        <sz val="10"/>
        <color rgb="FF000000"/>
        <rFont val="Times New Roman"/>
        <family val="1"/>
      </rPr>
      <t>o</t>
    </r>
    <r>
      <rPr>
        <sz val="10"/>
        <color rgb="FF000000"/>
        <rFont val="Times New Roman"/>
        <family val="1"/>
      </rPr>
      <t>f</t>
    </r>
    <r>
      <rPr>
        <sz val="10"/>
        <color rgb="FF000000"/>
        <rFont val="Times New Roman"/>
        <family val="1"/>
      </rPr>
      <t xml:space="preserve"> </t>
    </r>
    <r>
      <rPr>
        <sz val="10"/>
        <color rgb="FF000000"/>
        <rFont val="Times New Roman"/>
        <family val="1"/>
      </rPr>
      <t>B</t>
    </r>
    <r>
      <rPr>
        <sz val="10"/>
        <color rgb="FF000000"/>
        <rFont val="Times New Roman"/>
        <family val="1"/>
      </rPr>
      <t>i</t>
    </r>
    <r>
      <rPr>
        <sz val="10"/>
        <color rgb="FF000000"/>
        <rFont val="Times New Roman"/>
        <family val="1"/>
      </rPr>
      <t>d</t>
    </r>
    <r>
      <rPr>
        <sz val="10"/>
        <color rgb="FF000000"/>
        <rFont val="Times New Roman"/>
        <family val="1"/>
      </rPr>
      <t>d</t>
    </r>
    <r>
      <rPr>
        <sz val="10"/>
        <color rgb="FF000000"/>
        <rFont val="Times New Roman"/>
        <family val="1"/>
      </rPr>
      <t>i</t>
    </r>
    <r>
      <rPr>
        <sz val="10"/>
        <color rgb="FF000000"/>
        <rFont val="Times New Roman"/>
        <family val="1"/>
      </rPr>
      <t>n</t>
    </r>
    <r>
      <rPr>
        <sz val="10"/>
        <color rgb="FF000000"/>
        <rFont val="Times New Roman"/>
        <family val="1"/>
      </rPr>
      <t>g</t>
    </r>
    <r>
      <rPr>
        <sz val="10"/>
        <color rgb="FF000000"/>
        <rFont val="Times New Roman"/>
        <family val="1"/>
      </rPr>
      <t>:</t>
    </r>
  </si>
  <si>
    <r>
      <rPr>
        <sz val="10"/>
        <color rgb="FF000000"/>
        <rFont val="Times New Roman"/>
        <family val="1"/>
      </rPr>
      <t>V</t>
    </r>
    <r>
      <rPr>
        <sz val="10"/>
        <color rgb="FF000000"/>
        <rFont val="Times New Roman"/>
        <family val="1"/>
      </rPr>
      <t>a</t>
    </r>
    <r>
      <rPr>
        <sz val="10"/>
        <color rgb="FF000000"/>
        <rFont val="Times New Roman"/>
        <family val="1"/>
      </rPr>
      <t>li</t>
    </r>
    <r>
      <rPr>
        <sz val="10"/>
        <color rgb="FF000000"/>
        <rFont val="Times New Roman"/>
        <family val="1"/>
      </rPr>
      <t>d</t>
    </r>
    <r>
      <rPr>
        <sz val="10"/>
        <color rgb="FF000000"/>
        <rFont val="Times New Roman"/>
        <family val="1"/>
      </rPr>
      <t xml:space="preserve">  </t>
    </r>
    <r>
      <rPr>
        <sz val="10"/>
        <color rgb="FF000000"/>
        <rFont val="Times New Roman"/>
        <family val="1"/>
      </rPr>
      <t xml:space="preserve"> </t>
    </r>
    <r>
      <rPr>
        <sz val="10"/>
        <color rgb="FF000000"/>
        <rFont val="Times New Roman"/>
        <family val="1"/>
      </rPr>
      <t>C</t>
    </r>
    <r>
      <rPr>
        <sz val="10"/>
        <color rgb="FF000000"/>
        <rFont val="Times New Roman"/>
        <family val="1"/>
      </rPr>
      <t>e</t>
    </r>
    <r>
      <rPr>
        <sz val="10"/>
        <color rgb="FF000000"/>
        <rFont val="Times New Roman"/>
        <family val="1"/>
      </rPr>
      <t>r</t>
    </r>
    <r>
      <rPr>
        <sz val="10"/>
        <color rgb="FF000000"/>
        <rFont val="Times New Roman"/>
        <family val="1"/>
      </rPr>
      <t>t</t>
    </r>
    <r>
      <rPr>
        <sz val="10"/>
        <color rgb="FF000000"/>
        <rFont val="Times New Roman"/>
        <family val="1"/>
      </rPr>
      <t>i</t>
    </r>
    <r>
      <rPr>
        <sz val="10"/>
        <color rgb="FF000000"/>
        <rFont val="Times New Roman"/>
        <family val="1"/>
      </rPr>
      <t>f</t>
    </r>
    <r>
      <rPr>
        <sz val="10"/>
        <color rgb="FF000000"/>
        <rFont val="Times New Roman"/>
        <family val="1"/>
      </rPr>
      <t>i</t>
    </r>
    <r>
      <rPr>
        <sz val="10"/>
        <color rgb="FF000000"/>
        <rFont val="Times New Roman"/>
        <family val="1"/>
      </rPr>
      <t>c</t>
    </r>
    <r>
      <rPr>
        <sz val="10"/>
        <color rgb="FF000000"/>
        <rFont val="Times New Roman"/>
        <family val="1"/>
      </rPr>
      <t>a</t>
    </r>
    <r>
      <rPr>
        <sz val="10"/>
        <color rgb="FF000000"/>
        <rFont val="Times New Roman"/>
        <family val="1"/>
      </rPr>
      <t>t</t>
    </r>
    <r>
      <rPr>
        <sz val="10"/>
        <color rgb="FF000000"/>
        <rFont val="Times New Roman"/>
        <family val="1"/>
      </rPr>
      <t>e</t>
    </r>
    <r>
      <rPr>
        <sz val="10"/>
        <color rgb="FF000000"/>
        <rFont val="Times New Roman"/>
        <family val="1"/>
      </rPr>
      <t>(</t>
    </r>
    <r>
      <rPr>
        <sz val="10"/>
        <color rgb="FF000000"/>
        <rFont val="Times New Roman"/>
        <family val="1"/>
      </rPr>
      <t>s</t>
    </r>
    <r>
      <rPr>
        <sz val="10"/>
        <color rgb="FF000000"/>
        <rFont val="Times New Roman"/>
        <family val="1"/>
      </rPr>
      <t>)</t>
    </r>
    <r>
      <rPr>
        <sz val="10"/>
        <color rgb="FF000000"/>
        <rFont val="Times New Roman"/>
        <family val="1"/>
      </rPr>
      <t xml:space="preserve">  </t>
    </r>
    <r>
      <rPr>
        <sz val="10"/>
        <color rgb="FF000000"/>
        <rFont val="Times New Roman"/>
        <family val="1"/>
      </rPr>
      <t xml:space="preserve"> </t>
    </r>
    <r>
      <rPr>
        <sz val="10"/>
        <color rgb="FF000000"/>
        <rFont val="Times New Roman"/>
        <family val="1"/>
      </rPr>
      <t>b</t>
    </r>
    <r>
      <rPr>
        <sz val="10"/>
        <color rgb="FF000000"/>
        <rFont val="Times New Roman"/>
        <family val="1"/>
      </rPr>
      <t>y</t>
    </r>
    <r>
      <rPr>
        <sz val="10"/>
        <color rgb="FF000000"/>
        <rFont val="Times New Roman"/>
        <family val="1"/>
      </rPr>
      <t xml:space="preserve">  </t>
    </r>
    <r>
      <rPr>
        <sz val="10"/>
        <color rgb="FF000000"/>
        <rFont val="Times New Roman"/>
        <family val="1"/>
      </rPr>
      <t xml:space="preserve"> </t>
    </r>
    <r>
      <rPr>
        <sz val="10"/>
        <color rgb="FF000000"/>
        <rFont val="Times New Roman"/>
        <family val="1"/>
      </rPr>
      <t>t</t>
    </r>
    <r>
      <rPr>
        <sz val="10"/>
        <color rgb="FF000000"/>
        <rFont val="Times New Roman"/>
        <family val="1"/>
      </rPr>
      <t>h</t>
    </r>
    <r>
      <rPr>
        <sz val="10"/>
        <color rgb="FF000000"/>
        <rFont val="Times New Roman"/>
        <family val="1"/>
      </rPr>
      <t>e</t>
    </r>
    <r>
      <rPr>
        <sz val="10"/>
        <color rgb="FF000000"/>
        <rFont val="Times New Roman"/>
        <family val="1"/>
      </rPr>
      <t xml:space="preserve">   </t>
    </r>
    <r>
      <rPr>
        <sz val="10"/>
        <color rgb="FF000000"/>
        <rFont val="Times New Roman"/>
        <family val="1"/>
      </rPr>
      <t xml:space="preserve"> </t>
    </r>
    <r>
      <rPr>
        <sz val="10"/>
        <color rgb="FF000000"/>
        <rFont val="Times New Roman"/>
        <family val="1"/>
      </rPr>
      <t>r</t>
    </r>
    <r>
      <rPr>
        <sz val="10"/>
        <color rgb="FF000000"/>
        <rFont val="Times New Roman"/>
        <family val="1"/>
      </rPr>
      <t>e</t>
    </r>
    <r>
      <rPr>
        <sz val="10"/>
        <color rgb="FF000000"/>
        <rFont val="Times New Roman"/>
        <family val="1"/>
      </rPr>
      <t>l</t>
    </r>
    <r>
      <rPr>
        <sz val="10"/>
        <color rgb="FF000000"/>
        <rFont val="Times New Roman"/>
        <family val="1"/>
      </rPr>
      <t>e</t>
    </r>
    <r>
      <rPr>
        <sz val="10"/>
        <color rgb="FF000000"/>
        <rFont val="Times New Roman"/>
        <family val="1"/>
      </rPr>
      <t>v</t>
    </r>
    <r>
      <rPr>
        <sz val="10"/>
        <color rgb="FF000000"/>
        <rFont val="Times New Roman"/>
        <family val="1"/>
      </rPr>
      <t>a</t>
    </r>
    <r>
      <rPr>
        <sz val="10"/>
        <color rgb="FF000000"/>
        <rFont val="Times New Roman"/>
        <family val="1"/>
      </rPr>
      <t>n</t>
    </r>
    <r>
      <rPr>
        <sz val="10"/>
        <color rgb="FF000000"/>
        <rFont val="Times New Roman"/>
        <family val="1"/>
      </rPr>
      <t>t</t>
    </r>
    <r>
      <rPr>
        <sz val="10"/>
        <color rgb="FF000000"/>
        <rFont val="Times New Roman"/>
        <family val="1"/>
      </rPr>
      <t xml:space="preserve"> </t>
    </r>
    <r>
      <rPr>
        <sz val="10"/>
        <color rgb="FF000000"/>
        <rFont val="Times New Roman"/>
        <family val="1"/>
      </rPr>
      <t>c</t>
    </r>
    <r>
      <rPr>
        <sz val="10"/>
        <color rgb="FF000000"/>
        <rFont val="Times New Roman"/>
        <family val="1"/>
      </rPr>
      <t>e</t>
    </r>
    <r>
      <rPr>
        <sz val="10"/>
        <color rgb="FF000000"/>
        <rFont val="Times New Roman"/>
        <family val="1"/>
      </rPr>
      <t>r</t>
    </r>
    <r>
      <rPr>
        <sz val="10"/>
        <color rgb="FF000000"/>
        <rFont val="Times New Roman"/>
        <family val="1"/>
      </rPr>
      <t>t</t>
    </r>
    <r>
      <rPr>
        <sz val="10"/>
        <color rgb="FF000000"/>
        <rFont val="Times New Roman"/>
        <family val="1"/>
      </rPr>
      <t>i</t>
    </r>
    <r>
      <rPr>
        <sz val="10"/>
        <color rgb="FF000000"/>
        <rFont val="Times New Roman"/>
        <family val="1"/>
      </rPr>
      <t>f</t>
    </r>
    <r>
      <rPr>
        <sz val="10"/>
        <color rgb="FF000000"/>
        <rFont val="Times New Roman"/>
        <family val="1"/>
      </rPr>
      <t>y</t>
    </r>
    <r>
      <rPr>
        <sz val="10"/>
        <color rgb="FF000000"/>
        <rFont val="Times New Roman"/>
        <family val="1"/>
      </rPr>
      <t>i</t>
    </r>
    <r>
      <rPr>
        <sz val="10"/>
        <color rgb="FF000000"/>
        <rFont val="Times New Roman"/>
        <family val="1"/>
      </rPr>
      <t>n</t>
    </r>
    <r>
      <rPr>
        <sz val="10"/>
        <color rgb="FF000000"/>
        <rFont val="Times New Roman"/>
        <family val="1"/>
      </rPr>
      <t>g</t>
    </r>
    <r>
      <rPr>
        <sz val="10"/>
        <color rgb="FF000000"/>
        <rFont val="Times New Roman"/>
        <family val="1"/>
      </rPr>
      <t xml:space="preserve"> </t>
    </r>
    <r>
      <rPr>
        <sz val="10"/>
        <color rgb="FF000000"/>
        <rFont val="Times New Roman"/>
        <family val="1"/>
      </rPr>
      <t>a</t>
    </r>
    <r>
      <rPr>
        <sz val="10"/>
        <color rgb="FF000000"/>
        <rFont val="Times New Roman"/>
        <family val="1"/>
      </rPr>
      <t>g</t>
    </r>
    <r>
      <rPr>
        <sz val="10"/>
        <color rgb="FF000000"/>
        <rFont val="Times New Roman"/>
        <family val="1"/>
      </rPr>
      <t>e</t>
    </r>
    <r>
      <rPr>
        <sz val="10"/>
        <color rgb="FF000000"/>
        <rFont val="Times New Roman"/>
        <family val="1"/>
      </rPr>
      <t>n</t>
    </r>
    <r>
      <rPr>
        <sz val="10"/>
        <color rgb="FF000000"/>
        <rFont val="Times New Roman"/>
        <family val="1"/>
      </rPr>
      <t>c</t>
    </r>
    <r>
      <rPr>
        <sz val="10"/>
        <color rgb="FF000000"/>
        <rFont val="Times New Roman"/>
        <family val="1"/>
      </rPr>
      <t>y</t>
    </r>
    <r>
      <rPr>
        <sz val="10"/>
        <color rgb="FF000000"/>
        <rFont val="Times New Roman"/>
        <family val="1"/>
      </rPr>
      <t>.</t>
    </r>
  </si>
  <si>
    <t>1. ISO 9001</t>
  </si>
  <si>
    <t>2. ISO 27001</t>
  </si>
  <si>
    <t>3. ISO 27017 &amp; ISO 27018</t>
  </si>
  <si>
    <t>4. ISO 20000-1</t>
  </si>
  <si>
    <t>5. ISO 22301</t>
  </si>
  <si>
    <t>6. SOC1, SOC2 &amp; SOC 3 Report</t>
  </si>
  <si>
    <r>
      <rPr>
        <sz val="10"/>
        <color rgb="FF000000"/>
        <rFont val="Times New Roman"/>
        <family val="1"/>
      </rPr>
      <t>7.</t>
    </r>
    <r>
      <rPr>
        <sz val="10"/>
        <color rgb="FF000000"/>
        <rFont val="Times New Roman"/>
        <family val="1"/>
      </rPr>
      <t xml:space="preserve"> </t>
    </r>
    <r>
      <rPr>
        <sz val="10"/>
        <color rgb="FF000000"/>
        <rFont val="Times New Roman"/>
        <family val="1"/>
      </rPr>
      <t>C</t>
    </r>
    <r>
      <rPr>
        <sz val="10"/>
        <color rgb="FF000000"/>
        <rFont val="Times New Roman"/>
        <family val="1"/>
      </rPr>
      <t>e</t>
    </r>
    <r>
      <rPr>
        <sz val="10"/>
        <color rgb="FF000000"/>
        <rFont val="Times New Roman"/>
        <family val="1"/>
      </rPr>
      <t>r</t>
    </r>
    <r>
      <rPr>
        <sz val="10"/>
        <color rgb="FF000000"/>
        <rFont val="Times New Roman"/>
        <family val="1"/>
      </rPr>
      <t>t</t>
    </r>
    <r>
      <rPr>
        <sz val="10"/>
        <color rgb="FF000000"/>
        <rFont val="Times New Roman"/>
        <family val="1"/>
      </rPr>
      <t>i</t>
    </r>
    <r>
      <rPr>
        <sz val="10"/>
        <color rgb="FF000000"/>
        <rFont val="Times New Roman"/>
        <family val="1"/>
      </rPr>
      <t>f</t>
    </r>
    <r>
      <rPr>
        <sz val="10"/>
        <color rgb="FF000000"/>
        <rFont val="Times New Roman"/>
        <family val="1"/>
      </rPr>
      <t>i</t>
    </r>
    <r>
      <rPr>
        <sz val="10"/>
        <color rgb="FF000000"/>
        <rFont val="Times New Roman"/>
        <family val="1"/>
      </rPr>
      <t>c</t>
    </r>
    <r>
      <rPr>
        <sz val="10"/>
        <color rgb="FF000000"/>
        <rFont val="Times New Roman"/>
        <family val="1"/>
      </rPr>
      <t>a</t>
    </r>
    <r>
      <rPr>
        <sz val="10"/>
        <color rgb="FF000000"/>
        <rFont val="Times New Roman"/>
        <family val="1"/>
      </rPr>
      <t>t</t>
    </r>
    <r>
      <rPr>
        <sz val="10"/>
        <color rgb="FF000000"/>
        <rFont val="Times New Roman"/>
        <family val="1"/>
      </rPr>
      <t>e</t>
    </r>
    <r>
      <rPr>
        <sz val="10"/>
        <color rgb="FF000000"/>
        <rFont val="Times New Roman"/>
        <family val="1"/>
      </rPr>
      <t xml:space="preserve"> </t>
    </r>
    <r>
      <rPr>
        <sz val="10"/>
        <color rgb="FF000000"/>
        <rFont val="Times New Roman"/>
        <family val="1"/>
      </rPr>
      <t>f</t>
    </r>
    <r>
      <rPr>
        <sz val="10"/>
        <color rgb="FF000000"/>
        <rFont val="Times New Roman"/>
        <family val="1"/>
      </rPr>
      <t>r</t>
    </r>
    <r>
      <rPr>
        <sz val="10"/>
        <color rgb="FF000000"/>
        <rFont val="Times New Roman"/>
        <family val="1"/>
      </rPr>
      <t>o</t>
    </r>
    <r>
      <rPr>
        <sz val="10"/>
        <color rgb="FF000000"/>
        <rFont val="Times New Roman"/>
        <family val="1"/>
      </rPr>
      <t>m</t>
    </r>
    <r>
      <rPr>
        <sz val="10"/>
        <color rgb="FF000000"/>
        <rFont val="Times New Roman"/>
        <family val="1"/>
      </rPr>
      <t xml:space="preserve"> </t>
    </r>
    <r>
      <rPr>
        <sz val="10"/>
        <color rgb="FF000000"/>
        <rFont val="Times New Roman"/>
        <family val="1"/>
      </rPr>
      <t>U</t>
    </r>
    <r>
      <rPr>
        <sz val="10"/>
        <color rgb="FF000000"/>
        <rFont val="Times New Roman"/>
        <family val="1"/>
      </rPr>
      <t>p</t>
    </r>
    <r>
      <rPr>
        <sz val="10"/>
        <color rgb="FF000000"/>
        <rFont val="Times New Roman"/>
        <family val="1"/>
      </rPr>
      <t>t</t>
    </r>
    <r>
      <rPr>
        <sz val="10"/>
        <color rgb="FF000000"/>
        <rFont val="Times New Roman"/>
        <family val="1"/>
      </rPr>
      <t>i</t>
    </r>
    <r>
      <rPr>
        <sz val="10"/>
        <color rgb="FF000000"/>
        <rFont val="Times New Roman"/>
        <family val="1"/>
      </rPr>
      <t>m</t>
    </r>
    <r>
      <rPr>
        <sz val="10"/>
        <color rgb="FF000000"/>
        <rFont val="Times New Roman"/>
        <family val="1"/>
      </rPr>
      <t>e</t>
    </r>
    <r>
      <rPr>
        <sz val="10"/>
        <color rgb="FF000000"/>
        <rFont val="Times New Roman"/>
        <family val="1"/>
      </rPr>
      <t xml:space="preserve"> </t>
    </r>
    <r>
      <rPr>
        <sz val="10"/>
        <color rgb="FF000000"/>
        <rFont val="Times New Roman"/>
        <family val="1"/>
      </rPr>
      <t>I</t>
    </r>
    <r>
      <rPr>
        <sz val="10"/>
        <color rgb="FF000000"/>
        <rFont val="Times New Roman"/>
        <family val="1"/>
      </rPr>
      <t>n</t>
    </r>
    <r>
      <rPr>
        <sz val="10"/>
        <color rgb="FF000000"/>
        <rFont val="Times New Roman"/>
        <family val="1"/>
      </rPr>
      <t>s</t>
    </r>
    <r>
      <rPr>
        <sz val="10"/>
        <color rgb="FF000000"/>
        <rFont val="Times New Roman"/>
        <family val="1"/>
      </rPr>
      <t>t</t>
    </r>
    <r>
      <rPr>
        <sz val="10"/>
        <color rgb="FF000000"/>
        <rFont val="Times New Roman"/>
        <family val="1"/>
      </rPr>
      <t>i</t>
    </r>
    <r>
      <rPr>
        <sz val="10"/>
        <color rgb="FF000000"/>
        <rFont val="Times New Roman"/>
        <family val="1"/>
      </rPr>
      <t>t</t>
    </r>
    <r>
      <rPr>
        <sz val="10"/>
        <color rgb="FF000000"/>
        <rFont val="Times New Roman"/>
        <family val="1"/>
      </rPr>
      <t>u</t>
    </r>
    <r>
      <rPr>
        <sz val="10"/>
        <color rgb="FF000000"/>
        <rFont val="Times New Roman"/>
        <family val="1"/>
      </rPr>
      <t>t</t>
    </r>
    <r>
      <rPr>
        <sz val="10"/>
        <color rgb="FF000000"/>
        <rFont val="Times New Roman"/>
        <family val="1"/>
      </rPr>
      <t>e</t>
    </r>
    <r>
      <rPr>
        <sz val="10"/>
        <color rgb="FF000000"/>
        <rFont val="Times New Roman"/>
        <family val="1"/>
      </rPr>
      <t xml:space="preserve"> </t>
    </r>
    <r>
      <rPr>
        <sz val="10"/>
        <color rgb="FF000000"/>
        <rFont val="Times New Roman"/>
        <family val="1"/>
      </rPr>
      <t>o</t>
    </r>
    <r>
      <rPr>
        <sz val="10"/>
        <color rgb="FF000000"/>
        <rFont val="Times New Roman"/>
        <family val="1"/>
      </rPr>
      <t>r</t>
    </r>
    <r>
      <rPr>
        <sz val="10"/>
        <color rgb="FF000000"/>
        <rFont val="Times New Roman"/>
        <family val="1"/>
      </rPr>
      <t xml:space="preserve"> </t>
    </r>
    <r>
      <rPr>
        <sz val="10"/>
        <color rgb="FF000000"/>
        <rFont val="Times New Roman"/>
        <family val="1"/>
      </rPr>
      <t>T</t>
    </r>
    <r>
      <rPr>
        <sz val="10"/>
        <color rgb="FF000000"/>
        <rFont val="Times New Roman"/>
        <family val="1"/>
      </rPr>
      <t>I</t>
    </r>
    <r>
      <rPr>
        <sz val="10"/>
        <color rgb="FF000000"/>
        <rFont val="Times New Roman"/>
        <family val="1"/>
      </rPr>
      <t xml:space="preserve">A
</t>
    </r>
    <r>
      <rPr>
        <sz val="10"/>
        <color rgb="FF000000"/>
        <rFont val="Times New Roman"/>
        <family val="1"/>
      </rPr>
      <t>9</t>
    </r>
    <r>
      <rPr>
        <sz val="10"/>
        <color rgb="FF000000"/>
        <rFont val="Times New Roman"/>
        <family val="1"/>
      </rPr>
      <t>4</t>
    </r>
    <r>
      <rPr>
        <sz val="10"/>
        <color rgb="FF000000"/>
        <rFont val="Times New Roman"/>
        <family val="1"/>
      </rPr>
      <t>2.</t>
    </r>
  </si>
  <si>
    <r>
      <rPr>
        <sz val="10"/>
        <color rgb="FF000000"/>
        <rFont val="Times New Roman"/>
        <family val="1"/>
      </rPr>
      <t>8.</t>
    </r>
    <r>
      <rPr>
        <sz val="10"/>
        <color rgb="FF000000"/>
        <rFont val="Times New Roman"/>
        <family val="1"/>
      </rPr>
      <t xml:space="preserve"> </t>
    </r>
    <r>
      <rPr>
        <sz val="10"/>
        <color rgb="FF000000"/>
        <rFont val="Times New Roman"/>
        <family val="1"/>
      </rPr>
      <t xml:space="preserve"> </t>
    </r>
    <r>
      <rPr>
        <sz val="10"/>
        <color rgb="FF000000"/>
        <rFont val="Times New Roman"/>
        <family val="1"/>
      </rPr>
      <t>M</t>
    </r>
    <r>
      <rPr>
        <sz val="10"/>
        <color rgb="FF000000"/>
        <rFont val="Times New Roman"/>
        <family val="1"/>
      </rPr>
      <t>e</t>
    </r>
    <r>
      <rPr>
        <sz val="10"/>
        <color rgb="FF000000"/>
        <rFont val="Times New Roman"/>
        <family val="1"/>
      </rPr>
      <t>i</t>
    </r>
    <r>
      <rPr>
        <sz val="10"/>
        <color rgb="FF000000"/>
        <rFont val="Times New Roman"/>
        <family val="1"/>
      </rPr>
      <t>T</t>
    </r>
    <r>
      <rPr>
        <sz val="10"/>
        <color rgb="FF000000"/>
        <rFont val="Times New Roman"/>
        <family val="1"/>
      </rPr>
      <t>Y</t>
    </r>
    <r>
      <rPr>
        <sz val="10"/>
        <color rgb="FF000000"/>
        <rFont val="Times New Roman"/>
        <family val="1"/>
      </rPr>
      <t xml:space="preserve">  </t>
    </r>
    <r>
      <rPr>
        <sz val="10"/>
        <color rgb="FF000000"/>
        <rFont val="Times New Roman"/>
        <family val="1"/>
      </rPr>
      <t xml:space="preserve"> </t>
    </r>
    <r>
      <rPr>
        <sz val="10"/>
        <color rgb="FF000000"/>
        <rFont val="Times New Roman"/>
        <family val="1"/>
      </rPr>
      <t>e</t>
    </r>
    <r>
      <rPr>
        <sz val="10"/>
        <color rgb="FF000000"/>
        <rFont val="Times New Roman"/>
        <family val="1"/>
      </rPr>
      <t>m</t>
    </r>
    <r>
      <rPr>
        <sz val="10"/>
        <color rgb="FF000000"/>
        <rFont val="Times New Roman"/>
        <family val="1"/>
      </rPr>
      <t>p</t>
    </r>
    <r>
      <rPr>
        <sz val="10"/>
        <color rgb="FF000000"/>
        <rFont val="Times New Roman"/>
        <family val="1"/>
      </rPr>
      <t>a</t>
    </r>
    <r>
      <rPr>
        <sz val="10"/>
        <color rgb="FF000000"/>
        <rFont val="Times New Roman"/>
        <family val="1"/>
      </rPr>
      <t>n</t>
    </r>
    <r>
      <rPr>
        <sz val="10"/>
        <color rgb="FF000000"/>
        <rFont val="Times New Roman"/>
        <family val="1"/>
      </rPr>
      <t>e</t>
    </r>
    <r>
      <rPr>
        <sz val="10"/>
        <color rgb="FF000000"/>
        <rFont val="Times New Roman"/>
        <family val="1"/>
      </rPr>
      <t>l</t>
    </r>
    <r>
      <rPr>
        <sz val="10"/>
        <color rgb="FF000000"/>
        <rFont val="Times New Roman"/>
        <family val="1"/>
      </rPr>
      <t>l</t>
    </r>
    <r>
      <rPr>
        <sz val="10"/>
        <color rgb="FF000000"/>
        <rFont val="Times New Roman"/>
        <family val="1"/>
      </rPr>
      <t>e</t>
    </r>
    <r>
      <rPr>
        <sz val="10"/>
        <color rgb="FF000000"/>
        <rFont val="Times New Roman"/>
        <family val="1"/>
      </rPr>
      <t>d</t>
    </r>
    <r>
      <rPr>
        <sz val="10"/>
        <color rgb="FF000000"/>
        <rFont val="Times New Roman"/>
        <family val="1"/>
      </rPr>
      <t xml:space="preserve">  </t>
    </r>
    <r>
      <rPr>
        <sz val="10"/>
        <color rgb="FF000000"/>
        <rFont val="Times New Roman"/>
        <family val="1"/>
      </rPr>
      <t xml:space="preserve"> </t>
    </r>
    <r>
      <rPr>
        <sz val="10"/>
        <color rgb="FF000000"/>
        <rFont val="Times New Roman"/>
        <family val="1"/>
      </rPr>
      <t>l</t>
    </r>
    <r>
      <rPr>
        <sz val="10"/>
        <color rgb="FF000000"/>
        <rFont val="Times New Roman"/>
        <family val="1"/>
      </rPr>
      <t>e</t>
    </r>
    <r>
      <rPr>
        <sz val="10"/>
        <color rgb="FF000000"/>
        <rFont val="Times New Roman"/>
        <family val="1"/>
      </rPr>
      <t>t</t>
    </r>
    <r>
      <rPr>
        <sz val="10"/>
        <color rgb="FF000000"/>
        <rFont val="Times New Roman"/>
        <family val="1"/>
      </rPr>
      <t>t</t>
    </r>
    <r>
      <rPr>
        <sz val="10"/>
        <color rgb="FF000000"/>
        <rFont val="Times New Roman"/>
        <family val="1"/>
      </rPr>
      <t>e</t>
    </r>
    <r>
      <rPr>
        <sz val="10"/>
        <color rgb="FF000000"/>
        <rFont val="Times New Roman"/>
        <family val="1"/>
      </rPr>
      <t>r</t>
    </r>
    <r>
      <rPr>
        <sz val="10"/>
        <color rgb="FF000000"/>
        <rFont val="Times New Roman"/>
        <family val="1"/>
      </rPr>
      <t xml:space="preserve">  </t>
    </r>
    <r>
      <rPr>
        <sz val="10"/>
        <color rgb="FF000000"/>
        <rFont val="Times New Roman"/>
        <family val="1"/>
      </rPr>
      <t xml:space="preserve"> </t>
    </r>
    <r>
      <rPr>
        <sz val="10"/>
        <color rgb="FF000000"/>
        <rFont val="Times New Roman"/>
        <family val="1"/>
      </rPr>
      <t>a</t>
    </r>
    <r>
      <rPr>
        <sz val="10"/>
        <color rgb="FF000000"/>
        <rFont val="Times New Roman"/>
        <family val="1"/>
      </rPr>
      <t>n</t>
    </r>
    <r>
      <rPr>
        <sz val="10"/>
        <color rgb="FF000000"/>
        <rFont val="Times New Roman"/>
        <family val="1"/>
      </rPr>
      <t>d</t>
    </r>
    <r>
      <rPr>
        <sz val="10"/>
        <color rgb="FF000000"/>
        <rFont val="Times New Roman"/>
        <family val="1"/>
      </rPr>
      <t xml:space="preserve">  </t>
    </r>
    <r>
      <rPr>
        <sz val="10"/>
        <color rgb="FF000000"/>
        <rFont val="Times New Roman"/>
        <family val="1"/>
      </rPr>
      <t xml:space="preserve"> </t>
    </r>
    <r>
      <rPr>
        <sz val="10"/>
        <color rgb="FF000000"/>
        <rFont val="Times New Roman"/>
        <family val="1"/>
      </rPr>
      <t>S</t>
    </r>
    <r>
      <rPr>
        <sz val="10"/>
        <color rgb="FF000000"/>
        <rFont val="Times New Roman"/>
        <family val="1"/>
      </rPr>
      <t>T</t>
    </r>
    <r>
      <rPr>
        <sz val="10"/>
        <color rgb="FF000000"/>
        <rFont val="Times New Roman"/>
        <family val="1"/>
      </rPr>
      <t>Q</t>
    </r>
    <r>
      <rPr>
        <sz val="10"/>
        <color rgb="FF000000"/>
        <rFont val="Times New Roman"/>
        <family val="1"/>
      </rPr>
      <t xml:space="preserve">C
</t>
    </r>
    <r>
      <rPr>
        <sz val="10"/>
        <color rgb="FF000000"/>
        <rFont val="Times New Roman"/>
        <family val="1"/>
      </rPr>
      <t>a</t>
    </r>
    <r>
      <rPr>
        <sz val="10"/>
        <color rgb="FF000000"/>
        <rFont val="Times New Roman"/>
        <family val="1"/>
      </rPr>
      <t>u</t>
    </r>
    <r>
      <rPr>
        <sz val="10"/>
        <color rgb="FF000000"/>
        <rFont val="Times New Roman"/>
        <family val="1"/>
      </rPr>
      <t>d</t>
    </r>
    <r>
      <rPr>
        <sz val="10"/>
        <color rgb="FF000000"/>
        <rFont val="Times New Roman"/>
        <family val="1"/>
      </rPr>
      <t>i</t>
    </r>
    <r>
      <rPr>
        <sz val="10"/>
        <color rgb="FF000000"/>
        <rFont val="Times New Roman"/>
        <family val="1"/>
      </rPr>
      <t>t</t>
    </r>
    <r>
      <rPr>
        <sz val="10"/>
        <color rgb="FF000000"/>
        <rFont val="Times New Roman"/>
        <family val="1"/>
      </rPr>
      <t>e</t>
    </r>
    <r>
      <rPr>
        <sz val="10"/>
        <color rgb="FF000000"/>
        <rFont val="Times New Roman"/>
        <family val="1"/>
      </rPr>
      <t>d</t>
    </r>
  </si>
  <si>
    <t>9. CMMI 3 or above</t>
  </si>
  <si>
    <r>
      <rPr>
        <sz val="10"/>
        <color rgb="FF000000"/>
        <rFont val="Times New Roman"/>
        <family val="1"/>
      </rPr>
      <t>F</t>
    </r>
    <r>
      <rPr>
        <sz val="10"/>
        <color rgb="FF000000"/>
        <rFont val="Times New Roman"/>
        <family val="1"/>
      </rPr>
      <t>o</t>
    </r>
    <r>
      <rPr>
        <sz val="10"/>
        <color rgb="FF000000"/>
        <rFont val="Times New Roman"/>
        <family val="1"/>
      </rPr>
      <t>r</t>
    </r>
    <r>
      <rPr>
        <sz val="10"/>
        <color rgb="FF000000"/>
        <rFont val="Times New Roman"/>
        <family val="1"/>
      </rPr>
      <t xml:space="preserve"> </t>
    </r>
    <r>
      <rPr>
        <sz val="10"/>
        <color rgb="FF000000"/>
        <rFont val="Times New Roman"/>
        <family val="1"/>
      </rPr>
      <t>S</t>
    </r>
    <r>
      <rPr>
        <sz val="10"/>
        <color rgb="FF000000"/>
        <rFont val="Times New Roman"/>
        <family val="1"/>
      </rPr>
      <t>r</t>
    </r>
    <r>
      <rPr>
        <sz val="10"/>
        <color rgb="FF000000"/>
        <rFont val="Times New Roman"/>
        <family val="1"/>
      </rPr>
      <t>.1</t>
    </r>
    <r>
      <rPr>
        <sz val="10"/>
        <color rgb="FF000000"/>
        <rFont val="Times New Roman"/>
        <family val="1"/>
      </rPr>
      <t xml:space="preserve"> </t>
    </r>
    <r>
      <rPr>
        <sz val="10"/>
        <color rgb="FF000000"/>
        <rFont val="Times New Roman"/>
        <family val="1"/>
      </rPr>
      <t>t</t>
    </r>
    <r>
      <rPr>
        <sz val="10"/>
        <color rgb="FF000000"/>
        <rFont val="Times New Roman"/>
        <family val="1"/>
      </rPr>
      <t>o</t>
    </r>
    <r>
      <rPr>
        <sz val="10"/>
        <color rgb="FF000000"/>
        <rFont val="Times New Roman"/>
        <family val="1"/>
      </rPr>
      <t xml:space="preserve"> </t>
    </r>
    <r>
      <rPr>
        <sz val="10"/>
        <color rgb="FF000000"/>
        <rFont val="Times New Roman"/>
        <family val="1"/>
      </rPr>
      <t>6</t>
    </r>
    <r>
      <rPr>
        <sz val="10"/>
        <color rgb="FF000000"/>
        <rFont val="Times New Roman"/>
        <family val="1"/>
      </rPr>
      <t xml:space="preserve"> </t>
    </r>
    <r>
      <rPr>
        <sz val="10"/>
        <color rgb="FF000000"/>
        <rFont val="Times New Roman"/>
        <family val="1"/>
      </rPr>
      <t>C</t>
    </r>
    <r>
      <rPr>
        <sz val="10"/>
        <color rgb="FF000000"/>
        <rFont val="Times New Roman"/>
        <family val="1"/>
      </rPr>
      <t>e</t>
    </r>
    <r>
      <rPr>
        <sz val="10"/>
        <color rgb="FF000000"/>
        <rFont val="Times New Roman"/>
        <family val="1"/>
      </rPr>
      <t>r</t>
    </r>
    <r>
      <rPr>
        <sz val="10"/>
        <color rgb="FF000000"/>
        <rFont val="Times New Roman"/>
        <family val="1"/>
      </rPr>
      <t>t</t>
    </r>
    <r>
      <rPr>
        <sz val="10"/>
        <color rgb="FF000000"/>
        <rFont val="Times New Roman"/>
        <family val="1"/>
      </rPr>
      <t>i</t>
    </r>
    <r>
      <rPr>
        <sz val="10"/>
        <color rgb="FF000000"/>
        <rFont val="Times New Roman"/>
        <family val="1"/>
      </rPr>
      <t>f</t>
    </r>
    <r>
      <rPr>
        <sz val="10"/>
        <color rgb="FF000000"/>
        <rFont val="Times New Roman"/>
        <family val="1"/>
      </rPr>
      <t>i</t>
    </r>
    <r>
      <rPr>
        <sz val="10"/>
        <color rgb="FF000000"/>
        <rFont val="Times New Roman"/>
        <family val="1"/>
      </rPr>
      <t>c</t>
    </r>
    <r>
      <rPr>
        <sz val="10"/>
        <color rgb="FF000000"/>
        <rFont val="Times New Roman"/>
        <family val="1"/>
      </rPr>
      <t>a</t>
    </r>
    <r>
      <rPr>
        <sz val="10"/>
        <color rgb="FF000000"/>
        <rFont val="Times New Roman"/>
        <family val="1"/>
      </rPr>
      <t>t</t>
    </r>
    <r>
      <rPr>
        <sz val="10"/>
        <color rgb="FF000000"/>
        <rFont val="Times New Roman"/>
        <family val="1"/>
      </rPr>
      <t>e</t>
    </r>
    <r>
      <rPr>
        <sz val="10"/>
        <color rgb="FF000000"/>
        <rFont val="Times New Roman"/>
        <family val="1"/>
      </rPr>
      <t>s</t>
    </r>
    <r>
      <rPr>
        <sz val="10"/>
        <color rgb="FF000000"/>
        <rFont val="Times New Roman"/>
        <family val="1"/>
      </rPr>
      <t xml:space="preserve"> </t>
    </r>
    <r>
      <rPr>
        <sz val="10"/>
        <color rgb="FF000000"/>
        <rFont val="Times New Roman"/>
        <family val="1"/>
      </rPr>
      <t>–</t>
    </r>
    <r>
      <rPr>
        <sz val="10"/>
        <color rgb="FF000000"/>
        <rFont val="Times New Roman"/>
        <family val="1"/>
      </rPr>
      <t xml:space="preserve"> </t>
    </r>
    <r>
      <rPr>
        <sz val="10"/>
        <color rgb="FF000000"/>
        <rFont val="Times New Roman"/>
        <family val="1"/>
      </rPr>
      <t>5</t>
    </r>
    <r>
      <rPr>
        <sz val="10"/>
        <color rgb="FF000000"/>
        <rFont val="Times New Roman"/>
        <family val="1"/>
      </rPr>
      <t xml:space="preserve"> </t>
    </r>
    <r>
      <rPr>
        <sz val="10"/>
        <color rgb="FF000000"/>
        <rFont val="Times New Roman"/>
        <family val="1"/>
      </rPr>
      <t>M</t>
    </r>
    <r>
      <rPr>
        <sz val="10"/>
        <color rgb="FF000000"/>
        <rFont val="Times New Roman"/>
        <family val="1"/>
      </rPr>
      <t>a</t>
    </r>
    <r>
      <rPr>
        <sz val="10"/>
        <color rgb="FF000000"/>
        <rFont val="Times New Roman"/>
        <family val="1"/>
      </rPr>
      <t>r</t>
    </r>
    <r>
      <rPr>
        <sz val="10"/>
        <color rgb="FF000000"/>
        <rFont val="Times New Roman"/>
        <family val="1"/>
      </rPr>
      <t>k</t>
    </r>
    <r>
      <rPr>
        <sz val="10"/>
        <color rgb="FF000000"/>
        <rFont val="Times New Roman"/>
        <family val="1"/>
      </rPr>
      <t>s</t>
    </r>
  </si>
  <si>
    <r>
      <rPr>
        <sz val="10"/>
        <color rgb="FF000000"/>
        <rFont val="Times New Roman"/>
        <family val="1"/>
      </rPr>
      <t>F</t>
    </r>
    <r>
      <rPr>
        <sz val="10"/>
        <color rgb="FF000000"/>
        <rFont val="Times New Roman"/>
        <family val="1"/>
      </rPr>
      <t>o</t>
    </r>
    <r>
      <rPr>
        <sz val="10"/>
        <color rgb="FF000000"/>
        <rFont val="Times New Roman"/>
        <family val="1"/>
      </rPr>
      <t>r</t>
    </r>
    <r>
      <rPr>
        <sz val="10"/>
        <color rgb="FF000000"/>
        <rFont val="Times New Roman"/>
        <family val="1"/>
      </rPr>
      <t xml:space="preserve"> </t>
    </r>
    <r>
      <rPr>
        <sz val="10"/>
        <color rgb="FF000000"/>
        <rFont val="Times New Roman"/>
        <family val="1"/>
      </rPr>
      <t xml:space="preserve"> </t>
    </r>
    <r>
      <rPr>
        <sz val="10"/>
        <color rgb="FF000000"/>
        <rFont val="Times New Roman"/>
        <family val="1"/>
      </rPr>
      <t>S</t>
    </r>
    <r>
      <rPr>
        <sz val="10"/>
        <color rgb="FF000000"/>
        <rFont val="Times New Roman"/>
        <family val="1"/>
      </rPr>
      <t>r</t>
    </r>
    <r>
      <rPr>
        <sz val="10"/>
        <color rgb="FF000000"/>
        <rFont val="Times New Roman"/>
        <family val="1"/>
      </rPr>
      <t>.</t>
    </r>
    <r>
      <rPr>
        <sz val="10"/>
        <color rgb="FF000000"/>
        <rFont val="Times New Roman"/>
        <family val="1"/>
      </rPr>
      <t xml:space="preserve"> </t>
    </r>
    <r>
      <rPr>
        <sz val="10"/>
        <color rgb="FF000000"/>
        <rFont val="Times New Roman"/>
        <family val="1"/>
      </rPr>
      <t xml:space="preserve"> </t>
    </r>
    <r>
      <rPr>
        <sz val="10"/>
        <color rgb="FF000000"/>
        <rFont val="Times New Roman"/>
        <family val="1"/>
      </rPr>
      <t>1</t>
    </r>
    <r>
      <rPr>
        <sz val="10"/>
        <color rgb="FF000000"/>
        <rFont val="Times New Roman"/>
        <family val="1"/>
      </rPr>
      <t xml:space="preserve"> </t>
    </r>
    <r>
      <rPr>
        <sz val="10"/>
        <color rgb="FF000000"/>
        <rFont val="Times New Roman"/>
        <family val="1"/>
      </rPr>
      <t xml:space="preserve"> </t>
    </r>
    <r>
      <rPr>
        <sz val="10"/>
        <color rgb="FF000000"/>
        <rFont val="Times New Roman"/>
        <family val="1"/>
      </rPr>
      <t>t</t>
    </r>
    <r>
      <rPr>
        <sz val="10"/>
        <color rgb="FF000000"/>
        <rFont val="Times New Roman"/>
        <family val="1"/>
      </rPr>
      <t>o</t>
    </r>
    <r>
      <rPr>
        <sz val="10"/>
        <color rgb="FF000000"/>
        <rFont val="Times New Roman"/>
        <family val="1"/>
      </rPr>
      <t xml:space="preserve"> </t>
    </r>
    <r>
      <rPr>
        <sz val="10"/>
        <color rgb="FF000000"/>
        <rFont val="Times New Roman"/>
        <family val="1"/>
      </rPr>
      <t xml:space="preserve"> </t>
    </r>
    <r>
      <rPr>
        <sz val="10"/>
        <color rgb="FF000000"/>
        <rFont val="Times New Roman"/>
        <family val="1"/>
      </rPr>
      <t>8</t>
    </r>
    <r>
      <rPr>
        <sz val="10"/>
        <color rgb="FF000000"/>
        <rFont val="Times New Roman"/>
        <family val="1"/>
      </rPr>
      <t xml:space="preserve"> </t>
    </r>
    <r>
      <rPr>
        <sz val="10"/>
        <color rgb="FF000000"/>
        <rFont val="Times New Roman"/>
        <family val="1"/>
      </rPr>
      <t xml:space="preserve"> </t>
    </r>
    <r>
      <rPr>
        <sz val="10"/>
        <color rgb="FF000000"/>
        <rFont val="Times New Roman"/>
        <family val="1"/>
      </rPr>
      <t>C</t>
    </r>
    <r>
      <rPr>
        <sz val="10"/>
        <color rgb="FF000000"/>
        <rFont val="Times New Roman"/>
        <family val="1"/>
      </rPr>
      <t>e</t>
    </r>
    <r>
      <rPr>
        <sz val="10"/>
        <color rgb="FF000000"/>
        <rFont val="Times New Roman"/>
        <family val="1"/>
      </rPr>
      <t>r</t>
    </r>
    <r>
      <rPr>
        <sz val="10"/>
        <color rgb="FF000000"/>
        <rFont val="Times New Roman"/>
        <family val="1"/>
      </rPr>
      <t>t</t>
    </r>
    <r>
      <rPr>
        <sz val="10"/>
        <color rgb="FF000000"/>
        <rFont val="Times New Roman"/>
        <family val="1"/>
      </rPr>
      <t>i</t>
    </r>
    <r>
      <rPr>
        <sz val="10"/>
        <color rgb="FF000000"/>
        <rFont val="Times New Roman"/>
        <family val="1"/>
      </rPr>
      <t>f</t>
    </r>
    <r>
      <rPr>
        <sz val="10"/>
        <color rgb="FF000000"/>
        <rFont val="Times New Roman"/>
        <family val="1"/>
      </rPr>
      <t>i</t>
    </r>
    <r>
      <rPr>
        <sz val="10"/>
        <color rgb="FF000000"/>
        <rFont val="Times New Roman"/>
        <family val="1"/>
      </rPr>
      <t>c</t>
    </r>
    <r>
      <rPr>
        <sz val="10"/>
        <color rgb="FF000000"/>
        <rFont val="Times New Roman"/>
        <family val="1"/>
      </rPr>
      <t>a</t>
    </r>
    <r>
      <rPr>
        <sz val="10"/>
        <color rgb="FF000000"/>
        <rFont val="Times New Roman"/>
        <family val="1"/>
      </rPr>
      <t>t</t>
    </r>
    <r>
      <rPr>
        <sz val="10"/>
        <color rgb="FF000000"/>
        <rFont val="Times New Roman"/>
        <family val="1"/>
      </rPr>
      <t>e</t>
    </r>
    <r>
      <rPr>
        <sz val="10"/>
        <color rgb="FF000000"/>
        <rFont val="Times New Roman"/>
        <family val="1"/>
      </rPr>
      <t>s</t>
    </r>
    <r>
      <rPr>
        <sz val="10"/>
        <color rgb="FF000000"/>
        <rFont val="Times New Roman"/>
        <family val="1"/>
      </rPr>
      <t xml:space="preserve">  </t>
    </r>
    <r>
      <rPr>
        <sz val="10"/>
        <color rgb="FF000000"/>
        <rFont val="Times New Roman"/>
        <family val="1"/>
      </rPr>
      <t xml:space="preserve"> </t>
    </r>
    <r>
      <rPr>
        <sz val="10"/>
        <color rgb="FF000000"/>
        <rFont val="Times New Roman"/>
        <family val="1"/>
      </rPr>
      <t>–</t>
    </r>
    <r>
      <rPr>
        <sz val="10"/>
        <color rgb="FF000000"/>
        <rFont val="Times New Roman"/>
        <family val="1"/>
      </rPr>
      <t xml:space="preserve"> </t>
    </r>
    <r>
      <rPr>
        <sz val="10"/>
        <color rgb="FF000000"/>
        <rFont val="Times New Roman"/>
        <family val="1"/>
      </rPr>
      <t xml:space="preserve"> </t>
    </r>
    <r>
      <rPr>
        <sz val="10"/>
        <color rgb="FF000000"/>
        <rFont val="Times New Roman"/>
        <family val="1"/>
      </rPr>
      <t>7</t>
    </r>
    <r>
      <rPr>
        <sz val="10"/>
        <color rgb="FF000000"/>
        <rFont val="Times New Roman"/>
        <family val="1"/>
      </rPr>
      <t xml:space="preserve"> </t>
    </r>
    <r>
      <rPr>
        <sz val="10"/>
        <color rgb="FF000000"/>
        <rFont val="Times New Roman"/>
        <family val="1"/>
      </rPr>
      <t xml:space="preserve"> </t>
    </r>
    <r>
      <rPr>
        <sz val="10"/>
        <color rgb="FF000000"/>
        <rFont val="Times New Roman"/>
        <family val="1"/>
      </rPr>
      <t>M</t>
    </r>
    <r>
      <rPr>
        <sz val="10"/>
        <color rgb="FF000000"/>
        <rFont val="Times New Roman"/>
        <family val="1"/>
      </rPr>
      <t>a</t>
    </r>
    <r>
      <rPr>
        <sz val="10"/>
        <color rgb="FF000000"/>
        <rFont val="Times New Roman"/>
        <family val="1"/>
      </rPr>
      <t>r</t>
    </r>
    <r>
      <rPr>
        <sz val="10"/>
        <color rgb="FF000000"/>
        <rFont val="Times New Roman"/>
        <family val="1"/>
      </rPr>
      <t>k</t>
    </r>
    <r>
      <rPr>
        <sz val="10"/>
        <color rgb="FF000000"/>
        <rFont val="Times New Roman"/>
        <family val="1"/>
      </rPr>
      <t xml:space="preserve">s
</t>
    </r>
    <r>
      <rPr>
        <sz val="10"/>
        <color rgb="FF000000"/>
        <rFont val="Times New Roman"/>
        <family val="1"/>
      </rPr>
      <t>f</t>
    </r>
    <r>
      <rPr>
        <sz val="10"/>
        <color rgb="FF000000"/>
        <rFont val="Times New Roman"/>
        <family val="1"/>
      </rPr>
      <t>o</t>
    </r>
    <r>
      <rPr>
        <sz val="10"/>
        <color rgb="FF000000"/>
        <rFont val="Times New Roman"/>
        <family val="1"/>
      </rPr>
      <t>r</t>
    </r>
    <r>
      <rPr>
        <sz val="10"/>
        <color rgb="FF000000"/>
        <rFont val="Times New Roman"/>
        <family val="1"/>
      </rPr>
      <t xml:space="preserve"> </t>
    </r>
    <r>
      <rPr>
        <sz val="10"/>
        <color rgb="FF000000"/>
        <rFont val="Times New Roman"/>
        <family val="1"/>
      </rPr>
      <t>S</t>
    </r>
    <r>
      <rPr>
        <sz val="10"/>
        <color rgb="FF000000"/>
        <rFont val="Times New Roman"/>
        <family val="1"/>
      </rPr>
      <t>r</t>
    </r>
    <r>
      <rPr>
        <sz val="10"/>
        <color rgb="FF000000"/>
        <rFont val="Times New Roman"/>
        <family val="1"/>
      </rPr>
      <t>.</t>
    </r>
    <r>
      <rPr>
        <sz val="10"/>
        <color rgb="FF000000"/>
        <rFont val="Times New Roman"/>
        <family val="1"/>
      </rPr>
      <t xml:space="preserve"> </t>
    </r>
    <r>
      <rPr>
        <sz val="10"/>
        <color rgb="FF000000"/>
        <rFont val="Times New Roman"/>
        <family val="1"/>
      </rPr>
      <t>1</t>
    </r>
    <r>
      <rPr>
        <sz val="10"/>
        <color rgb="FF000000"/>
        <rFont val="Times New Roman"/>
        <family val="1"/>
      </rPr>
      <t xml:space="preserve"> </t>
    </r>
    <r>
      <rPr>
        <sz val="10"/>
        <color rgb="FF000000"/>
        <rFont val="Times New Roman"/>
        <family val="1"/>
      </rPr>
      <t>-</t>
    </r>
    <r>
      <rPr>
        <sz val="10"/>
        <color rgb="FF000000"/>
        <rFont val="Times New Roman"/>
        <family val="1"/>
      </rPr>
      <t>9</t>
    </r>
    <r>
      <rPr>
        <sz val="10"/>
        <color rgb="FF000000"/>
        <rFont val="Times New Roman"/>
        <family val="1"/>
      </rPr>
      <t xml:space="preserve"> </t>
    </r>
    <r>
      <rPr>
        <sz val="10"/>
        <color rgb="FF000000"/>
        <rFont val="Times New Roman"/>
        <family val="1"/>
      </rPr>
      <t>C</t>
    </r>
    <r>
      <rPr>
        <sz val="10"/>
        <color rgb="FF000000"/>
        <rFont val="Times New Roman"/>
        <family val="1"/>
      </rPr>
      <t>e</t>
    </r>
    <r>
      <rPr>
        <sz val="10"/>
        <color rgb="FF000000"/>
        <rFont val="Times New Roman"/>
        <family val="1"/>
      </rPr>
      <t>r</t>
    </r>
    <r>
      <rPr>
        <sz val="10"/>
        <color rgb="FF000000"/>
        <rFont val="Times New Roman"/>
        <family val="1"/>
      </rPr>
      <t>t</t>
    </r>
    <r>
      <rPr>
        <sz val="10"/>
        <color rgb="FF000000"/>
        <rFont val="Times New Roman"/>
        <family val="1"/>
      </rPr>
      <t>i</t>
    </r>
    <r>
      <rPr>
        <sz val="10"/>
        <color rgb="FF000000"/>
        <rFont val="Times New Roman"/>
        <family val="1"/>
      </rPr>
      <t>f</t>
    </r>
    <r>
      <rPr>
        <sz val="10"/>
        <color rgb="FF000000"/>
        <rFont val="Times New Roman"/>
        <family val="1"/>
      </rPr>
      <t>i</t>
    </r>
    <r>
      <rPr>
        <sz val="10"/>
        <color rgb="FF000000"/>
        <rFont val="Times New Roman"/>
        <family val="1"/>
      </rPr>
      <t>c</t>
    </r>
    <r>
      <rPr>
        <sz val="10"/>
        <color rgb="FF000000"/>
        <rFont val="Times New Roman"/>
        <family val="1"/>
      </rPr>
      <t>a</t>
    </r>
    <r>
      <rPr>
        <sz val="10"/>
        <color rgb="FF000000"/>
        <rFont val="Times New Roman"/>
        <family val="1"/>
      </rPr>
      <t>t</t>
    </r>
    <r>
      <rPr>
        <sz val="10"/>
        <color rgb="FF000000"/>
        <rFont val="Times New Roman"/>
        <family val="1"/>
      </rPr>
      <t>e</t>
    </r>
    <r>
      <rPr>
        <sz val="10"/>
        <color rgb="FF000000"/>
        <rFont val="Times New Roman"/>
        <family val="1"/>
      </rPr>
      <t>s</t>
    </r>
    <r>
      <rPr>
        <sz val="10"/>
        <color rgb="FF000000"/>
        <rFont val="Times New Roman"/>
        <family val="1"/>
      </rPr>
      <t xml:space="preserve"> </t>
    </r>
    <r>
      <rPr>
        <sz val="10"/>
        <color rgb="FF000000"/>
        <rFont val="Times New Roman"/>
        <family val="1"/>
      </rPr>
      <t>–</t>
    </r>
    <r>
      <rPr>
        <sz val="10"/>
        <color rgb="FF000000"/>
        <rFont val="Times New Roman"/>
        <family val="1"/>
      </rPr>
      <t xml:space="preserve"> </t>
    </r>
    <r>
      <rPr>
        <sz val="10"/>
        <color rgb="FF000000"/>
        <rFont val="Times New Roman"/>
        <family val="1"/>
      </rPr>
      <t>10</t>
    </r>
    <r>
      <rPr>
        <sz val="10"/>
        <color rgb="FF000000"/>
        <rFont val="Times New Roman"/>
        <family val="1"/>
      </rPr>
      <t xml:space="preserve"> </t>
    </r>
    <r>
      <rPr>
        <sz val="10"/>
        <color rgb="FF000000"/>
        <rFont val="Times New Roman"/>
        <family val="1"/>
      </rPr>
      <t>M</t>
    </r>
    <r>
      <rPr>
        <sz val="10"/>
        <color rgb="FF000000"/>
        <rFont val="Times New Roman"/>
        <family val="1"/>
      </rPr>
      <t>a</t>
    </r>
    <r>
      <rPr>
        <sz val="10"/>
        <color rgb="FF000000"/>
        <rFont val="Times New Roman"/>
        <family val="1"/>
      </rPr>
      <t>r</t>
    </r>
    <r>
      <rPr>
        <sz val="10"/>
        <color rgb="FF000000"/>
        <rFont val="Times New Roman"/>
        <family val="1"/>
      </rPr>
      <t>k</t>
    </r>
    <r>
      <rPr>
        <sz val="10"/>
        <color rgb="FF000000"/>
        <rFont val="Times New Roman"/>
        <family val="1"/>
      </rPr>
      <t>s</t>
    </r>
  </si>
  <si>
    <r>
      <rPr>
        <sz val="10"/>
        <color rgb="FF000000"/>
        <rFont val="Times New Roman"/>
        <family val="1"/>
      </rPr>
      <t>T</t>
    </r>
    <r>
      <rPr>
        <sz val="10"/>
        <color rgb="FF000000"/>
        <rFont val="Times New Roman"/>
        <family val="1"/>
      </rPr>
      <t>h</t>
    </r>
    <r>
      <rPr>
        <sz val="10"/>
        <color rgb="FF000000"/>
        <rFont val="Times New Roman"/>
        <family val="1"/>
      </rPr>
      <t>e</t>
    </r>
    <r>
      <rPr>
        <sz val="10"/>
        <color rgb="FF000000"/>
        <rFont val="Times New Roman"/>
        <family val="1"/>
      </rPr>
      <t xml:space="preserve"> </t>
    </r>
    <r>
      <rPr>
        <sz val="10"/>
        <color rgb="FF000000"/>
        <rFont val="Times New Roman"/>
        <family val="1"/>
      </rPr>
      <t xml:space="preserve"> </t>
    </r>
    <r>
      <rPr>
        <sz val="10"/>
        <color rgb="FF000000"/>
        <rFont val="Times New Roman"/>
        <family val="1"/>
      </rPr>
      <t>C</t>
    </r>
    <r>
      <rPr>
        <sz val="10"/>
        <color rgb="FF000000"/>
        <rFont val="Times New Roman"/>
        <family val="1"/>
      </rPr>
      <t>S</t>
    </r>
    <r>
      <rPr>
        <sz val="10"/>
        <color rgb="FF000000"/>
        <rFont val="Times New Roman"/>
        <family val="1"/>
      </rPr>
      <t>P</t>
    </r>
    <r>
      <rPr>
        <sz val="10"/>
        <color rgb="FF000000"/>
        <rFont val="Times New Roman"/>
        <family val="1"/>
      </rPr>
      <t xml:space="preserve">  </t>
    </r>
    <r>
      <rPr>
        <sz val="10"/>
        <color rgb="FF000000"/>
        <rFont val="Times New Roman"/>
        <family val="1"/>
      </rPr>
      <t xml:space="preserve"> </t>
    </r>
    <r>
      <rPr>
        <sz val="10"/>
        <color rgb="FF000000"/>
        <rFont val="Times New Roman"/>
        <family val="1"/>
      </rPr>
      <t>m</t>
    </r>
    <r>
      <rPr>
        <sz val="10"/>
        <color rgb="FF000000"/>
        <rFont val="Times New Roman"/>
        <family val="1"/>
      </rPr>
      <t>u</t>
    </r>
    <r>
      <rPr>
        <sz val="10"/>
        <color rgb="FF000000"/>
        <rFont val="Times New Roman"/>
        <family val="1"/>
      </rPr>
      <t>s</t>
    </r>
    <r>
      <rPr>
        <sz val="10"/>
        <color rgb="FF000000"/>
        <rFont val="Times New Roman"/>
        <family val="1"/>
      </rPr>
      <t>t</t>
    </r>
    <r>
      <rPr>
        <sz val="10"/>
        <color rgb="FF000000"/>
        <rFont val="Times New Roman"/>
        <family val="1"/>
      </rPr>
      <t xml:space="preserve">  </t>
    </r>
    <r>
      <rPr>
        <sz val="10"/>
        <color rgb="FF000000"/>
        <rFont val="Times New Roman"/>
        <family val="1"/>
      </rPr>
      <t xml:space="preserve"> </t>
    </r>
    <r>
      <rPr>
        <sz val="10"/>
        <color rgb="FF000000"/>
        <rFont val="Times New Roman"/>
        <family val="1"/>
      </rPr>
      <t>b</t>
    </r>
    <r>
      <rPr>
        <sz val="10"/>
        <color rgb="FF000000"/>
        <rFont val="Times New Roman"/>
        <family val="1"/>
      </rPr>
      <t>e</t>
    </r>
    <r>
      <rPr>
        <sz val="10"/>
        <color rgb="FF000000"/>
        <rFont val="Times New Roman"/>
        <family val="1"/>
      </rPr>
      <t xml:space="preserve"> </t>
    </r>
    <r>
      <rPr>
        <sz val="10"/>
        <color rgb="FF000000"/>
        <rFont val="Times New Roman"/>
        <family val="1"/>
      </rPr>
      <t xml:space="preserve"> </t>
    </r>
    <r>
      <rPr>
        <sz val="10"/>
        <color rgb="FF000000"/>
        <rFont val="Times New Roman"/>
        <family val="1"/>
      </rPr>
      <t>op</t>
    </r>
    <r>
      <rPr>
        <sz val="10"/>
        <color rgb="FF000000"/>
        <rFont val="Times New Roman"/>
        <family val="1"/>
      </rPr>
      <t>e</t>
    </r>
    <r>
      <rPr>
        <sz val="10"/>
        <color rgb="FF000000"/>
        <rFont val="Times New Roman"/>
        <family val="1"/>
      </rPr>
      <t>r</t>
    </r>
    <r>
      <rPr>
        <sz val="10"/>
        <color rgb="FF000000"/>
        <rFont val="Times New Roman"/>
        <family val="1"/>
      </rPr>
      <t>a</t>
    </r>
    <r>
      <rPr>
        <sz val="10"/>
        <color rgb="FF000000"/>
        <rFont val="Times New Roman"/>
        <family val="1"/>
      </rPr>
      <t>t</t>
    </r>
    <r>
      <rPr>
        <sz val="10"/>
        <color rgb="FF000000"/>
        <rFont val="Times New Roman"/>
        <family val="1"/>
      </rPr>
      <t>i</t>
    </r>
    <r>
      <rPr>
        <sz val="10"/>
        <color rgb="FF000000"/>
        <rFont val="Times New Roman"/>
        <family val="1"/>
      </rPr>
      <t>n</t>
    </r>
    <r>
      <rPr>
        <sz val="10"/>
        <color rgb="FF000000"/>
        <rFont val="Times New Roman"/>
        <family val="1"/>
      </rPr>
      <t>g</t>
    </r>
    <r>
      <rPr>
        <sz val="10"/>
        <color rgb="FF000000"/>
        <rFont val="Times New Roman"/>
        <family val="1"/>
      </rPr>
      <t xml:space="preserve">  </t>
    </r>
    <r>
      <rPr>
        <sz val="10"/>
        <color rgb="FF000000"/>
        <rFont val="Times New Roman"/>
        <family val="1"/>
      </rPr>
      <t xml:space="preserve"> </t>
    </r>
    <r>
      <rPr>
        <sz val="10"/>
        <color rgb="FF000000"/>
        <rFont val="Times New Roman"/>
        <family val="1"/>
      </rPr>
      <t>f</t>
    </r>
    <r>
      <rPr>
        <sz val="10"/>
        <color rgb="FF000000"/>
        <rFont val="Times New Roman"/>
        <family val="1"/>
      </rPr>
      <t>r</t>
    </r>
    <r>
      <rPr>
        <sz val="10"/>
        <color rgb="FF000000"/>
        <rFont val="Times New Roman"/>
        <family val="1"/>
      </rPr>
      <t>o</t>
    </r>
    <r>
      <rPr>
        <sz val="10"/>
        <color rgb="FF000000"/>
        <rFont val="Times New Roman"/>
        <family val="1"/>
      </rPr>
      <t>m</t>
    </r>
    <r>
      <rPr>
        <sz val="10"/>
        <color rgb="FF000000"/>
        <rFont val="Times New Roman"/>
        <family val="1"/>
      </rPr>
      <t xml:space="preserve"> </t>
    </r>
    <r>
      <rPr>
        <sz val="10"/>
        <color rgb="FF000000"/>
        <rFont val="Times New Roman"/>
        <family val="1"/>
      </rPr>
      <t xml:space="preserve"> </t>
    </r>
    <r>
      <rPr>
        <sz val="10"/>
        <color rgb="FF000000"/>
        <rFont val="Times New Roman"/>
        <family val="1"/>
      </rPr>
      <t>D</t>
    </r>
    <r>
      <rPr>
        <sz val="10"/>
        <color rgb="FF000000"/>
        <rFont val="Times New Roman"/>
        <family val="1"/>
      </rPr>
      <t>a</t>
    </r>
    <r>
      <rPr>
        <sz val="10"/>
        <color rgb="FF000000"/>
        <rFont val="Times New Roman"/>
        <family val="1"/>
      </rPr>
      <t>t</t>
    </r>
    <r>
      <rPr>
        <sz val="10"/>
        <color rgb="FF000000"/>
        <rFont val="Times New Roman"/>
        <family val="1"/>
      </rPr>
      <t>a</t>
    </r>
    <r>
      <rPr>
        <sz val="10"/>
        <color rgb="FF000000"/>
        <rFont val="Times New Roman"/>
        <family val="1"/>
      </rPr>
      <t xml:space="preserve"> </t>
    </r>
    <r>
      <rPr>
        <sz val="10"/>
        <color rgb="FF000000"/>
        <rFont val="Times New Roman"/>
        <family val="1"/>
      </rPr>
      <t>C</t>
    </r>
    <r>
      <rPr>
        <sz val="10"/>
        <color rgb="FF000000"/>
        <rFont val="Times New Roman"/>
        <family val="1"/>
      </rPr>
      <t>e</t>
    </r>
    <r>
      <rPr>
        <sz val="10"/>
        <color rgb="FF000000"/>
        <rFont val="Times New Roman"/>
        <family val="1"/>
      </rPr>
      <t>n</t>
    </r>
    <r>
      <rPr>
        <sz val="10"/>
        <color rgb="FF000000"/>
        <rFont val="Times New Roman"/>
        <family val="1"/>
      </rPr>
      <t>t</t>
    </r>
    <r>
      <rPr>
        <sz val="10"/>
        <color rgb="FF000000"/>
        <rFont val="Times New Roman"/>
        <family val="1"/>
      </rPr>
      <t>r</t>
    </r>
    <r>
      <rPr>
        <sz val="10"/>
        <color rgb="FF000000"/>
        <rFont val="Times New Roman"/>
        <family val="1"/>
      </rPr>
      <t>e</t>
    </r>
    <r>
      <rPr>
        <sz val="10"/>
        <color rgb="FF000000"/>
        <rFont val="Times New Roman"/>
        <family val="1"/>
      </rPr>
      <t>s</t>
    </r>
    <r>
      <rPr>
        <sz val="10"/>
        <color rgb="FF000000"/>
        <rFont val="Times New Roman"/>
        <family val="1"/>
      </rPr>
      <t xml:space="preserve"> </t>
    </r>
    <r>
      <rPr>
        <sz val="10"/>
        <color rgb="FF000000"/>
        <rFont val="Times New Roman"/>
        <family val="1"/>
      </rPr>
      <t>i</t>
    </r>
    <r>
      <rPr>
        <sz val="10"/>
        <color rgb="FF000000"/>
        <rFont val="Times New Roman"/>
        <family val="1"/>
      </rPr>
      <t>n</t>
    </r>
    <r>
      <rPr>
        <sz val="10"/>
        <color rgb="FF000000"/>
        <rFont val="Times New Roman"/>
        <family val="1"/>
      </rPr>
      <t xml:space="preserve"> </t>
    </r>
    <r>
      <rPr>
        <sz val="10"/>
        <color rgb="FF000000"/>
        <rFont val="Times New Roman"/>
        <family val="1"/>
      </rPr>
      <t>M</t>
    </r>
    <r>
      <rPr>
        <sz val="10"/>
        <color rgb="FF000000"/>
        <rFont val="Times New Roman"/>
        <family val="1"/>
      </rPr>
      <t>u</t>
    </r>
    <r>
      <rPr>
        <sz val="10"/>
        <color rgb="FF000000"/>
        <rFont val="Times New Roman"/>
        <family val="1"/>
      </rPr>
      <t>m</t>
    </r>
    <r>
      <rPr>
        <sz val="10"/>
        <color rgb="FF000000"/>
        <rFont val="Times New Roman"/>
        <family val="1"/>
      </rPr>
      <t>b</t>
    </r>
    <r>
      <rPr>
        <sz val="10"/>
        <color rgb="FF000000"/>
        <rFont val="Times New Roman"/>
        <family val="1"/>
      </rPr>
      <t>a</t>
    </r>
    <r>
      <rPr>
        <sz val="10"/>
        <color rgb="FF000000"/>
        <rFont val="Times New Roman"/>
        <family val="1"/>
      </rPr>
      <t>i</t>
    </r>
    <r>
      <rPr>
        <sz val="10"/>
        <color rgb="FF000000"/>
        <rFont val="Times New Roman"/>
        <family val="1"/>
      </rPr>
      <t xml:space="preserve"> </t>
    </r>
    <r>
      <rPr>
        <sz val="10"/>
        <color rgb="FF000000"/>
        <rFont val="Times New Roman"/>
        <family val="1"/>
      </rPr>
      <t>R</t>
    </r>
    <r>
      <rPr>
        <sz val="10"/>
        <color rgb="FF000000"/>
        <rFont val="Times New Roman"/>
        <family val="1"/>
      </rPr>
      <t>e</t>
    </r>
    <r>
      <rPr>
        <sz val="10"/>
        <color rgb="FF000000"/>
        <rFont val="Times New Roman"/>
        <family val="1"/>
      </rPr>
      <t>g</t>
    </r>
    <r>
      <rPr>
        <sz val="10"/>
        <color rgb="FF000000"/>
        <rFont val="Times New Roman"/>
        <family val="1"/>
      </rPr>
      <t>i</t>
    </r>
    <r>
      <rPr>
        <sz val="10"/>
        <color rgb="FF000000"/>
        <rFont val="Times New Roman"/>
        <family val="1"/>
      </rPr>
      <t>on</t>
    </r>
    <r>
      <rPr>
        <sz val="10"/>
        <color rgb="FF000000"/>
        <rFont val="Times New Roman"/>
        <family val="1"/>
      </rPr>
      <t xml:space="preserve"> </t>
    </r>
    <r>
      <rPr>
        <sz val="10"/>
        <color rgb="FF000000"/>
        <rFont val="Times New Roman"/>
        <family val="1"/>
      </rPr>
      <t>a</t>
    </r>
    <r>
      <rPr>
        <sz val="10"/>
        <color rgb="FF000000"/>
        <rFont val="Times New Roman"/>
        <family val="1"/>
      </rPr>
      <t>nd</t>
    </r>
    <r>
      <rPr>
        <sz val="10"/>
        <color rgb="FF000000"/>
        <rFont val="Times New Roman"/>
        <family val="1"/>
      </rPr>
      <t xml:space="preserve"> </t>
    </r>
    <r>
      <rPr>
        <sz val="10"/>
        <color rgb="FF000000"/>
        <rFont val="Times New Roman"/>
        <family val="1"/>
      </rPr>
      <t>a</t>
    </r>
    <r>
      <rPr>
        <sz val="10"/>
        <color rgb="FF000000"/>
        <rFont val="Times New Roman"/>
        <family val="1"/>
      </rPr>
      <t>ll</t>
    </r>
    <r>
      <rPr>
        <sz val="10"/>
        <color rgb="FF000000"/>
        <rFont val="Times New Roman"/>
        <family val="1"/>
      </rPr>
      <t xml:space="preserve"> </t>
    </r>
    <r>
      <rPr>
        <sz val="10"/>
        <color rgb="FF000000"/>
        <rFont val="Times New Roman"/>
        <family val="1"/>
      </rPr>
      <t>o</t>
    </r>
    <r>
      <rPr>
        <sz val="10"/>
        <color rgb="FF000000"/>
        <rFont val="Times New Roman"/>
        <family val="1"/>
      </rPr>
      <t>f</t>
    </r>
    <r>
      <rPr>
        <sz val="10"/>
        <color rgb="FF000000"/>
        <rFont val="Times New Roman"/>
        <family val="1"/>
      </rPr>
      <t xml:space="preserve"> </t>
    </r>
    <r>
      <rPr>
        <sz val="10"/>
        <color rgb="FF000000"/>
        <rFont val="Times New Roman"/>
        <family val="1"/>
      </rPr>
      <t>t</t>
    </r>
    <r>
      <rPr>
        <sz val="10"/>
        <color rgb="FF000000"/>
        <rFont val="Times New Roman"/>
        <family val="1"/>
      </rPr>
      <t>h</t>
    </r>
    <r>
      <rPr>
        <sz val="10"/>
        <color rgb="FF000000"/>
        <rFont val="Times New Roman"/>
        <family val="1"/>
      </rPr>
      <t>e</t>
    </r>
    <r>
      <rPr>
        <sz val="10"/>
        <color rgb="FF000000"/>
        <rFont val="Times New Roman"/>
        <family val="1"/>
      </rPr>
      <t>m</t>
    </r>
    <r>
      <rPr>
        <sz val="10"/>
        <color rgb="FF000000"/>
        <rFont val="Times New Roman"/>
        <family val="1"/>
      </rPr>
      <t xml:space="preserve"> </t>
    </r>
    <r>
      <rPr>
        <sz val="10"/>
        <color rgb="FF000000"/>
        <rFont val="Times New Roman"/>
        <family val="1"/>
      </rPr>
      <t>s</t>
    </r>
    <r>
      <rPr>
        <sz val="10"/>
        <color rgb="FF000000"/>
        <rFont val="Times New Roman"/>
        <family val="1"/>
      </rPr>
      <t>h</t>
    </r>
    <r>
      <rPr>
        <sz val="10"/>
        <color rgb="FF000000"/>
        <rFont val="Times New Roman"/>
        <family val="1"/>
      </rPr>
      <t>ou</t>
    </r>
    <r>
      <rPr>
        <sz val="10"/>
        <color rgb="FF000000"/>
        <rFont val="Times New Roman"/>
        <family val="1"/>
      </rPr>
      <t>l</t>
    </r>
    <r>
      <rPr>
        <sz val="10"/>
        <color rgb="FF000000"/>
        <rFont val="Times New Roman"/>
        <family val="1"/>
      </rPr>
      <t>d</t>
    </r>
    <r>
      <rPr>
        <sz val="10"/>
        <color rgb="FF000000"/>
        <rFont val="Times New Roman"/>
        <family val="1"/>
      </rPr>
      <t xml:space="preserve"> </t>
    </r>
    <r>
      <rPr>
        <sz val="10"/>
        <color rgb="FF000000"/>
        <rFont val="Times New Roman"/>
        <family val="1"/>
      </rPr>
      <t>b</t>
    </r>
    <r>
      <rPr>
        <sz val="10"/>
        <color rgb="FF000000"/>
        <rFont val="Times New Roman"/>
        <family val="1"/>
      </rPr>
      <t>e</t>
    </r>
    <r>
      <rPr>
        <sz val="10"/>
        <color rgb="FF000000"/>
        <rFont val="Times New Roman"/>
        <family val="1"/>
      </rPr>
      <t xml:space="preserve"> </t>
    </r>
    <r>
      <rPr>
        <sz val="10"/>
        <color rgb="FF000000"/>
        <rFont val="Times New Roman"/>
        <family val="1"/>
      </rPr>
      <t>e</t>
    </r>
    <r>
      <rPr>
        <sz val="10"/>
        <color rgb="FF000000"/>
        <rFont val="Times New Roman"/>
        <family val="1"/>
      </rPr>
      <t>m</t>
    </r>
    <r>
      <rPr>
        <sz val="10"/>
        <color rgb="FF000000"/>
        <rFont val="Times New Roman"/>
        <family val="1"/>
      </rPr>
      <t>p</t>
    </r>
    <r>
      <rPr>
        <sz val="10"/>
        <color rgb="FF000000"/>
        <rFont val="Times New Roman"/>
        <family val="1"/>
      </rPr>
      <t>a</t>
    </r>
    <r>
      <rPr>
        <sz val="10"/>
        <color rgb="FF000000"/>
        <rFont val="Times New Roman"/>
        <family val="1"/>
      </rPr>
      <t>n</t>
    </r>
    <r>
      <rPr>
        <sz val="10"/>
        <color rgb="FF000000"/>
        <rFont val="Times New Roman"/>
        <family val="1"/>
      </rPr>
      <t>e</t>
    </r>
    <r>
      <rPr>
        <sz val="10"/>
        <color rgb="FF000000"/>
        <rFont val="Times New Roman"/>
        <family val="1"/>
      </rPr>
      <t>l</t>
    </r>
    <r>
      <rPr>
        <sz val="10"/>
        <color rgb="FF000000"/>
        <rFont val="Times New Roman"/>
        <family val="1"/>
      </rPr>
      <t>l</t>
    </r>
    <r>
      <rPr>
        <sz val="10"/>
        <color rgb="FF000000"/>
        <rFont val="Times New Roman"/>
        <family val="1"/>
      </rPr>
      <t>e</t>
    </r>
    <r>
      <rPr>
        <sz val="10"/>
        <color rgb="FF000000"/>
        <rFont val="Times New Roman"/>
        <family val="1"/>
      </rPr>
      <t>d</t>
    </r>
    <r>
      <rPr>
        <sz val="10"/>
        <color rgb="FF000000"/>
        <rFont val="Times New Roman"/>
        <family val="1"/>
      </rPr>
      <t xml:space="preserve"> </t>
    </r>
    <r>
      <rPr>
        <sz val="10"/>
        <color rgb="FF000000"/>
        <rFont val="Times New Roman"/>
        <family val="1"/>
      </rPr>
      <t xml:space="preserve"> </t>
    </r>
    <r>
      <rPr>
        <sz val="10"/>
        <color rgb="FF000000"/>
        <rFont val="Times New Roman"/>
        <family val="1"/>
      </rPr>
      <t>b</t>
    </r>
    <r>
      <rPr>
        <sz val="10"/>
        <color rgb="FF000000"/>
        <rFont val="Times New Roman"/>
        <family val="1"/>
      </rPr>
      <t>y</t>
    </r>
    <r>
      <rPr>
        <sz val="10"/>
        <color rgb="FF000000"/>
        <rFont val="Times New Roman"/>
        <family val="1"/>
      </rPr>
      <t xml:space="preserve"> </t>
    </r>
    <r>
      <rPr>
        <sz val="10"/>
        <color rgb="FF000000"/>
        <rFont val="Times New Roman"/>
        <family val="1"/>
      </rPr>
      <t>M</t>
    </r>
    <r>
      <rPr>
        <sz val="10"/>
        <color rgb="FF000000"/>
        <rFont val="Times New Roman"/>
        <family val="1"/>
      </rPr>
      <t>e</t>
    </r>
    <r>
      <rPr>
        <sz val="10"/>
        <color rgb="FF000000"/>
        <rFont val="Times New Roman"/>
        <family val="1"/>
      </rPr>
      <t>i</t>
    </r>
    <r>
      <rPr>
        <sz val="10"/>
        <color rgb="FF000000"/>
        <rFont val="Times New Roman"/>
        <family val="1"/>
      </rPr>
      <t>t</t>
    </r>
    <r>
      <rPr>
        <sz val="10"/>
        <color rgb="FF000000"/>
        <rFont val="Times New Roman"/>
        <family val="1"/>
      </rPr>
      <t>Y</t>
    </r>
    <r>
      <rPr>
        <sz val="10"/>
        <color rgb="FF000000"/>
        <rFont val="Times New Roman"/>
        <family val="1"/>
      </rPr>
      <t xml:space="preserve">.
</t>
    </r>
    <r>
      <rPr>
        <sz val="10"/>
        <color rgb="FF000000"/>
        <rFont val="Times New Roman"/>
        <family val="1"/>
      </rPr>
      <t>1</t>
    </r>
    <r>
      <rPr>
        <sz val="10"/>
        <color rgb="FF000000"/>
        <rFont val="Times New Roman"/>
        <family val="1"/>
      </rPr>
      <t xml:space="preserve"> </t>
    </r>
    <r>
      <rPr>
        <sz val="10"/>
        <color rgb="FF000000"/>
        <rFont val="Times New Roman"/>
        <family val="1"/>
      </rPr>
      <t>D</t>
    </r>
    <r>
      <rPr>
        <sz val="10"/>
        <color rgb="FF000000"/>
        <rFont val="Times New Roman"/>
        <family val="1"/>
      </rPr>
      <t>a</t>
    </r>
    <r>
      <rPr>
        <sz val="10"/>
        <color rgb="FF000000"/>
        <rFont val="Times New Roman"/>
        <family val="1"/>
      </rPr>
      <t>t</t>
    </r>
    <r>
      <rPr>
        <sz val="10"/>
        <color rgb="FF000000"/>
        <rFont val="Times New Roman"/>
        <family val="1"/>
      </rPr>
      <t>a</t>
    </r>
    <r>
      <rPr>
        <sz val="10"/>
        <color rgb="FF000000"/>
        <rFont val="Times New Roman"/>
        <family val="1"/>
      </rPr>
      <t xml:space="preserve"> </t>
    </r>
    <r>
      <rPr>
        <sz val="10"/>
        <color rgb="FF000000"/>
        <rFont val="Times New Roman"/>
        <family val="1"/>
      </rPr>
      <t>C</t>
    </r>
    <r>
      <rPr>
        <sz val="10"/>
        <color rgb="FF000000"/>
        <rFont val="Times New Roman"/>
        <family val="1"/>
      </rPr>
      <t>e</t>
    </r>
    <r>
      <rPr>
        <sz val="10"/>
        <color rgb="FF000000"/>
        <rFont val="Times New Roman"/>
        <family val="1"/>
      </rPr>
      <t>n</t>
    </r>
    <r>
      <rPr>
        <sz val="10"/>
        <color rgb="FF000000"/>
        <rFont val="Times New Roman"/>
        <family val="1"/>
      </rPr>
      <t>t</t>
    </r>
    <r>
      <rPr>
        <sz val="10"/>
        <color rgb="FF000000"/>
        <rFont val="Times New Roman"/>
        <family val="1"/>
      </rPr>
      <t>r</t>
    </r>
    <r>
      <rPr>
        <sz val="10"/>
        <color rgb="FF000000"/>
        <rFont val="Times New Roman"/>
        <family val="1"/>
      </rPr>
      <t>e</t>
    </r>
    <r>
      <rPr>
        <sz val="10"/>
        <color rgb="FF000000"/>
        <rFont val="Times New Roman"/>
        <family val="1"/>
      </rPr>
      <t>:</t>
    </r>
    <r>
      <rPr>
        <sz val="10"/>
        <color rgb="FF000000"/>
        <rFont val="Times New Roman"/>
        <family val="1"/>
      </rPr>
      <t xml:space="preserve"> </t>
    </r>
    <r>
      <rPr>
        <sz val="10"/>
        <color rgb="FF000000"/>
        <rFont val="Times New Roman"/>
        <family val="1"/>
      </rPr>
      <t>5</t>
    </r>
    <r>
      <rPr>
        <sz val="10"/>
        <color rgb="FF000000"/>
        <rFont val="Times New Roman"/>
        <family val="1"/>
      </rPr>
      <t xml:space="preserve"> </t>
    </r>
    <r>
      <rPr>
        <sz val="10"/>
        <color rgb="FF000000"/>
        <rFont val="Times New Roman"/>
        <family val="1"/>
      </rPr>
      <t>M</t>
    </r>
    <r>
      <rPr>
        <sz val="10"/>
        <color rgb="FF000000"/>
        <rFont val="Times New Roman"/>
        <family val="1"/>
      </rPr>
      <t>a</t>
    </r>
    <r>
      <rPr>
        <sz val="10"/>
        <color rgb="FF000000"/>
        <rFont val="Times New Roman"/>
        <family val="1"/>
      </rPr>
      <t>r</t>
    </r>
    <r>
      <rPr>
        <sz val="10"/>
        <color rgb="FF000000"/>
        <rFont val="Times New Roman"/>
        <family val="1"/>
      </rPr>
      <t>k</t>
    </r>
    <r>
      <rPr>
        <sz val="10"/>
        <color rgb="FF000000"/>
        <rFont val="Times New Roman"/>
        <family val="1"/>
      </rPr>
      <t xml:space="preserve">s
</t>
    </r>
    <r>
      <rPr>
        <sz val="10"/>
        <color rgb="FF000000"/>
        <rFont val="Times New Roman"/>
        <family val="1"/>
      </rPr>
      <t>2</t>
    </r>
    <r>
      <rPr>
        <sz val="10"/>
        <color rgb="FF000000"/>
        <rFont val="Times New Roman"/>
        <family val="1"/>
      </rPr>
      <t xml:space="preserve"> </t>
    </r>
    <r>
      <rPr>
        <sz val="10"/>
        <color rgb="FF000000"/>
        <rFont val="Times New Roman"/>
        <family val="1"/>
      </rPr>
      <t>D</t>
    </r>
    <r>
      <rPr>
        <sz val="10"/>
        <color rgb="FF000000"/>
        <rFont val="Times New Roman"/>
        <family val="1"/>
      </rPr>
      <t>a</t>
    </r>
    <r>
      <rPr>
        <sz val="10"/>
        <color rgb="FF000000"/>
        <rFont val="Times New Roman"/>
        <family val="1"/>
      </rPr>
      <t>t</t>
    </r>
    <r>
      <rPr>
        <sz val="10"/>
        <color rgb="FF000000"/>
        <rFont val="Times New Roman"/>
        <family val="1"/>
      </rPr>
      <t>a</t>
    </r>
    <r>
      <rPr>
        <sz val="10"/>
        <color rgb="FF000000"/>
        <rFont val="Times New Roman"/>
        <family val="1"/>
      </rPr>
      <t xml:space="preserve"> </t>
    </r>
    <r>
      <rPr>
        <sz val="10"/>
        <color rgb="FF000000"/>
        <rFont val="Times New Roman"/>
        <family val="1"/>
      </rPr>
      <t>C</t>
    </r>
    <r>
      <rPr>
        <sz val="10"/>
        <color rgb="FF000000"/>
        <rFont val="Times New Roman"/>
        <family val="1"/>
      </rPr>
      <t>e</t>
    </r>
    <r>
      <rPr>
        <sz val="10"/>
        <color rgb="FF000000"/>
        <rFont val="Times New Roman"/>
        <family val="1"/>
      </rPr>
      <t>n</t>
    </r>
    <r>
      <rPr>
        <sz val="10"/>
        <color rgb="FF000000"/>
        <rFont val="Times New Roman"/>
        <family val="1"/>
      </rPr>
      <t>t</t>
    </r>
    <r>
      <rPr>
        <sz val="10"/>
        <color rgb="FF000000"/>
        <rFont val="Times New Roman"/>
        <family val="1"/>
      </rPr>
      <t>r</t>
    </r>
    <r>
      <rPr>
        <sz val="10"/>
        <color rgb="FF000000"/>
        <rFont val="Times New Roman"/>
        <family val="1"/>
      </rPr>
      <t>e</t>
    </r>
    <r>
      <rPr>
        <sz val="10"/>
        <color rgb="FF000000"/>
        <rFont val="Times New Roman"/>
        <family val="1"/>
      </rPr>
      <t>:</t>
    </r>
    <r>
      <rPr>
        <sz val="10"/>
        <color rgb="FF000000"/>
        <rFont val="Times New Roman"/>
        <family val="1"/>
      </rPr>
      <t xml:space="preserve"> </t>
    </r>
    <r>
      <rPr>
        <sz val="10"/>
        <color rgb="FF000000"/>
        <rFont val="Times New Roman"/>
        <family val="1"/>
      </rPr>
      <t>1</t>
    </r>
    <r>
      <rPr>
        <sz val="10"/>
        <color rgb="FF000000"/>
        <rFont val="Times New Roman"/>
        <family val="1"/>
      </rPr>
      <t>0</t>
    </r>
    <r>
      <rPr>
        <sz val="10"/>
        <color rgb="FF000000"/>
        <rFont val="Times New Roman"/>
        <family val="1"/>
      </rPr>
      <t xml:space="preserve"> </t>
    </r>
    <r>
      <rPr>
        <sz val="10"/>
        <color rgb="FF000000"/>
        <rFont val="Times New Roman"/>
        <family val="1"/>
      </rPr>
      <t>m</t>
    </r>
    <r>
      <rPr>
        <sz val="10"/>
        <color rgb="FF000000"/>
        <rFont val="Times New Roman"/>
        <family val="1"/>
      </rPr>
      <t>a</t>
    </r>
    <r>
      <rPr>
        <sz val="10"/>
        <color rgb="FF000000"/>
        <rFont val="Times New Roman"/>
        <family val="1"/>
      </rPr>
      <t>r</t>
    </r>
    <r>
      <rPr>
        <sz val="10"/>
        <color rgb="FF000000"/>
        <rFont val="Times New Roman"/>
        <family val="1"/>
      </rPr>
      <t>k</t>
    </r>
    <r>
      <rPr>
        <sz val="10"/>
        <color rgb="FF000000"/>
        <rFont val="Times New Roman"/>
        <family val="1"/>
      </rPr>
      <t>s</t>
    </r>
  </si>
  <si>
    <r>
      <rPr>
        <sz val="10"/>
        <color rgb="FF000000"/>
        <rFont val="Times New Roman"/>
        <family val="1"/>
      </rPr>
      <t>L</t>
    </r>
    <r>
      <rPr>
        <sz val="10"/>
        <color rgb="FF000000"/>
        <rFont val="Times New Roman"/>
        <family val="1"/>
      </rPr>
      <t>e</t>
    </r>
    <r>
      <rPr>
        <sz val="10"/>
        <color rgb="FF000000"/>
        <rFont val="Times New Roman"/>
        <family val="1"/>
      </rPr>
      <t>t</t>
    </r>
    <r>
      <rPr>
        <sz val="10"/>
        <color rgb="FF000000"/>
        <rFont val="Times New Roman"/>
        <family val="1"/>
      </rPr>
      <t>t</t>
    </r>
    <r>
      <rPr>
        <sz val="10"/>
        <color rgb="FF000000"/>
        <rFont val="Times New Roman"/>
        <family val="1"/>
      </rPr>
      <t>e</t>
    </r>
    <r>
      <rPr>
        <sz val="10"/>
        <color rgb="FF000000"/>
        <rFont val="Times New Roman"/>
        <family val="1"/>
      </rPr>
      <t>r</t>
    </r>
    <r>
      <rPr>
        <sz val="10"/>
        <color rgb="FF000000"/>
        <rFont val="Times New Roman"/>
        <family val="1"/>
      </rPr>
      <t xml:space="preserve"> </t>
    </r>
    <r>
      <rPr>
        <sz val="10"/>
        <color rgb="FF000000"/>
        <rFont val="Times New Roman"/>
        <family val="1"/>
      </rPr>
      <t>f</t>
    </r>
    <r>
      <rPr>
        <sz val="10"/>
        <color rgb="FF000000"/>
        <rFont val="Times New Roman"/>
        <family val="1"/>
      </rPr>
      <t>r</t>
    </r>
    <r>
      <rPr>
        <sz val="10"/>
        <color rgb="FF000000"/>
        <rFont val="Times New Roman"/>
        <family val="1"/>
      </rPr>
      <t>o</t>
    </r>
    <r>
      <rPr>
        <sz val="10"/>
        <color rgb="FF000000"/>
        <rFont val="Times New Roman"/>
        <family val="1"/>
      </rPr>
      <t>m</t>
    </r>
    <r>
      <rPr>
        <sz val="10"/>
        <color rgb="FF000000"/>
        <rFont val="Times New Roman"/>
        <family val="1"/>
      </rPr>
      <t xml:space="preserve"> </t>
    </r>
    <r>
      <rPr>
        <sz val="10"/>
        <color rgb="FF000000"/>
        <rFont val="Times New Roman"/>
        <family val="1"/>
      </rPr>
      <t xml:space="preserve"> </t>
    </r>
    <r>
      <rPr>
        <sz val="10"/>
        <color rgb="FF000000"/>
        <rFont val="Times New Roman"/>
        <family val="1"/>
      </rPr>
      <t>A</t>
    </r>
    <r>
      <rPr>
        <sz val="10"/>
        <color rgb="FF000000"/>
        <rFont val="Times New Roman"/>
        <family val="1"/>
      </rPr>
      <t>u</t>
    </r>
    <r>
      <rPr>
        <sz val="10"/>
        <color rgb="FF000000"/>
        <rFont val="Times New Roman"/>
        <family val="1"/>
      </rPr>
      <t>t</t>
    </r>
    <r>
      <rPr>
        <sz val="10"/>
        <color rgb="FF000000"/>
        <rFont val="Times New Roman"/>
        <family val="1"/>
      </rPr>
      <t>h</t>
    </r>
    <r>
      <rPr>
        <sz val="10"/>
        <color rgb="FF000000"/>
        <rFont val="Times New Roman"/>
        <family val="1"/>
      </rPr>
      <t>o</t>
    </r>
    <r>
      <rPr>
        <sz val="10"/>
        <color rgb="FF000000"/>
        <rFont val="Times New Roman"/>
        <family val="1"/>
      </rPr>
      <t>r</t>
    </r>
    <r>
      <rPr>
        <sz val="10"/>
        <color rgb="FF000000"/>
        <rFont val="Times New Roman"/>
        <family val="1"/>
      </rPr>
      <t>i</t>
    </r>
    <r>
      <rPr>
        <sz val="10"/>
        <color rgb="FF000000"/>
        <rFont val="Times New Roman"/>
        <family val="1"/>
      </rPr>
      <t>z</t>
    </r>
    <r>
      <rPr>
        <sz val="10"/>
        <color rgb="FF000000"/>
        <rFont val="Times New Roman"/>
        <family val="1"/>
      </rPr>
      <t>e</t>
    </r>
    <r>
      <rPr>
        <sz val="10"/>
        <color rgb="FF000000"/>
        <rFont val="Times New Roman"/>
        <family val="1"/>
      </rPr>
      <t>d</t>
    </r>
    <r>
      <rPr>
        <sz val="10"/>
        <color rgb="FF000000"/>
        <rFont val="Times New Roman"/>
        <family val="1"/>
      </rPr>
      <t xml:space="preserve"> </t>
    </r>
    <r>
      <rPr>
        <sz val="10"/>
        <color rgb="FF000000"/>
        <rFont val="Times New Roman"/>
        <family val="1"/>
      </rPr>
      <t>s</t>
    </r>
    <r>
      <rPr>
        <sz val="10"/>
        <color rgb="FF000000"/>
        <rFont val="Times New Roman"/>
        <family val="1"/>
      </rPr>
      <t>i</t>
    </r>
    <r>
      <rPr>
        <sz val="10"/>
        <color rgb="FF000000"/>
        <rFont val="Times New Roman"/>
        <family val="1"/>
      </rPr>
      <t>g</t>
    </r>
    <r>
      <rPr>
        <sz val="10"/>
        <color rgb="FF000000"/>
        <rFont val="Times New Roman"/>
        <family val="1"/>
      </rPr>
      <t>n</t>
    </r>
    <r>
      <rPr>
        <sz val="10"/>
        <color rgb="FF000000"/>
        <rFont val="Times New Roman"/>
        <family val="1"/>
      </rPr>
      <t>a</t>
    </r>
    <r>
      <rPr>
        <sz val="10"/>
        <color rgb="FF000000"/>
        <rFont val="Times New Roman"/>
        <family val="1"/>
      </rPr>
      <t>t</t>
    </r>
    <r>
      <rPr>
        <sz val="10"/>
        <color rgb="FF000000"/>
        <rFont val="Times New Roman"/>
        <family val="1"/>
      </rPr>
      <t>o</t>
    </r>
    <r>
      <rPr>
        <sz val="10"/>
        <color rgb="FF000000"/>
        <rFont val="Times New Roman"/>
        <family val="1"/>
      </rPr>
      <t>r</t>
    </r>
    <r>
      <rPr>
        <sz val="10"/>
        <color rgb="FF000000"/>
        <rFont val="Times New Roman"/>
        <family val="1"/>
      </rPr>
      <t>y</t>
    </r>
    <r>
      <rPr>
        <sz val="10"/>
        <color rgb="FF000000"/>
        <rFont val="Times New Roman"/>
        <family val="1"/>
      </rPr>
      <t xml:space="preserve">    </t>
    </r>
    <r>
      <rPr>
        <sz val="10"/>
        <color rgb="FF000000"/>
        <rFont val="Times New Roman"/>
        <family val="1"/>
      </rPr>
      <t xml:space="preserve"> </t>
    </r>
    <r>
      <rPr>
        <sz val="10"/>
        <color rgb="FF000000"/>
        <rFont val="Times New Roman"/>
        <family val="1"/>
      </rPr>
      <t>on</t>
    </r>
    <r>
      <rPr>
        <sz val="10"/>
        <color rgb="FF000000"/>
        <rFont val="Times New Roman"/>
        <family val="1"/>
      </rPr>
      <t xml:space="preserve"> </t>
    </r>
    <r>
      <rPr>
        <sz val="10"/>
        <color rgb="FF000000"/>
        <rFont val="Times New Roman"/>
        <family val="1"/>
      </rPr>
      <t>t</t>
    </r>
    <r>
      <rPr>
        <sz val="10"/>
        <color rgb="FF000000"/>
        <rFont val="Times New Roman"/>
        <family val="1"/>
      </rPr>
      <t>h</t>
    </r>
    <r>
      <rPr>
        <sz val="10"/>
        <color rgb="FF000000"/>
        <rFont val="Times New Roman"/>
        <family val="1"/>
      </rPr>
      <t>e</t>
    </r>
    <r>
      <rPr>
        <sz val="10"/>
        <color rgb="FF000000"/>
        <rFont val="Times New Roman"/>
        <family val="1"/>
      </rPr>
      <t xml:space="preserve">   </t>
    </r>
    <r>
      <rPr>
        <sz val="10"/>
        <color rgb="FF000000"/>
        <rFont val="Times New Roman"/>
        <family val="1"/>
      </rPr>
      <t xml:space="preserve"> </t>
    </r>
    <r>
      <rPr>
        <sz val="10"/>
        <color rgb="FF000000"/>
        <rFont val="Times New Roman"/>
        <family val="1"/>
      </rPr>
      <t>l</t>
    </r>
    <r>
      <rPr>
        <sz val="10"/>
        <color rgb="FF000000"/>
        <rFont val="Times New Roman"/>
        <family val="1"/>
      </rPr>
      <t>e</t>
    </r>
    <r>
      <rPr>
        <sz val="10"/>
        <color rgb="FF000000"/>
        <rFont val="Times New Roman"/>
        <family val="1"/>
      </rPr>
      <t>tt</t>
    </r>
    <r>
      <rPr>
        <sz val="10"/>
        <color rgb="FF000000"/>
        <rFont val="Times New Roman"/>
        <family val="1"/>
      </rPr>
      <t>e</t>
    </r>
    <r>
      <rPr>
        <sz val="10"/>
        <color rgb="FF000000"/>
        <rFont val="Times New Roman"/>
        <family val="1"/>
      </rPr>
      <t>r</t>
    </r>
    <r>
      <rPr>
        <sz val="10"/>
        <color rgb="FF000000"/>
        <rFont val="Times New Roman"/>
        <family val="1"/>
      </rPr>
      <t xml:space="preserve"> </t>
    </r>
    <r>
      <rPr>
        <sz val="10"/>
        <color rgb="FF000000"/>
        <rFont val="Times New Roman"/>
        <family val="1"/>
      </rPr>
      <t xml:space="preserve"> </t>
    </r>
    <r>
      <rPr>
        <sz val="10"/>
        <color rgb="FF000000"/>
        <rFont val="Times New Roman"/>
        <family val="1"/>
      </rPr>
      <t>h</t>
    </r>
    <r>
      <rPr>
        <sz val="10"/>
        <color rgb="FF000000"/>
        <rFont val="Times New Roman"/>
        <family val="1"/>
      </rPr>
      <t>e</t>
    </r>
    <r>
      <rPr>
        <sz val="10"/>
        <color rgb="FF000000"/>
        <rFont val="Times New Roman"/>
        <family val="1"/>
      </rPr>
      <t>a</t>
    </r>
    <r>
      <rPr>
        <sz val="10"/>
        <color rgb="FF000000"/>
        <rFont val="Times New Roman"/>
        <family val="1"/>
      </rPr>
      <t>d</t>
    </r>
    <r>
      <rPr>
        <sz val="10"/>
        <color rgb="FF000000"/>
        <rFont val="Times New Roman"/>
        <family val="1"/>
      </rPr>
      <t xml:space="preserve"> </t>
    </r>
    <r>
      <rPr>
        <sz val="10"/>
        <color rgb="FF000000"/>
        <rFont val="Times New Roman"/>
        <family val="1"/>
      </rPr>
      <t>o</t>
    </r>
    <r>
      <rPr>
        <sz val="10"/>
        <color rgb="FF000000"/>
        <rFont val="Times New Roman"/>
        <family val="1"/>
      </rPr>
      <t>f</t>
    </r>
    <r>
      <rPr>
        <sz val="10"/>
        <color rgb="FF000000"/>
        <rFont val="Times New Roman"/>
        <family val="1"/>
      </rPr>
      <t xml:space="preserve"> </t>
    </r>
    <r>
      <rPr>
        <sz val="10"/>
        <color rgb="FF000000"/>
        <rFont val="Times New Roman"/>
        <family val="1"/>
      </rPr>
      <t>t</t>
    </r>
    <r>
      <rPr>
        <sz val="10"/>
        <color rgb="FF000000"/>
        <rFont val="Times New Roman"/>
        <family val="1"/>
      </rPr>
      <t>h</t>
    </r>
    <r>
      <rPr>
        <sz val="10"/>
        <color rgb="FF000000"/>
        <rFont val="Times New Roman"/>
        <family val="1"/>
      </rPr>
      <t>e</t>
    </r>
    <r>
      <rPr>
        <sz val="10"/>
        <color rgb="FF000000"/>
        <rFont val="Times New Roman"/>
        <family val="1"/>
      </rPr>
      <t xml:space="preserve"> </t>
    </r>
    <r>
      <rPr>
        <sz val="10"/>
        <color rgb="FF000000"/>
        <rFont val="Times New Roman"/>
        <family val="1"/>
      </rPr>
      <t xml:space="preserve"> </t>
    </r>
    <r>
      <rPr>
        <sz val="10"/>
        <color rgb="FF000000"/>
        <rFont val="Times New Roman"/>
        <family val="1"/>
      </rPr>
      <t>C</t>
    </r>
    <r>
      <rPr>
        <sz val="10"/>
        <color rgb="FF000000"/>
        <rFont val="Times New Roman"/>
        <family val="1"/>
      </rPr>
      <t>S</t>
    </r>
    <r>
      <rPr>
        <sz val="10"/>
        <color rgb="FF000000"/>
        <rFont val="Times New Roman"/>
        <family val="1"/>
      </rPr>
      <t>P</t>
    </r>
    <r>
      <rPr>
        <sz val="10"/>
        <color rgb="FF000000"/>
        <rFont val="Times New Roman"/>
        <family val="1"/>
      </rPr>
      <t xml:space="preserve"> </t>
    </r>
    <r>
      <rPr>
        <sz val="10"/>
        <color rgb="FF000000"/>
        <rFont val="Times New Roman"/>
        <family val="1"/>
      </rPr>
      <t>c</t>
    </r>
    <r>
      <rPr>
        <sz val="10"/>
        <color rgb="FF000000"/>
        <rFont val="Times New Roman"/>
        <family val="1"/>
      </rPr>
      <t>o</t>
    </r>
    <r>
      <rPr>
        <sz val="10"/>
        <color rgb="FF000000"/>
        <rFont val="Times New Roman"/>
        <family val="1"/>
      </rPr>
      <t>n</t>
    </r>
    <r>
      <rPr>
        <sz val="10"/>
        <color rgb="FF000000"/>
        <rFont val="Times New Roman"/>
        <family val="1"/>
      </rPr>
      <t>f</t>
    </r>
    <r>
      <rPr>
        <sz val="10"/>
        <color rgb="FF000000"/>
        <rFont val="Times New Roman"/>
        <family val="1"/>
      </rPr>
      <t>i</t>
    </r>
    <r>
      <rPr>
        <sz val="10"/>
        <color rgb="FF000000"/>
        <rFont val="Times New Roman"/>
        <family val="1"/>
      </rPr>
      <t>r</t>
    </r>
    <r>
      <rPr>
        <sz val="10"/>
        <color rgb="FF000000"/>
        <rFont val="Times New Roman"/>
        <family val="1"/>
      </rPr>
      <t>m</t>
    </r>
    <r>
      <rPr>
        <sz val="10"/>
        <color rgb="FF000000"/>
        <rFont val="Times New Roman"/>
        <family val="1"/>
      </rPr>
      <t>i</t>
    </r>
    <r>
      <rPr>
        <sz val="10"/>
        <color rgb="FF000000"/>
        <rFont val="Times New Roman"/>
        <family val="1"/>
      </rPr>
      <t>n</t>
    </r>
    <r>
      <rPr>
        <sz val="10"/>
        <color rgb="FF000000"/>
        <rFont val="Times New Roman"/>
        <family val="1"/>
      </rPr>
      <t>g</t>
    </r>
    <r>
      <rPr>
        <sz val="10"/>
        <color rgb="FF000000"/>
        <rFont val="Times New Roman"/>
        <family val="1"/>
      </rPr>
      <t xml:space="preserve"> </t>
    </r>
    <r>
      <rPr>
        <sz val="10"/>
        <color rgb="FF000000"/>
        <rFont val="Times New Roman"/>
        <family val="1"/>
      </rPr>
      <t>D</t>
    </r>
    <r>
      <rPr>
        <sz val="10"/>
        <color rgb="FF000000"/>
        <rFont val="Times New Roman"/>
        <family val="1"/>
      </rPr>
      <t>a</t>
    </r>
    <r>
      <rPr>
        <sz val="10"/>
        <color rgb="FF000000"/>
        <rFont val="Times New Roman"/>
        <family val="1"/>
      </rPr>
      <t>t</t>
    </r>
    <r>
      <rPr>
        <sz val="10"/>
        <color rgb="FF000000"/>
        <rFont val="Times New Roman"/>
        <family val="1"/>
      </rPr>
      <t>a</t>
    </r>
    <r>
      <rPr>
        <sz val="10"/>
        <color rgb="FF000000"/>
        <rFont val="Times New Roman"/>
        <family val="1"/>
      </rPr>
      <t xml:space="preserve"> </t>
    </r>
    <r>
      <rPr>
        <sz val="10"/>
        <color rgb="FF000000"/>
        <rFont val="Times New Roman"/>
        <family val="1"/>
      </rPr>
      <t>C</t>
    </r>
    <r>
      <rPr>
        <sz val="10"/>
        <color rgb="FF000000"/>
        <rFont val="Times New Roman"/>
        <family val="1"/>
      </rPr>
      <t>e</t>
    </r>
    <r>
      <rPr>
        <sz val="10"/>
        <color rgb="FF000000"/>
        <rFont val="Times New Roman"/>
        <family val="1"/>
      </rPr>
      <t>n</t>
    </r>
    <r>
      <rPr>
        <sz val="10"/>
        <color rgb="FF000000"/>
        <rFont val="Times New Roman"/>
        <family val="1"/>
      </rPr>
      <t>t</t>
    </r>
    <r>
      <rPr>
        <sz val="10"/>
        <color rgb="FF000000"/>
        <rFont val="Times New Roman"/>
        <family val="1"/>
      </rPr>
      <t>r</t>
    </r>
    <r>
      <rPr>
        <sz val="10"/>
        <color rgb="FF000000"/>
        <rFont val="Times New Roman"/>
        <family val="1"/>
      </rPr>
      <t>e</t>
    </r>
    <r>
      <rPr>
        <sz val="10"/>
        <color rgb="FF000000"/>
        <rFont val="Times New Roman"/>
        <family val="1"/>
      </rPr>
      <t xml:space="preserve"> </t>
    </r>
    <r>
      <rPr>
        <sz val="10"/>
        <color rgb="FF000000"/>
        <rFont val="Times New Roman"/>
        <family val="1"/>
      </rPr>
      <t>l</t>
    </r>
    <r>
      <rPr>
        <sz val="10"/>
        <color rgb="FF000000"/>
        <rFont val="Times New Roman"/>
        <family val="1"/>
      </rPr>
      <t>o</t>
    </r>
    <r>
      <rPr>
        <sz val="10"/>
        <color rgb="FF000000"/>
        <rFont val="Times New Roman"/>
        <family val="1"/>
      </rPr>
      <t>c</t>
    </r>
    <r>
      <rPr>
        <sz val="10"/>
        <color rgb="FF000000"/>
        <rFont val="Times New Roman"/>
        <family val="1"/>
      </rPr>
      <t>a</t>
    </r>
    <r>
      <rPr>
        <sz val="10"/>
        <color rgb="FF000000"/>
        <rFont val="Times New Roman"/>
        <family val="1"/>
      </rPr>
      <t>t</t>
    </r>
    <r>
      <rPr>
        <sz val="10"/>
        <color rgb="FF000000"/>
        <rFont val="Times New Roman"/>
        <family val="1"/>
      </rPr>
      <t>i</t>
    </r>
    <r>
      <rPr>
        <sz val="10"/>
        <color rgb="FF000000"/>
        <rFont val="Times New Roman"/>
        <family val="1"/>
      </rPr>
      <t>o</t>
    </r>
    <r>
      <rPr>
        <sz val="10"/>
        <color rgb="FF000000"/>
        <rFont val="Times New Roman"/>
        <family val="1"/>
      </rPr>
      <t>n</t>
    </r>
    <r>
      <rPr>
        <sz val="10"/>
        <color rgb="FF000000"/>
        <rFont val="Times New Roman"/>
        <family val="1"/>
      </rPr>
      <t xml:space="preserve"> </t>
    </r>
    <r>
      <rPr>
        <sz val="10"/>
        <color rgb="FF000000"/>
        <rFont val="Times New Roman"/>
        <family val="1"/>
      </rPr>
      <t>a</t>
    </r>
    <r>
      <rPr>
        <sz val="10"/>
        <color rgb="FF000000"/>
        <rFont val="Times New Roman"/>
        <family val="1"/>
      </rPr>
      <t>n</t>
    </r>
    <r>
      <rPr>
        <sz val="10"/>
        <color rgb="FF000000"/>
        <rFont val="Times New Roman"/>
        <family val="1"/>
      </rPr>
      <t>d</t>
    </r>
    <r>
      <rPr>
        <sz val="10"/>
        <color rgb="FF000000"/>
        <rFont val="Times New Roman"/>
        <family val="1"/>
      </rPr>
      <t xml:space="preserve"> </t>
    </r>
    <r>
      <rPr>
        <sz val="10"/>
        <color rgb="FF000000"/>
        <rFont val="Times New Roman"/>
        <family val="1"/>
      </rPr>
      <t>M</t>
    </r>
    <r>
      <rPr>
        <sz val="10"/>
        <color rgb="FF000000"/>
        <rFont val="Times New Roman"/>
        <family val="1"/>
      </rPr>
      <t>e</t>
    </r>
    <r>
      <rPr>
        <sz val="10"/>
        <color rgb="FF000000"/>
        <rFont val="Times New Roman"/>
        <family val="1"/>
      </rPr>
      <t>i</t>
    </r>
    <r>
      <rPr>
        <sz val="10"/>
        <color rgb="FF000000"/>
        <rFont val="Times New Roman"/>
        <family val="1"/>
      </rPr>
      <t>t</t>
    </r>
    <r>
      <rPr>
        <sz val="10"/>
        <color rgb="FF000000"/>
        <rFont val="Times New Roman"/>
        <family val="1"/>
      </rPr>
      <t>Y</t>
    </r>
    <r>
      <rPr>
        <sz val="10"/>
        <color rgb="FF000000"/>
        <rFont val="Times New Roman"/>
        <family val="1"/>
      </rPr>
      <t xml:space="preserve"> </t>
    </r>
    <r>
      <rPr>
        <sz val="10"/>
        <color rgb="FF000000"/>
        <rFont val="Times New Roman"/>
        <family val="1"/>
      </rPr>
      <t>e</t>
    </r>
    <r>
      <rPr>
        <sz val="10"/>
        <color rgb="FF000000"/>
        <rFont val="Times New Roman"/>
        <family val="1"/>
      </rPr>
      <t>m</t>
    </r>
    <r>
      <rPr>
        <sz val="10"/>
        <color rgb="FF000000"/>
        <rFont val="Times New Roman"/>
        <family val="1"/>
      </rPr>
      <t>p</t>
    </r>
    <r>
      <rPr>
        <sz val="10"/>
        <color rgb="FF000000"/>
        <rFont val="Times New Roman"/>
        <family val="1"/>
      </rPr>
      <t>a</t>
    </r>
    <r>
      <rPr>
        <sz val="10"/>
        <color rgb="FF000000"/>
        <rFont val="Times New Roman"/>
        <family val="1"/>
      </rPr>
      <t>n</t>
    </r>
    <r>
      <rPr>
        <sz val="10"/>
        <color rgb="FF000000"/>
        <rFont val="Times New Roman"/>
        <family val="1"/>
      </rPr>
      <t>e</t>
    </r>
    <r>
      <rPr>
        <sz val="10"/>
        <color rgb="FF000000"/>
        <rFont val="Times New Roman"/>
        <family val="1"/>
      </rPr>
      <t>l</t>
    </r>
    <r>
      <rPr>
        <sz val="10"/>
        <color rgb="FF000000"/>
        <rFont val="Times New Roman"/>
        <family val="1"/>
      </rPr>
      <t>m</t>
    </r>
    <r>
      <rPr>
        <sz val="10"/>
        <color rgb="FF000000"/>
        <rFont val="Times New Roman"/>
        <family val="1"/>
      </rPr>
      <t>e</t>
    </r>
    <r>
      <rPr>
        <sz val="10"/>
        <color rgb="FF000000"/>
        <rFont val="Times New Roman"/>
        <family val="1"/>
      </rPr>
      <t>n</t>
    </r>
    <r>
      <rPr>
        <sz val="10"/>
        <color rgb="FF000000"/>
        <rFont val="Times New Roman"/>
        <family val="1"/>
      </rPr>
      <t>t</t>
    </r>
    <r>
      <rPr>
        <sz val="10"/>
        <color rgb="FF000000"/>
        <rFont val="Times New Roman"/>
        <family val="1"/>
      </rPr>
      <t>.</t>
    </r>
  </si>
  <si>
    <r>
      <rPr>
        <sz val="10"/>
        <color rgb="FF000000"/>
        <rFont val="Times New Roman"/>
        <family val="1"/>
      </rPr>
      <t>T</t>
    </r>
    <r>
      <rPr>
        <sz val="10"/>
        <color rgb="FF000000"/>
        <rFont val="Times New Roman"/>
        <family val="1"/>
      </rPr>
      <t>h</t>
    </r>
    <r>
      <rPr>
        <sz val="10"/>
        <color rgb="FF000000"/>
        <rFont val="Times New Roman"/>
        <family val="1"/>
      </rPr>
      <t>e</t>
    </r>
    <r>
      <rPr>
        <sz val="10"/>
        <color rgb="FF000000"/>
        <rFont val="Times New Roman"/>
        <family val="1"/>
      </rPr>
      <t xml:space="preserve"> </t>
    </r>
    <r>
      <rPr>
        <sz val="10"/>
        <color rgb="FF000000"/>
        <rFont val="Times New Roman"/>
        <family val="1"/>
      </rPr>
      <t>C</t>
    </r>
    <r>
      <rPr>
        <sz val="10"/>
        <color rgb="FF000000"/>
        <rFont val="Times New Roman"/>
        <family val="1"/>
      </rPr>
      <t>S</t>
    </r>
    <r>
      <rPr>
        <sz val="10"/>
        <color rgb="FF000000"/>
        <rFont val="Times New Roman"/>
        <family val="1"/>
      </rPr>
      <t>P</t>
    </r>
    <r>
      <rPr>
        <sz val="10"/>
        <color rgb="FF000000"/>
        <rFont val="Times New Roman"/>
        <family val="1"/>
      </rPr>
      <t xml:space="preserve"> </t>
    </r>
    <r>
      <rPr>
        <sz val="10"/>
        <color rgb="FF000000"/>
        <rFont val="Times New Roman"/>
        <family val="1"/>
      </rPr>
      <t>s</t>
    </r>
    <r>
      <rPr>
        <sz val="10"/>
        <color rgb="FF000000"/>
        <rFont val="Times New Roman"/>
        <family val="1"/>
      </rPr>
      <t>h</t>
    </r>
    <r>
      <rPr>
        <sz val="10"/>
        <color rgb="FF000000"/>
        <rFont val="Times New Roman"/>
        <family val="1"/>
      </rPr>
      <t>ou</t>
    </r>
    <r>
      <rPr>
        <sz val="10"/>
        <color rgb="FF000000"/>
        <rFont val="Times New Roman"/>
        <family val="1"/>
      </rPr>
      <t>l</t>
    </r>
    <r>
      <rPr>
        <sz val="10"/>
        <color rgb="FF000000"/>
        <rFont val="Times New Roman"/>
        <family val="1"/>
      </rPr>
      <t>d</t>
    </r>
    <r>
      <rPr>
        <sz val="10"/>
        <color rgb="FF000000"/>
        <rFont val="Times New Roman"/>
        <family val="1"/>
      </rPr>
      <t xml:space="preserve"> </t>
    </r>
    <r>
      <rPr>
        <sz val="10"/>
        <color rgb="FF000000"/>
        <rFont val="Times New Roman"/>
        <family val="1"/>
      </rPr>
      <t>h</t>
    </r>
    <r>
      <rPr>
        <sz val="10"/>
        <color rgb="FF000000"/>
        <rFont val="Times New Roman"/>
        <family val="1"/>
      </rPr>
      <t>a</t>
    </r>
    <r>
      <rPr>
        <sz val="10"/>
        <color rgb="FF000000"/>
        <rFont val="Times New Roman"/>
        <family val="1"/>
      </rPr>
      <t>v</t>
    </r>
    <r>
      <rPr>
        <sz val="10"/>
        <color rgb="FF000000"/>
        <rFont val="Times New Roman"/>
        <family val="1"/>
      </rPr>
      <t>e</t>
    </r>
    <r>
      <rPr>
        <sz val="10"/>
        <color rgb="FF000000"/>
        <rFont val="Times New Roman"/>
        <family val="1"/>
      </rPr>
      <t xml:space="preserve"> </t>
    </r>
    <r>
      <rPr>
        <sz val="10"/>
        <color rgb="FF000000"/>
        <rFont val="Times New Roman"/>
        <family val="1"/>
      </rPr>
      <t>a</t>
    </r>
    <r>
      <rPr>
        <sz val="10"/>
        <color rgb="FF000000"/>
        <rFont val="Times New Roman"/>
        <family val="1"/>
      </rPr>
      <t>b</t>
    </r>
    <r>
      <rPr>
        <sz val="10"/>
        <color rgb="FF000000"/>
        <rFont val="Times New Roman"/>
        <family val="1"/>
      </rPr>
      <t>il</t>
    </r>
    <r>
      <rPr>
        <sz val="10"/>
        <color rgb="FF000000"/>
        <rFont val="Times New Roman"/>
        <family val="1"/>
      </rPr>
      <t>i</t>
    </r>
    <r>
      <rPr>
        <sz val="10"/>
        <color rgb="FF000000"/>
        <rFont val="Times New Roman"/>
        <family val="1"/>
      </rPr>
      <t>t</t>
    </r>
    <r>
      <rPr>
        <sz val="10"/>
        <color rgb="FF000000"/>
        <rFont val="Times New Roman"/>
        <family val="1"/>
      </rPr>
      <t>y</t>
    </r>
    <r>
      <rPr>
        <sz val="10"/>
        <color rgb="FF000000"/>
        <rFont val="Times New Roman"/>
        <family val="1"/>
      </rPr>
      <t xml:space="preserve"> </t>
    </r>
    <r>
      <rPr>
        <sz val="10"/>
        <color rgb="FF000000"/>
        <rFont val="Times New Roman"/>
        <family val="1"/>
      </rPr>
      <t>t</t>
    </r>
    <r>
      <rPr>
        <sz val="10"/>
        <color rgb="FF000000"/>
        <rFont val="Times New Roman"/>
        <family val="1"/>
      </rPr>
      <t>o</t>
    </r>
    <r>
      <rPr>
        <sz val="10"/>
        <color rgb="FF000000"/>
        <rFont val="Times New Roman"/>
        <family val="1"/>
      </rPr>
      <t xml:space="preserve"> </t>
    </r>
    <r>
      <rPr>
        <sz val="10"/>
        <color rgb="FF000000"/>
        <rFont val="Times New Roman"/>
        <family val="1"/>
      </rPr>
      <t>p</t>
    </r>
    <r>
      <rPr>
        <sz val="10"/>
        <color rgb="FF000000"/>
        <rFont val="Times New Roman"/>
        <family val="1"/>
      </rPr>
      <t>r</t>
    </r>
    <r>
      <rPr>
        <sz val="10"/>
        <color rgb="FF000000"/>
        <rFont val="Times New Roman"/>
        <family val="1"/>
      </rPr>
      <t>o</t>
    </r>
    <r>
      <rPr>
        <sz val="10"/>
        <color rgb="FF000000"/>
        <rFont val="Times New Roman"/>
        <family val="1"/>
      </rPr>
      <t>v</t>
    </r>
    <r>
      <rPr>
        <sz val="10"/>
        <color rgb="FF000000"/>
        <rFont val="Times New Roman"/>
        <family val="1"/>
      </rPr>
      <t>i</t>
    </r>
    <r>
      <rPr>
        <sz val="10"/>
        <color rgb="FF000000"/>
        <rFont val="Times New Roman"/>
        <family val="1"/>
      </rPr>
      <t>d</t>
    </r>
    <r>
      <rPr>
        <sz val="10"/>
        <color rgb="FF000000"/>
        <rFont val="Times New Roman"/>
        <family val="1"/>
      </rPr>
      <t>e</t>
    </r>
    <r>
      <rPr>
        <sz val="10"/>
        <color rgb="FF000000"/>
        <rFont val="Times New Roman"/>
        <family val="1"/>
      </rPr>
      <t xml:space="preserve"> </t>
    </r>
    <r>
      <rPr>
        <sz val="10"/>
        <color rgb="FF000000"/>
        <rFont val="Times New Roman"/>
        <family val="1"/>
      </rPr>
      <t>f</t>
    </r>
    <r>
      <rPr>
        <sz val="10"/>
        <color rgb="FF000000"/>
        <rFont val="Times New Roman"/>
        <family val="1"/>
      </rPr>
      <t>o</t>
    </r>
    <r>
      <rPr>
        <sz val="10"/>
        <color rgb="FF000000"/>
        <rFont val="Times New Roman"/>
        <family val="1"/>
      </rPr>
      <t>l</t>
    </r>
    <r>
      <rPr>
        <sz val="10"/>
        <color rgb="FF000000"/>
        <rFont val="Times New Roman"/>
        <family val="1"/>
      </rPr>
      <t>l</t>
    </r>
    <r>
      <rPr>
        <sz val="10"/>
        <color rgb="FF000000"/>
        <rFont val="Times New Roman"/>
        <family val="1"/>
      </rPr>
      <t>o</t>
    </r>
    <r>
      <rPr>
        <sz val="10"/>
        <color rgb="FF000000"/>
        <rFont val="Times New Roman"/>
        <family val="1"/>
      </rPr>
      <t>w</t>
    </r>
    <r>
      <rPr>
        <sz val="10"/>
        <color rgb="FF000000"/>
        <rFont val="Times New Roman"/>
        <family val="1"/>
      </rPr>
      <t>i</t>
    </r>
    <r>
      <rPr>
        <sz val="10"/>
        <color rgb="FF000000"/>
        <rFont val="Times New Roman"/>
        <family val="1"/>
      </rPr>
      <t>n</t>
    </r>
    <r>
      <rPr>
        <sz val="10"/>
        <color rgb="FF000000"/>
        <rFont val="Times New Roman"/>
        <family val="1"/>
      </rPr>
      <t>g</t>
    </r>
    <r>
      <rPr>
        <sz val="10"/>
        <color rgb="FF000000"/>
        <rFont val="Times New Roman"/>
        <family val="1"/>
      </rPr>
      <t xml:space="preserve"> </t>
    </r>
    <r>
      <rPr>
        <sz val="10"/>
        <color rgb="FF000000"/>
        <rFont val="Times New Roman"/>
        <family val="1"/>
      </rPr>
      <t xml:space="preserve"> </t>
    </r>
    <r>
      <rPr>
        <sz val="10"/>
        <color rgb="FF000000"/>
        <rFont val="Times New Roman"/>
        <family val="1"/>
      </rPr>
      <t>s</t>
    </r>
    <r>
      <rPr>
        <sz val="10"/>
        <color rgb="FF000000"/>
        <rFont val="Times New Roman"/>
        <family val="1"/>
      </rPr>
      <t>e</t>
    </r>
    <r>
      <rPr>
        <sz val="10"/>
        <color rgb="FF000000"/>
        <rFont val="Times New Roman"/>
        <family val="1"/>
      </rPr>
      <t>c</t>
    </r>
    <r>
      <rPr>
        <sz val="10"/>
        <color rgb="FF000000"/>
        <rFont val="Times New Roman"/>
        <family val="1"/>
      </rPr>
      <t>u</t>
    </r>
    <r>
      <rPr>
        <sz val="10"/>
        <color rgb="FF000000"/>
        <rFont val="Times New Roman"/>
        <family val="1"/>
      </rPr>
      <t>r</t>
    </r>
    <r>
      <rPr>
        <sz val="10"/>
        <color rgb="FF000000"/>
        <rFont val="Times New Roman"/>
        <family val="1"/>
      </rPr>
      <t>i</t>
    </r>
    <r>
      <rPr>
        <sz val="10"/>
        <color rgb="FF000000"/>
        <rFont val="Times New Roman"/>
        <family val="1"/>
      </rPr>
      <t>t</t>
    </r>
    <r>
      <rPr>
        <sz val="10"/>
        <color rgb="FF000000"/>
        <rFont val="Times New Roman"/>
        <family val="1"/>
      </rPr>
      <t>y</t>
    </r>
    <r>
      <rPr>
        <sz val="10"/>
        <color rgb="FF000000"/>
        <rFont val="Times New Roman"/>
        <family val="1"/>
      </rPr>
      <t xml:space="preserve"> </t>
    </r>
    <r>
      <rPr>
        <sz val="10"/>
        <color rgb="FF000000"/>
        <rFont val="Times New Roman"/>
        <family val="1"/>
      </rPr>
      <t xml:space="preserve"> </t>
    </r>
    <r>
      <rPr>
        <sz val="10"/>
        <color rgb="FF000000"/>
        <rFont val="Times New Roman"/>
        <family val="1"/>
      </rPr>
      <t>c</t>
    </r>
    <r>
      <rPr>
        <sz val="10"/>
        <color rgb="FF000000"/>
        <rFont val="Times New Roman"/>
        <family val="1"/>
      </rPr>
      <t>o</t>
    </r>
    <r>
      <rPr>
        <sz val="10"/>
        <color rgb="FF000000"/>
        <rFont val="Times New Roman"/>
        <family val="1"/>
      </rPr>
      <t>m</t>
    </r>
    <r>
      <rPr>
        <sz val="10"/>
        <color rgb="FF000000"/>
        <rFont val="Times New Roman"/>
        <family val="1"/>
      </rPr>
      <t>p</t>
    </r>
    <r>
      <rPr>
        <sz val="10"/>
        <color rgb="FF000000"/>
        <rFont val="Times New Roman"/>
        <family val="1"/>
      </rPr>
      <t>o</t>
    </r>
    <r>
      <rPr>
        <sz val="10"/>
        <color rgb="FF000000"/>
        <rFont val="Times New Roman"/>
        <family val="1"/>
      </rPr>
      <t>n</t>
    </r>
    <r>
      <rPr>
        <sz val="10"/>
        <color rgb="FF000000"/>
        <rFont val="Times New Roman"/>
        <family val="1"/>
      </rPr>
      <t>e</t>
    </r>
    <r>
      <rPr>
        <sz val="10"/>
        <color rgb="FF000000"/>
        <rFont val="Times New Roman"/>
        <family val="1"/>
      </rPr>
      <t>n</t>
    </r>
    <r>
      <rPr>
        <sz val="10"/>
        <color rgb="FF000000"/>
        <rFont val="Times New Roman"/>
        <family val="1"/>
      </rPr>
      <t>t</t>
    </r>
    <r>
      <rPr>
        <sz val="10"/>
        <color rgb="FF000000"/>
        <rFont val="Times New Roman"/>
        <family val="1"/>
      </rPr>
      <t>s</t>
    </r>
    <r>
      <rPr>
        <sz val="10"/>
        <color rgb="FF000000"/>
        <rFont val="Times New Roman"/>
        <family val="1"/>
      </rPr>
      <t xml:space="preserve"> </t>
    </r>
    <r>
      <rPr>
        <sz val="10"/>
        <color rgb="FF000000"/>
        <rFont val="Times New Roman"/>
        <family val="1"/>
      </rPr>
      <t xml:space="preserve"> </t>
    </r>
    <r>
      <rPr>
        <sz val="10"/>
        <color rgb="FF000000"/>
        <rFont val="Times New Roman"/>
        <family val="1"/>
      </rPr>
      <t>/</t>
    </r>
    <r>
      <rPr>
        <sz val="10"/>
        <color rgb="FF000000"/>
        <rFont val="Times New Roman"/>
        <family val="1"/>
      </rPr>
      <t xml:space="preserve"> </t>
    </r>
    <r>
      <rPr>
        <sz val="10"/>
        <color rgb="FF000000"/>
        <rFont val="Times New Roman"/>
        <family val="1"/>
      </rPr>
      <t>p</t>
    </r>
    <r>
      <rPr>
        <sz val="10"/>
        <color rgb="FF000000"/>
        <rFont val="Times New Roman"/>
        <family val="1"/>
      </rPr>
      <t>r</t>
    </r>
    <r>
      <rPr>
        <sz val="10"/>
        <color rgb="FF000000"/>
        <rFont val="Times New Roman"/>
        <family val="1"/>
      </rPr>
      <t>o</t>
    </r>
    <r>
      <rPr>
        <sz val="10"/>
        <color rgb="FF000000"/>
        <rFont val="Times New Roman"/>
        <family val="1"/>
      </rPr>
      <t>c</t>
    </r>
    <r>
      <rPr>
        <sz val="10"/>
        <color rgb="FF000000"/>
        <rFont val="Times New Roman"/>
        <family val="1"/>
      </rPr>
      <t>e</t>
    </r>
    <r>
      <rPr>
        <sz val="10"/>
        <color rgb="FF000000"/>
        <rFont val="Times New Roman"/>
        <family val="1"/>
      </rPr>
      <t>du</t>
    </r>
    <r>
      <rPr>
        <sz val="10"/>
        <color rgb="FF000000"/>
        <rFont val="Times New Roman"/>
        <family val="1"/>
      </rPr>
      <t>r</t>
    </r>
    <r>
      <rPr>
        <sz val="10"/>
        <color rgb="FF000000"/>
        <rFont val="Times New Roman"/>
        <family val="1"/>
      </rPr>
      <t>e</t>
    </r>
    <r>
      <rPr>
        <sz val="10"/>
        <color rgb="FF000000"/>
        <rFont val="Times New Roman"/>
        <family val="1"/>
      </rPr>
      <t>s</t>
    </r>
    <r>
      <rPr>
        <sz val="10"/>
        <color rgb="FF000000"/>
        <rFont val="Times New Roman"/>
        <family val="1"/>
      </rPr>
      <t xml:space="preserve"> </t>
    </r>
    <r>
      <rPr>
        <sz val="10"/>
        <color rgb="FF000000"/>
        <rFont val="Times New Roman"/>
        <family val="1"/>
      </rPr>
      <t xml:space="preserve"> </t>
    </r>
    <r>
      <rPr>
        <sz val="10"/>
        <color rgb="FF000000"/>
        <rFont val="Times New Roman"/>
        <family val="1"/>
      </rPr>
      <t>i</t>
    </r>
    <r>
      <rPr>
        <sz val="10"/>
        <color rgb="FF000000"/>
        <rFont val="Times New Roman"/>
        <family val="1"/>
      </rPr>
      <t>f</t>
    </r>
    <r>
      <rPr>
        <sz val="10"/>
        <color rgb="FF000000"/>
        <rFont val="Times New Roman"/>
        <family val="1"/>
      </rPr>
      <t xml:space="preserve"> </t>
    </r>
    <r>
      <rPr>
        <sz val="10"/>
        <color rgb="FF000000"/>
        <rFont val="Times New Roman"/>
        <family val="1"/>
      </rPr>
      <t>n</t>
    </r>
    <r>
      <rPr>
        <sz val="10"/>
        <color rgb="FF000000"/>
        <rFont val="Times New Roman"/>
        <family val="1"/>
      </rPr>
      <t>e</t>
    </r>
    <r>
      <rPr>
        <sz val="10"/>
        <color rgb="FF000000"/>
        <rFont val="Times New Roman"/>
        <family val="1"/>
      </rPr>
      <t>e</t>
    </r>
    <r>
      <rPr>
        <sz val="10"/>
        <color rgb="FF000000"/>
        <rFont val="Times New Roman"/>
        <family val="1"/>
      </rPr>
      <t>d</t>
    </r>
    <r>
      <rPr>
        <sz val="10"/>
        <color rgb="FF000000"/>
        <rFont val="Times New Roman"/>
        <family val="1"/>
      </rPr>
      <t>e</t>
    </r>
    <r>
      <rPr>
        <sz val="10"/>
        <color rgb="FF000000"/>
        <rFont val="Times New Roman"/>
        <family val="1"/>
      </rPr>
      <t>d</t>
    </r>
    <r>
      <rPr>
        <sz val="10"/>
        <color rgb="FF000000"/>
        <rFont val="Times New Roman"/>
        <family val="1"/>
      </rPr>
      <t>:</t>
    </r>
  </si>
  <si>
    <r>
      <rPr>
        <sz val="10"/>
        <color rgb="FF000000"/>
        <rFont val="Times New Roman"/>
        <family val="1"/>
      </rPr>
      <t>1.</t>
    </r>
    <r>
      <rPr>
        <sz val="10"/>
        <color rgb="FF000000"/>
        <rFont val="Times New Roman"/>
        <family val="1"/>
      </rPr>
      <t xml:space="preserve"> </t>
    </r>
    <r>
      <rPr>
        <sz val="10"/>
        <color rgb="FF000000"/>
        <rFont val="Times New Roman"/>
        <family val="1"/>
      </rPr>
      <t>I</t>
    </r>
    <r>
      <rPr>
        <sz val="10"/>
        <color rgb="FF000000"/>
        <rFont val="Times New Roman"/>
        <family val="1"/>
      </rPr>
      <t>s</t>
    </r>
    <r>
      <rPr>
        <sz val="10"/>
        <color rgb="FF000000"/>
        <rFont val="Times New Roman"/>
        <family val="1"/>
      </rPr>
      <t>o</t>
    </r>
    <r>
      <rPr>
        <sz val="10"/>
        <color rgb="FF000000"/>
        <rFont val="Times New Roman"/>
        <family val="1"/>
      </rPr>
      <t>l</t>
    </r>
    <r>
      <rPr>
        <sz val="10"/>
        <color rgb="FF000000"/>
        <rFont val="Times New Roman"/>
        <family val="1"/>
      </rPr>
      <t>a</t>
    </r>
    <r>
      <rPr>
        <sz val="10"/>
        <color rgb="FF000000"/>
        <rFont val="Times New Roman"/>
        <family val="1"/>
      </rPr>
      <t>t</t>
    </r>
    <r>
      <rPr>
        <sz val="10"/>
        <color rgb="FF000000"/>
        <rFont val="Times New Roman"/>
        <family val="1"/>
      </rPr>
      <t>i</t>
    </r>
    <r>
      <rPr>
        <sz val="10"/>
        <color rgb="FF000000"/>
        <rFont val="Times New Roman"/>
        <family val="1"/>
      </rPr>
      <t>o</t>
    </r>
    <r>
      <rPr>
        <sz val="10"/>
        <color rgb="FF000000"/>
        <rFont val="Times New Roman"/>
        <family val="1"/>
      </rPr>
      <t>n</t>
    </r>
    <r>
      <rPr>
        <sz val="10"/>
        <color rgb="FF000000"/>
        <rFont val="Times New Roman"/>
        <family val="1"/>
      </rPr>
      <t xml:space="preserve"> </t>
    </r>
    <r>
      <rPr>
        <sz val="10"/>
        <color rgb="FF000000"/>
        <rFont val="Times New Roman"/>
        <family val="1"/>
      </rPr>
      <t xml:space="preserve"> </t>
    </r>
    <r>
      <rPr>
        <sz val="10"/>
        <color rgb="FF000000"/>
        <rFont val="Times New Roman"/>
        <family val="1"/>
      </rPr>
      <t>o</t>
    </r>
    <r>
      <rPr>
        <sz val="10"/>
        <color rgb="FF000000"/>
        <rFont val="Times New Roman"/>
        <family val="1"/>
      </rPr>
      <t>f</t>
    </r>
    <r>
      <rPr>
        <sz val="10"/>
        <color rgb="FF000000"/>
        <rFont val="Times New Roman"/>
        <family val="1"/>
      </rPr>
      <t xml:space="preserve"> </t>
    </r>
    <r>
      <rPr>
        <sz val="10"/>
        <color rgb="FF000000"/>
        <rFont val="Times New Roman"/>
        <family val="1"/>
      </rPr>
      <t>v</t>
    </r>
    <r>
      <rPr>
        <sz val="10"/>
        <color rgb="FF000000"/>
        <rFont val="Times New Roman"/>
        <family val="1"/>
      </rPr>
      <t>i</t>
    </r>
    <r>
      <rPr>
        <sz val="10"/>
        <color rgb="FF000000"/>
        <rFont val="Times New Roman"/>
        <family val="1"/>
      </rPr>
      <t>r</t>
    </r>
    <r>
      <rPr>
        <sz val="10"/>
        <color rgb="FF000000"/>
        <rFont val="Times New Roman"/>
        <family val="1"/>
      </rPr>
      <t>t</t>
    </r>
    <r>
      <rPr>
        <sz val="10"/>
        <color rgb="FF000000"/>
        <rFont val="Times New Roman"/>
        <family val="1"/>
      </rPr>
      <t>u</t>
    </r>
    <r>
      <rPr>
        <sz val="10"/>
        <color rgb="FF000000"/>
        <rFont val="Times New Roman"/>
        <family val="1"/>
      </rPr>
      <t>a</t>
    </r>
    <r>
      <rPr>
        <sz val="10"/>
        <color rgb="FF000000"/>
        <rFont val="Times New Roman"/>
        <family val="1"/>
      </rPr>
      <t>l</t>
    </r>
    <r>
      <rPr>
        <sz val="10"/>
        <color rgb="FF000000"/>
        <rFont val="Times New Roman"/>
        <family val="1"/>
      </rPr>
      <t xml:space="preserve"> </t>
    </r>
    <r>
      <rPr>
        <sz val="10"/>
        <color rgb="FF000000"/>
        <rFont val="Times New Roman"/>
        <family val="1"/>
      </rPr>
      <t>e</t>
    </r>
    <r>
      <rPr>
        <sz val="10"/>
        <color rgb="FF000000"/>
        <rFont val="Times New Roman"/>
        <family val="1"/>
      </rPr>
      <t>n</t>
    </r>
    <r>
      <rPr>
        <sz val="10"/>
        <color rgb="FF000000"/>
        <rFont val="Times New Roman"/>
        <family val="1"/>
      </rPr>
      <t>v</t>
    </r>
    <r>
      <rPr>
        <sz val="10"/>
        <color rgb="FF000000"/>
        <rFont val="Times New Roman"/>
        <family val="1"/>
      </rPr>
      <t>i</t>
    </r>
    <r>
      <rPr>
        <sz val="10"/>
        <color rgb="FF000000"/>
        <rFont val="Times New Roman"/>
        <family val="1"/>
      </rPr>
      <t>r</t>
    </r>
    <r>
      <rPr>
        <sz val="10"/>
        <color rgb="FF000000"/>
        <rFont val="Times New Roman"/>
        <family val="1"/>
      </rPr>
      <t>o</t>
    </r>
    <r>
      <rPr>
        <sz val="10"/>
        <color rgb="FF000000"/>
        <rFont val="Times New Roman"/>
        <family val="1"/>
      </rPr>
      <t>n</t>
    </r>
    <r>
      <rPr>
        <sz val="10"/>
        <color rgb="FF000000"/>
        <rFont val="Times New Roman"/>
        <family val="1"/>
      </rPr>
      <t>m</t>
    </r>
    <r>
      <rPr>
        <sz val="10"/>
        <color rgb="FF000000"/>
        <rFont val="Times New Roman"/>
        <family val="1"/>
      </rPr>
      <t>e</t>
    </r>
    <r>
      <rPr>
        <sz val="10"/>
        <color rgb="FF000000"/>
        <rFont val="Times New Roman"/>
        <family val="1"/>
      </rPr>
      <t>n</t>
    </r>
    <r>
      <rPr>
        <sz val="10"/>
        <color rgb="FF000000"/>
        <rFont val="Times New Roman"/>
        <family val="1"/>
      </rPr>
      <t>t</t>
    </r>
    <r>
      <rPr>
        <sz val="10"/>
        <color rgb="FF000000"/>
        <rFont val="Times New Roman"/>
        <family val="1"/>
      </rPr>
      <t>s</t>
    </r>
    <r>
      <rPr>
        <sz val="10"/>
        <color rgb="FF000000"/>
        <rFont val="Times New Roman"/>
        <family val="1"/>
      </rPr>
      <t xml:space="preserve"> </t>
    </r>
    <r>
      <rPr>
        <sz val="10"/>
        <color rgb="FF000000"/>
        <rFont val="Times New Roman"/>
        <family val="1"/>
      </rPr>
      <t xml:space="preserve"> </t>
    </r>
    <r>
      <rPr>
        <sz val="10"/>
        <color rgb="FF000000"/>
        <rFont val="Times New Roman"/>
        <family val="1"/>
      </rPr>
      <t>f</t>
    </r>
    <r>
      <rPr>
        <sz val="10"/>
        <color rgb="FF000000"/>
        <rFont val="Times New Roman"/>
        <family val="1"/>
      </rPr>
      <t>r</t>
    </r>
    <r>
      <rPr>
        <sz val="10"/>
        <color rgb="FF000000"/>
        <rFont val="Times New Roman"/>
        <family val="1"/>
      </rPr>
      <t>o</t>
    </r>
    <r>
      <rPr>
        <sz val="10"/>
        <color rgb="FF000000"/>
        <rFont val="Times New Roman"/>
        <family val="1"/>
      </rPr>
      <t>m</t>
    </r>
    <r>
      <rPr>
        <sz val="10"/>
        <color rgb="FF000000"/>
        <rFont val="Times New Roman"/>
        <family val="1"/>
      </rPr>
      <t xml:space="preserve"> </t>
    </r>
    <r>
      <rPr>
        <sz val="10"/>
        <color rgb="FF000000"/>
        <rFont val="Times New Roman"/>
        <family val="1"/>
      </rPr>
      <t>s</t>
    </r>
    <r>
      <rPr>
        <sz val="10"/>
        <color rgb="FF000000"/>
        <rFont val="Times New Roman"/>
        <family val="1"/>
      </rPr>
      <t>e</t>
    </r>
    <r>
      <rPr>
        <sz val="10"/>
        <color rgb="FF000000"/>
        <rFont val="Times New Roman"/>
        <family val="1"/>
      </rPr>
      <t>c</t>
    </r>
    <r>
      <rPr>
        <sz val="10"/>
        <color rgb="FF000000"/>
        <rFont val="Times New Roman"/>
        <family val="1"/>
      </rPr>
      <t>u</t>
    </r>
    <r>
      <rPr>
        <sz val="10"/>
        <color rgb="FF000000"/>
        <rFont val="Times New Roman"/>
        <family val="1"/>
      </rPr>
      <t>r</t>
    </r>
    <r>
      <rPr>
        <sz val="10"/>
        <color rgb="FF000000"/>
        <rFont val="Times New Roman"/>
        <family val="1"/>
      </rPr>
      <t>i</t>
    </r>
    <r>
      <rPr>
        <sz val="10"/>
        <color rgb="FF000000"/>
        <rFont val="Times New Roman"/>
        <family val="1"/>
      </rPr>
      <t>t</t>
    </r>
    <r>
      <rPr>
        <sz val="10"/>
        <color rgb="FF000000"/>
        <rFont val="Times New Roman"/>
        <family val="1"/>
      </rPr>
      <t>y</t>
    </r>
    <r>
      <rPr>
        <sz val="10"/>
        <color rgb="FF000000"/>
        <rFont val="Times New Roman"/>
        <family val="1"/>
      </rPr>
      <t xml:space="preserve"> </t>
    </r>
    <r>
      <rPr>
        <sz val="10"/>
        <color rgb="FF000000"/>
        <rFont val="Times New Roman"/>
        <family val="1"/>
      </rPr>
      <t>a</t>
    </r>
    <r>
      <rPr>
        <sz val="10"/>
        <color rgb="FF000000"/>
        <rFont val="Times New Roman"/>
        <family val="1"/>
      </rPr>
      <t>n</t>
    </r>
    <r>
      <rPr>
        <sz val="10"/>
        <color rgb="FF000000"/>
        <rFont val="Times New Roman"/>
        <family val="1"/>
      </rPr>
      <t>d</t>
    </r>
    <r>
      <rPr>
        <sz val="10"/>
        <color rgb="FF000000"/>
        <rFont val="Times New Roman"/>
        <family val="1"/>
      </rPr>
      <t xml:space="preserve"> </t>
    </r>
    <r>
      <rPr>
        <sz val="10"/>
        <color rgb="FF000000"/>
        <rFont val="Times New Roman"/>
        <family val="1"/>
      </rPr>
      <t>n</t>
    </r>
    <r>
      <rPr>
        <sz val="10"/>
        <color rgb="FF000000"/>
        <rFont val="Times New Roman"/>
        <family val="1"/>
      </rPr>
      <t>e</t>
    </r>
    <r>
      <rPr>
        <sz val="10"/>
        <color rgb="FF000000"/>
        <rFont val="Times New Roman"/>
        <family val="1"/>
      </rPr>
      <t>t</t>
    </r>
    <r>
      <rPr>
        <sz val="10"/>
        <color rgb="FF000000"/>
        <rFont val="Times New Roman"/>
        <family val="1"/>
      </rPr>
      <t>w</t>
    </r>
    <r>
      <rPr>
        <sz val="10"/>
        <color rgb="FF000000"/>
        <rFont val="Times New Roman"/>
        <family val="1"/>
      </rPr>
      <t>o</t>
    </r>
    <r>
      <rPr>
        <sz val="10"/>
        <color rgb="FF000000"/>
        <rFont val="Times New Roman"/>
        <family val="1"/>
      </rPr>
      <t>r</t>
    </r>
    <r>
      <rPr>
        <sz val="10"/>
        <color rgb="FF000000"/>
        <rFont val="Times New Roman"/>
        <family val="1"/>
      </rPr>
      <t>k</t>
    </r>
    <r>
      <rPr>
        <sz val="10"/>
        <color rgb="FF000000"/>
        <rFont val="Times New Roman"/>
        <family val="1"/>
      </rPr>
      <t>i</t>
    </r>
    <r>
      <rPr>
        <sz val="10"/>
        <color rgb="FF000000"/>
        <rFont val="Times New Roman"/>
        <family val="1"/>
      </rPr>
      <t>n</t>
    </r>
    <r>
      <rPr>
        <sz val="10"/>
        <color rgb="FF000000"/>
        <rFont val="Times New Roman"/>
        <family val="1"/>
      </rPr>
      <t>g</t>
    </r>
    <r>
      <rPr>
        <sz val="10"/>
        <color rgb="FF000000"/>
        <rFont val="Times New Roman"/>
        <family val="1"/>
      </rPr>
      <t xml:space="preserve"> </t>
    </r>
    <r>
      <rPr>
        <sz val="10"/>
        <color rgb="FF000000"/>
        <rFont val="Times New Roman"/>
        <family val="1"/>
      </rPr>
      <t>p</t>
    </r>
    <r>
      <rPr>
        <sz val="10"/>
        <color rgb="FF000000"/>
        <rFont val="Times New Roman"/>
        <family val="1"/>
      </rPr>
      <t>e</t>
    </r>
    <r>
      <rPr>
        <sz val="10"/>
        <color rgb="FF000000"/>
        <rFont val="Times New Roman"/>
        <family val="1"/>
      </rPr>
      <t>r</t>
    </r>
    <r>
      <rPr>
        <sz val="10"/>
        <color rgb="FF000000"/>
        <rFont val="Times New Roman"/>
        <family val="1"/>
      </rPr>
      <t>s</t>
    </r>
    <r>
      <rPr>
        <sz val="10"/>
        <color rgb="FF000000"/>
        <rFont val="Times New Roman"/>
        <family val="1"/>
      </rPr>
      <t>p</t>
    </r>
    <r>
      <rPr>
        <sz val="10"/>
        <color rgb="FF000000"/>
        <rFont val="Times New Roman"/>
        <family val="1"/>
      </rPr>
      <t>e</t>
    </r>
    <r>
      <rPr>
        <sz val="10"/>
        <color rgb="FF000000"/>
        <rFont val="Times New Roman"/>
        <family val="1"/>
      </rPr>
      <t>c</t>
    </r>
    <r>
      <rPr>
        <sz val="10"/>
        <color rgb="FF000000"/>
        <rFont val="Times New Roman"/>
        <family val="1"/>
      </rPr>
      <t>t</t>
    </r>
    <r>
      <rPr>
        <sz val="10"/>
        <color rgb="FF000000"/>
        <rFont val="Times New Roman"/>
        <family val="1"/>
      </rPr>
      <t>i</t>
    </r>
    <r>
      <rPr>
        <sz val="10"/>
        <color rgb="FF000000"/>
        <rFont val="Times New Roman"/>
        <family val="1"/>
      </rPr>
      <t>v</t>
    </r>
    <r>
      <rPr>
        <sz val="10"/>
        <color rgb="FF000000"/>
        <rFont val="Times New Roman"/>
        <family val="1"/>
      </rPr>
      <t>e</t>
    </r>
  </si>
  <si>
    <r>
      <rPr>
        <sz val="10"/>
        <color rgb="FF000000"/>
        <rFont val="Times New Roman"/>
        <family val="1"/>
      </rPr>
      <t>S</t>
    </r>
    <r>
      <rPr>
        <sz val="10"/>
        <color rgb="FF000000"/>
        <rFont val="Times New Roman"/>
        <family val="1"/>
      </rPr>
      <t>e</t>
    </r>
    <r>
      <rPr>
        <sz val="10"/>
        <color rgb="FF000000"/>
        <rFont val="Times New Roman"/>
        <family val="1"/>
      </rPr>
      <t>l</t>
    </r>
    <r>
      <rPr>
        <sz val="10"/>
        <color rgb="FF000000"/>
        <rFont val="Times New Roman"/>
        <family val="1"/>
      </rPr>
      <t>f</t>
    </r>
    <r>
      <rPr>
        <sz val="10"/>
        <color rgb="FF000000"/>
        <rFont val="Times New Roman"/>
        <family val="1"/>
      </rPr>
      <t>-</t>
    </r>
    <r>
      <rPr>
        <sz val="10"/>
        <color rgb="FF000000"/>
        <rFont val="Times New Roman"/>
        <family val="1"/>
      </rPr>
      <t>U</t>
    </r>
    <r>
      <rPr>
        <sz val="10"/>
        <color rgb="FF000000"/>
        <rFont val="Times New Roman"/>
        <family val="1"/>
      </rPr>
      <t>n</t>
    </r>
    <r>
      <rPr>
        <sz val="10"/>
        <color rgb="FF000000"/>
        <rFont val="Times New Roman"/>
        <family val="1"/>
      </rPr>
      <t>d</t>
    </r>
    <r>
      <rPr>
        <sz val="10"/>
        <color rgb="FF000000"/>
        <rFont val="Times New Roman"/>
        <family val="1"/>
      </rPr>
      <t>e</t>
    </r>
    <r>
      <rPr>
        <sz val="10"/>
        <color rgb="FF000000"/>
        <rFont val="Times New Roman"/>
        <family val="1"/>
      </rPr>
      <t>r</t>
    </r>
    <r>
      <rPr>
        <sz val="10"/>
        <color rgb="FF000000"/>
        <rFont val="Times New Roman"/>
        <family val="1"/>
      </rPr>
      <t>t</t>
    </r>
    <r>
      <rPr>
        <sz val="10"/>
        <color rgb="FF000000"/>
        <rFont val="Times New Roman"/>
        <family val="1"/>
      </rPr>
      <t>a</t>
    </r>
    <r>
      <rPr>
        <sz val="10"/>
        <color rgb="FF000000"/>
        <rFont val="Times New Roman"/>
        <family val="1"/>
      </rPr>
      <t>k</t>
    </r>
    <r>
      <rPr>
        <sz val="10"/>
        <color rgb="FF000000"/>
        <rFont val="Times New Roman"/>
        <family val="1"/>
      </rPr>
      <t>i</t>
    </r>
    <r>
      <rPr>
        <sz val="10"/>
        <color rgb="FF000000"/>
        <rFont val="Times New Roman"/>
        <family val="1"/>
      </rPr>
      <t>n</t>
    </r>
    <r>
      <rPr>
        <sz val="10"/>
        <color rgb="FF000000"/>
        <rFont val="Times New Roman"/>
        <family val="1"/>
      </rPr>
      <t>g</t>
    </r>
    <r>
      <rPr>
        <sz val="10"/>
        <color rgb="FF000000"/>
        <rFont val="Times New Roman"/>
        <family val="1"/>
      </rPr>
      <t xml:space="preserve"> </t>
    </r>
    <r>
      <rPr>
        <sz val="10"/>
        <color rgb="FF000000"/>
        <rFont val="Times New Roman"/>
        <family val="1"/>
      </rPr>
      <t>o</t>
    </r>
    <r>
      <rPr>
        <sz val="10"/>
        <color rgb="FF000000"/>
        <rFont val="Times New Roman"/>
        <family val="1"/>
      </rPr>
      <t>f</t>
    </r>
    <r>
      <rPr>
        <sz val="10"/>
        <color rgb="FF000000"/>
        <rFont val="Times New Roman"/>
        <family val="1"/>
      </rPr>
      <t xml:space="preserve"> </t>
    </r>
    <r>
      <rPr>
        <sz val="10"/>
        <color rgb="FF000000"/>
        <rFont val="Times New Roman"/>
        <family val="1"/>
      </rPr>
      <t>c</t>
    </r>
    <r>
      <rPr>
        <sz val="10"/>
        <color rgb="FF000000"/>
        <rFont val="Times New Roman"/>
        <family val="1"/>
      </rPr>
      <t>on</t>
    </r>
    <r>
      <rPr>
        <sz val="10"/>
        <color rgb="FF000000"/>
        <rFont val="Times New Roman"/>
        <family val="1"/>
      </rPr>
      <t>s</t>
    </r>
    <r>
      <rPr>
        <sz val="10"/>
        <color rgb="FF000000"/>
        <rFont val="Times New Roman"/>
        <family val="1"/>
      </rPr>
      <t>e</t>
    </r>
    <r>
      <rPr>
        <sz val="10"/>
        <color rgb="FF000000"/>
        <rFont val="Times New Roman"/>
        <family val="1"/>
      </rPr>
      <t>n</t>
    </r>
    <r>
      <rPr>
        <sz val="10"/>
        <color rgb="FF000000"/>
        <rFont val="Times New Roman"/>
        <family val="1"/>
      </rPr>
      <t>t</t>
    </r>
    <r>
      <rPr>
        <sz val="10"/>
        <color rgb="FF000000"/>
        <rFont val="Times New Roman"/>
        <family val="1"/>
      </rPr>
      <t xml:space="preserve"> </t>
    </r>
    <r>
      <rPr>
        <sz val="10"/>
        <color rgb="FF000000"/>
        <rFont val="Times New Roman"/>
        <family val="1"/>
      </rPr>
      <t xml:space="preserve"> </t>
    </r>
    <r>
      <rPr>
        <sz val="10"/>
        <color rgb="FF000000"/>
        <rFont val="Times New Roman"/>
        <family val="1"/>
      </rPr>
      <t>f</t>
    </r>
    <r>
      <rPr>
        <sz val="10"/>
        <color rgb="FF000000"/>
        <rFont val="Times New Roman"/>
        <family val="1"/>
      </rPr>
      <t>o</t>
    </r>
    <r>
      <rPr>
        <sz val="10"/>
        <color rgb="FF000000"/>
        <rFont val="Times New Roman"/>
        <family val="1"/>
      </rPr>
      <t>r</t>
    </r>
    <r>
      <rPr>
        <sz val="10"/>
        <color rgb="FF000000"/>
        <rFont val="Times New Roman"/>
        <family val="1"/>
      </rPr>
      <t xml:space="preserve"> </t>
    </r>
    <r>
      <rPr>
        <sz val="10"/>
        <color rgb="FF000000"/>
        <rFont val="Times New Roman"/>
        <family val="1"/>
      </rPr>
      <t>P</t>
    </r>
    <r>
      <rPr>
        <sz val="10"/>
        <color rgb="FF000000"/>
        <rFont val="Times New Roman"/>
        <family val="1"/>
      </rPr>
      <t>h</t>
    </r>
    <r>
      <rPr>
        <sz val="10"/>
        <color rgb="FF000000"/>
        <rFont val="Times New Roman"/>
        <family val="1"/>
      </rPr>
      <t>y</t>
    </r>
    <r>
      <rPr>
        <sz val="10"/>
        <color rgb="FF000000"/>
        <rFont val="Times New Roman"/>
        <family val="1"/>
      </rPr>
      <t>s</t>
    </r>
    <r>
      <rPr>
        <sz val="10"/>
        <color rgb="FF000000"/>
        <rFont val="Times New Roman"/>
        <family val="1"/>
      </rPr>
      <t>i</t>
    </r>
    <r>
      <rPr>
        <sz val="10"/>
        <color rgb="FF000000"/>
        <rFont val="Times New Roman"/>
        <family val="1"/>
      </rPr>
      <t>c</t>
    </r>
    <r>
      <rPr>
        <sz val="10"/>
        <color rgb="FF000000"/>
        <rFont val="Times New Roman"/>
        <family val="1"/>
      </rPr>
      <t>a</t>
    </r>
    <r>
      <rPr>
        <sz val="10"/>
        <color rgb="FF000000"/>
        <rFont val="Times New Roman"/>
        <family val="1"/>
      </rPr>
      <t>l</t>
    </r>
    <r>
      <rPr>
        <sz val="10"/>
        <color rgb="FF000000"/>
        <rFont val="Times New Roman"/>
        <family val="1"/>
      </rPr>
      <t xml:space="preserve"> </t>
    </r>
    <r>
      <rPr>
        <sz val="10"/>
        <color rgb="FF000000"/>
        <rFont val="Times New Roman"/>
        <family val="1"/>
      </rPr>
      <t>a</t>
    </r>
    <r>
      <rPr>
        <sz val="10"/>
        <color rgb="FF000000"/>
        <rFont val="Times New Roman"/>
        <family val="1"/>
      </rPr>
      <t>u</t>
    </r>
    <r>
      <rPr>
        <sz val="10"/>
        <color rgb="FF000000"/>
        <rFont val="Times New Roman"/>
        <family val="1"/>
      </rPr>
      <t>d</t>
    </r>
    <r>
      <rPr>
        <sz val="10"/>
        <color rgb="FF000000"/>
        <rFont val="Times New Roman"/>
        <family val="1"/>
      </rPr>
      <t>i</t>
    </r>
    <r>
      <rPr>
        <sz val="10"/>
        <color rgb="FF000000"/>
        <rFont val="Times New Roman"/>
        <family val="1"/>
      </rPr>
      <t>t</t>
    </r>
    <r>
      <rPr>
        <sz val="10"/>
        <color rgb="FF000000"/>
        <rFont val="Times New Roman"/>
        <family val="1"/>
      </rPr>
      <t xml:space="preserve"> </t>
    </r>
    <r>
      <rPr>
        <sz val="10"/>
        <color rgb="FF000000"/>
        <rFont val="Times New Roman"/>
        <family val="1"/>
      </rPr>
      <t>o</t>
    </r>
    <r>
      <rPr>
        <sz val="10"/>
        <color rgb="FF000000"/>
        <rFont val="Times New Roman"/>
        <family val="1"/>
      </rPr>
      <t>f</t>
    </r>
    <r>
      <rPr>
        <sz val="10"/>
        <color rgb="FF000000"/>
        <rFont val="Times New Roman"/>
        <family val="1"/>
      </rPr>
      <t xml:space="preserve"> </t>
    </r>
    <r>
      <rPr>
        <sz val="10"/>
        <color rgb="FF000000"/>
        <rFont val="Times New Roman"/>
        <family val="1"/>
      </rPr>
      <t>D</t>
    </r>
    <r>
      <rPr>
        <sz val="10"/>
        <color rgb="FF000000"/>
        <rFont val="Times New Roman"/>
        <family val="1"/>
      </rPr>
      <t>a</t>
    </r>
    <r>
      <rPr>
        <sz val="10"/>
        <color rgb="FF000000"/>
        <rFont val="Times New Roman"/>
        <family val="1"/>
      </rPr>
      <t>t</t>
    </r>
    <r>
      <rPr>
        <sz val="10"/>
        <color rgb="FF000000"/>
        <rFont val="Times New Roman"/>
        <family val="1"/>
      </rPr>
      <t>a</t>
    </r>
    <r>
      <rPr>
        <sz val="10"/>
        <color rgb="FF000000"/>
        <rFont val="Times New Roman"/>
        <family val="1"/>
      </rPr>
      <t xml:space="preserve"> </t>
    </r>
    <r>
      <rPr>
        <sz val="10"/>
        <color rgb="FF000000"/>
        <rFont val="Times New Roman"/>
        <family val="1"/>
      </rPr>
      <t>C</t>
    </r>
    <r>
      <rPr>
        <sz val="10"/>
        <color rgb="FF000000"/>
        <rFont val="Times New Roman"/>
        <family val="1"/>
      </rPr>
      <t>e</t>
    </r>
    <r>
      <rPr>
        <sz val="10"/>
        <color rgb="FF000000"/>
        <rFont val="Times New Roman"/>
        <family val="1"/>
      </rPr>
      <t>n</t>
    </r>
    <r>
      <rPr>
        <sz val="10"/>
        <color rgb="FF000000"/>
        <rFont val="Times New Roman"/>
        <family val="1"/>
      </rPr>
      <t>t</t>
    </r>
    <r>
      <rPr>
        <sz val="10"/>
        <color rgb="FF000000"/>
        <rFont val="Times New Roman"/>
        <family val="1"/>
      </rPr>
      <t>r</t>
    </r>
    <r>
      <rPr>
        <sz val="10"/>
        <color rgb="FF000000"/>
        <rFont val="Times New Roman"/>
        <family val="1"/>
      </rPr>
      <t>e</t>
    </r>
    <r>
      <rPr>
        <sz val="10"/>
        <color rgb="FF000000"/>
        <rFont val="Times New Roman"/>
        <family val="1"/>
      </rPr>
      <t>.</t>
    </r>
  </si>
  <si>
    <t>2. Multi-factor Authentication</t>
  </si>
  <si>
    <t>3. Identity and Access Management</t>
  </si>
  <si>
    <t>4. Data Encryption at rest and in motion</t>
  </si>
  <si>
    <t>5. Key Management</t>
  </si>
  <si>
    <t>6. Physical Audit of Data Center on Demand</t>
  </si>
  <si>
    <t>7. Web Application Firewall</t>
  </si>
  <si>
    <t>8. DDoS Protection</t>
  </si>
  <si>
    <r>
      <rPr>
        <sz val="10"/>
        <color rgb="FF000000"/>
        <rFont val="Times New Roman"/>
        <family val="1"/>
      </rPr>
      <t>3</t>
    </r>
    <r>
      <rPr>
        <sz val="10"/>
        <color rgb="FF000000"/>
        <rFont val="Times New Roman"/>
        <family val="1"/>
      </rPr>
      <t xml:space="preserve"> </t>
    </r>
    <r>
      <rPr>
        <sz val="10"/>
        <color rgb="FF000000"/>
        <rFont val="Times New Roman"/>
        <family val="1"/>
      </rPr>
      <t xml:space="preserve"> </t>
    </r>
    <r>
      <rPr>
        <sz val="10"/>
        <color rgb="FF000000"/>
        <rFont val="Times New Roman"/>
        <family val="1"/>
      </rPr>
      <t>t</t>
    </r>
    <r>
      <rPr>
        <sz val="10"/>
        <color rgb="FF000000"/>
        <rFont val="Times New Roman"/>
        <family val="1"/>
      </rPr>
      <t>o</t>
    </r>
    <r>
      <rPr>
        <sz val="10"/>
        <color rgb="FF000000"/>
        <rFont val="Times New Roman"/>
        <family val="1"/>
      </rPr>
      <t xml:space="preserve">  </t>
    </r>
    <r>
      <rPr>
        <sz val="10"/>
        <color rgb="FF000000"/>
        <rFont val="Times New Roman"/>
        <family val="1"/>
      </rPr>
      <t xml:space="preserve"> </t>
    </r>
    <r>
      <rPr>
        <sz val="10"/>
        <color rgb="FF000000"/>
        <rFont val="Times New Roman"/>
        <family val="1"/>
      </rPr>
      <t>&lt;</t>
    </r>
    <r>
      <rPr>
        <sz val="10"/>
        <color rgb="FF000000"/>
        <rFont val="Times New Roman"/>
        <family val="1"/>
      </rPr>
      <t>=</t>
    </r>
    <r>
      <rPr>
        <sz val="10"/>
        <color rgb="FF000000"/>
        <rFont val="Times New Roman"/>
        <family val="1"/>
      </rPr>
      <t>5</t>
    </r>
    <r>
      <rPr>
        <sz val="10"/>
        <color rgb="FF000000"/>
        <rFont val="Times New Roman"/>
        <family val="1"/>
      </rPr>
      <t xml:space="preserve"> </t>
    </r>
    <r>
      <rPr>
        <sz val="10"/>
        <color rgb="FF000000"/>
        <rFont val="Times New Roman"/>
        <family val="1"/>
      </rPr>
      <t xml:space="preserve"> </t>
    </r>
    <r>
      <rPr>
        <sz val="10"/>
        <color rgb="FF000000"/>
        <rFont val="Times New Roman"/>
        <family val="1"/>
      </rPr>
      <t>C</t>
    </r>
    <r>
      <rPr>
        <sz val="10"/>
        <color rgb="FF000000"/>
        <rFont val="Times New Roman"/>
        <family val="1"/>
      </rPr>
      <t>o</t>
    </r>
    <r>
      <rPr>
        <sz val="10"/>
        <color rgb="FF000000"/>
        <rFont val="Times New Roman"/>
        <family val="1"/>
      </rPr>
      <t>m</t>
    </r>
    <r>
      <rPr>
        <sz val="10"/>
        <color rgb="FF000000"/>
        <rFont val="Times New Roman"/>
        <family val="1"/>
      </rPr>
      <t>p</t>
    </r>
    <r>
      <rPr>
        <sz val="10"/>
        <color rgb="FF000000"/>
        <rFont val="Times New Roman"/>
        <family val="1"/>
      </rPr>
      <t>o</t>
    </r>
    <r>
      <rPr>
        <sz val="10"/>
        <color rgb="FF000000"/>
        <rFont val="Times New Roman"/>
        <family val="1"/>
      </rPr>
      <t>n</t>
    </r>
    <r>
      <rPr>
        <sz val="10"/>
        <color rgb="FF000000"/>
        <rFont val="Times New Roman"/>
        <family val="1"/>
      </rPr>
      <t>e</t>
    </r>
    <r>
      <rPr>
        <sz val="10"/>
        <color rgb="FF000000"/>
        <rFont val="Times New Roman"/>
        <family val="1"/>
      </rPr>
      <t>n</t>
    </r>
    <r>
      <rPr>
        <sz val="10"/>
        <color rgb="FF000000"/>
        <rFont val="Times New Roman"/>
        <family val="1"/>
      </rPr>
      <t>t</t>
    </r>
    <r>
      <rPr>
        <sz val="10"/>
        <color rgb="FF000000"/>
        <rFont val="Times New Roman"/>
        <family val="1"/>
      </rPr>
      <t>s</t>
    </r>
    <r>
      <rPr>
        <sz val="10"/>
        <color rgb="FF000000"/>
        <rFont val="Times New Roman"/>
        <family val="1"/>
      </rPr>
      <t>/</t>
    </r>
    <r>
      <rPr>
        <sz val="10"/>
        <color rgb="FF000000"/>
        <rFont val="Times New Roman"/>
        <family val="1"/>
      </rPr>
      <t>P</t>
    </r>
    <r>
      <rPr>
        <sz val="10"/>
        <color rgb="FF000000"/>
        <rFont val="Times New Roman"/>
        <family val="1"/>
      </rPr>
      <t>r</t>
    </r>
    <r>
      <rPr>
        <sz val="10"/>
        <color rgb="FF000000"/>
        <rFont val="Times New Roman"/>
        <family val="1"/>
      </rPr>
      <t>o</t>
    </r>
    <r>
      <rPr>
        <sz val="10"/>
        <color rgb="FF000000"/>
        <rFont val="Times New Roman"/>
        <family val="1"/>
      </rPr>
      <t>c</t>
    </r>
    <r>
      <rPr>
        <sz val="10"/>
        <color rgb="FF000000"/>
        <rFont val="Times New Roman"/>
        <family val="1"/>
      </rPr>
      <t>e</t>
    </r>
    <r>
      <rPr>
        <sz val="10"/>
        <color rgb="FF000000"/>
        <rFont val="Times New Roman"/>
        <family val="1"/>
      </rPr>
      <t>du</t>
    </r>
    <r>
      <rPr>
        <sz val="10"/>
        <color rgb="FF000000"/>
        <rFont val="Times New Roman"/>
        <family val="1"/>
      </rPr>
      <t>r</t>
    </r>
    <r>
      <rPr>
        <sz val="10"/>
        <color rgb="FF000000"/>
        <rFont val="Times New Roman"/>
        <family val="1"/>
      </rPr>
      <t>e</t>
    </r>
    <r>
      <rPr>
        <sz val="10"/>
        <color rgb="FF000000"/>
        <rFont val="Times New Roman"/>
        <family val="1"/>
      </rPr>
      <t>s</t>
    </r>
    <r>
      <rPr>
        <sz val="10"/>
        <color rgb="FF000000"/>
        <rFont val="Times New Roman"/>
        <family val="1"/>
      </rPr>
      <t xml:space="preserve">  </t>
    </r>
    <r>
      <rPr>
        <sz val="10"/>
        <color rgb="FF000000"/>
        <rFont val="Times New Roman"/>
        <family val="1"/>
      </rPr>
      <t xml:space="preserve"> </t>
    </r>
    <r>
      <rPr>
        <sz val="10"/>
        <color rgb="FF000000"/>
        <rFont val="Times New Roman"/>
        <family val="1"/>
      </rPr>
      <t>–</t>
    </r>
    <r>
      <rPr>
        <sz val="10"/>
        <color rgb="FF000000"/>
        <rFont val="Times New Roman"/>
        <family val="1"/>
      </rPr>
      <t xml:space="preserve"> </t>
    </r>
    <r>
      <rPr>
        <sz val="10"/>
        <color rgb="FF000000"/>
        <rFont val="Times New Roman"/>
        <family val="1"/>
      </rPr>
      <t xml:space="preserve"> </t>
    </r>
    <r>
      <rPr>
        <sz val="10"/>
        <color rgb="FF000000"/>
        <rFont val="Times New Roman"/>
        <family val="1"/>
      </rPr>
      <t xml:space="preserve">5
</t>
    </r>
    <r>
      <rPr>
        <sz val="10"/>
        <color rgb="FF000000"/>
        <rFont val="Times New Roman"/>
        <family val="1"/>
      </rPr>
      <t>M</t>
    </r>
    <r>
      <rPr>
        <sz val="10"/>
        <color rgb="FF000000"/>
        <rFont val="Times New Roman"/>
        <family val="1"/>
      </rPr>
      <t>a</t>
    </r>
    <r>
      <rPr>
        <sz val="10"/>
        <color rgb="FF000000"/>
        <rFont val="Times New Roman"/>
        <family val="1"/>
      </rPr>
      <t>r</t>
    </r>
    <r>
      <rPr>
        <sz val="10"/>
        <color rgb="FF000000"/>
        <rFont val="Times New Roman"/>
        <family val="1"/>
      </rPr>
      <t>k</t>
    </r>
    <r>
      <rPr>
        <sz val="10"/>
        <color rgb="FF000000"/>
        <rFont val="Times New Roman"/>
        <family val="1"/>
      </rPr>
      <t>s</t>
    </r>
  </si>
  <si>
    <r>
      <rPr>
        <sz val="10"/>
        <color rgb="FF000000"/>
        <rFont val="Times New Roman"/>
        <family val="1"/>
      </rPr>
      <t>5</t>
    </r>
    <r>
      <rPr>
        <sz val="10"/>
        <color rgb="FF000000"/>
        <rFont val="Times New Roman"/>
        <family val="1"/>
      </rPr>
      <t xml:space="preserve"> </t>
    </r>
    <r>
      <rPr>
        <sz val="10"/>
        <color rgb="FF000000"/>
        <rFont val="Times New Roman"/>
        <family val="1"/>
      </rPr>
      <t xml:space="preserve"> </t>
    </r>
    <r>
      <rPr>
        <sz val="10"/>
        <color rgb="FF000000"/>
        <rFont val="Times New Roman"/>
        <family val="1"/>
      </rPr>
      <t>t</t>
    </r>
    <r>
      <rPr>
        <sz val="10"/>
        <color rgb="FF000000"/>
        <rFont val="Times New Roman"/>
        <family val="1"/>
      </rPr>
      <t>o</t>
    </r>
    <r>
      <rPr>
        <sz val="10"/>
        <color rgb="FF000000"/>
        <rFont val="Times New Roman"/>
        <family val="1"/>
      </rPr>
      <t xml:space="preserve"> </t>
    </r>
    <r>
      <rPr>
        <sz val="10"/>
        <color rgb="FF000000"/>
        <rFont val="Times New Roman"/>
        <family val="1"/>
      </rPr>
      <t xml:space="preserve"> </t>
    </r>
    <r>
      <rPr>
        <sz val="10"/>
        <color rgb="FF000000"/>
        <rFont val="Times New Roman"/>
        <family val="1"/>
      </rPr>
      <t>&lt;</t>
    </r>
    <r>
      <rPr>
        <sz val="10"/>
        <color rgb="FF000000"/>
        <rFont val="Times New Roman"/>
        <family val="1"/>
      </rPr>
      <t>=</t>
    </r>
    <r>
      <rPr>
        <sz val="10"/>
        <color rgb="FF000000"/>
        <rFont val="Times New Roman"/>
        <family val="1"/>
      </rPr>
      <t>7</t>
    </r>
    <r>
      <rPr>
        <sz val="10"/>
        <color rgb="FF000000"/>
        <rFont val="Times New Roman"/>
        <family val="1"/>
      </rPr>
      <t xml:space="preserve"> </t>
    </r>
    <r>
      <rPr>
        <sz val="10"/>
        <color rgb="FF000000"/>
        <rFont val="Times New Roman"/>
        <family val="1"/>
      </rPr>
      <t>C</t>
    </r>
    <r>
      <rPr>
        <sz val="10"/>
        <color rgb="FF000000"/>
        <rFont val="Times New Roman"/>
        <family val="1"/>
      </rPr>
      <t>o</t>
    </r>
    <r>
      <rPr>
        <sz val="10"/>
        <color rgb="FF000000"/>
        <rFont val="Times New Roman"/>
        <family val="1"/>
      </rPr>
      <t>m</t>
    </r>
    <r>
      <rPr>
        <sz val="10"/>
        <color rgb="FF000000"/>
        <rFont val="Times New Roman"/>
        <family val="1"/>
      </rPr>
      <t>p</t>
    </r>
    <r>
      <rPr>
        <sz val="10"/>
        <color rgb="FF000000"/>
        <rFont val="Times New Roman"/>
        <family val="1"/>
      </rPr>
      <t>o</t>
    </r>
    <r>
      <rPr>
        <sz val="10"/>
        <color rgb="FF000000"/>
        <rFont val="Times New Roman"/>
        <family val="1"/>
      </rPr>
      <t>n</t>
    </r>
    <r>
      <rPr>
        <sz val="10"/>
        <color rgb="FF000000"/>
        <rFont val="Times New Roman"/>
        <family val="1"/>
      </rPr>
      <t>e</t>
    </r>
    <r>
      <rPr>
        <sz val="10"/>
        <color rgb="FF000000"/>
        <rFont val="Times New Roman"/>
        <family val="1"/>
      </rPr>
      <t>n</t>
    </r>
    <r>
      <rPr>
        <sz val="10"/>
        <color rgb="FF000000"/>
        <rFont val="Times New Roman"/>
        <family val="1"/>
      </rPr>
      <t>t</t>
    </r>
    <r>
      <rPr>
        <sz val="10"/>
        <color rgb="FF000000"/>
        <rFont val="Times New Roman"/>
        <family val="1"/>
      </rPr>
      <t>s</t>
    </r>
    <r>
      <rPr>
        <sz val="10"/>
        <color rgb="FF000000"/>
        <rFont val="Times New Roman"/>
        <family val="1"/>
      </rPr>
      <t>/</t>
    </r>
    <r>
      <rPr>
        <sz val="10"/>
        <color rgb="FF000000"/>
        <rFont val="Times New Roman"/>
        <family val="1"/>
      </rPr>
      <t>P</t>
    </r>
    <r>
      <rPr>
        <sz val="10"/>
        <color rgb="FF000000"/>
        <rFont val="Times New Roman"/>
        <family val="1"/>
      </rPr>
      <t>r</t>
    </r>
    <r>
      <rPr>
        <sz val="10"/>
        <color rgb="FF000000"/>
        <rFont val="Times New Roman"/>
        <family val="1"/>
      </rPr>
      <t>o</t>
    </r>
    <r>
      <rPr>
        <sz val="10"/>
        <color rgb="FF000000"/>
        <rFont val="Times New Roman"/>
        <family val="1"/>
      </rPr>
      <t>c</t>
    </r>
    <r>
      <rPr>
        <sz val="10"/>
        <color rgb="FF000000"/>
        <rFont val="Times New Roman"/>
        <family val="1"/>
      </rPr>
      <t>e</t>
    </r>
    <r>
      <rPr>
        <sz val="10"/>
        <color rgb="FF000000"/>
        <rFont val="Times New Roman"/>
        <family val="1"/>
      </rPr>
      <t>d</t>
    </r>
    <r>
      <rPr>
        <sz val="10"/>
        <color rgb="FF000000"/>
        <rFont val="Times New Roman"/>
        <family val="1"/>
      </rPr>
      <t>u</t>
    </r>
    <r>
      <rPr>
        <sz val="10"/>
        <color rgb="FF000000"/>
        <rFont val="Times New Roman"/>
        <family val="1"/>
      </rPr>
      <t>r</t>
    </r>
    <r>
      <rPr>
        <sz val="10"/>
        <color rgb="FF000000"/>
        <rFont val="Times New Roman"/>
        <family val="1"/>
      </rPr>
      <t>e</t>
    </r>
    <r>
      <rPr>
        <sz val="10"/>
        <color rgb="FF000000"/>
        <rFont val="Times New Roman"/>
        <family val="1"/>
      </rPr>
      <t>s</t>
    </r>
    <r>
      <rPr>
        <sz val="10"/>
        <color rgb="FF000000"/>
        <rFont val="Times New Roman"/>
        <family val="1"/>
      </rPr>
      <t xml:space="preserve"> </t>
    </r>
    <r>
      <rPr>
        <sz val="10"/>
        <color rgb="FF000000"/>
        <rFont val="Times New Roman"/>
        <family val="1"/>
      </rPr>
      <t xml:space="preserve"> </t>
    </r>
    <r>
      <rPr>
        <sz val="10"/>
        <color rgb="FF000000"/>
        <rFont val="Times New Roman"/>
        <family val="1"/>
      </rPr>
      <t>--</t>
    </r>
    <r>
      <rPr>
        <sz val="10"/>
        <color rgb="FF000000"/>
        <rFont val="Times New Roman"/>
        <family val="1"/>
      </rPr>
      <t xml:space="preserve"> </t>
    </r>
    <r>
      <rPr>
        <sz val="10"/>
        <color rgb="FF000000"/>
        <rFont val="Times New Roman"/>
        <family val="1"/>
      </rPr>
      <t xml:space="preserve"> </t>
    </r>
    <r>
      <rPr>
        <sz val="10"/>
        <color rgb="FF000000"/>
        <rFont val="Times New Roman"/>
        <family val="1"/>
      </rPr>
      <t xml:space="preserve">10
</t>
    </r>
    <r>
      <rPr>
        <sz val="10"/>
        <color rgb="FF000000"/>
        <rFont val="Times New Roman"/>
        <family val="1"/>
      </rPr>
      <t>M</t>
    </r>
    <r>
      <rPr>
        <sz val="10"/>
        <color rgb="FF000000"/>
        <rFont val="Times New Roman"/>
        <family val="1"/>
      </rPr>
      <t>a</t>
    </r>
    <r>
      <rPr>
        <sz val="10"/>
        <color rgb="FF000000"/>
        <rFont val="Times New Roman"/>
        <family val="1"/>
      </rPr>
      <t>r</t>
    </r>
    <r>
      <rPr>
        <sz val="10"/>
        <color rgb="FF000000"/>
        <rFont val="Times New Roman"/>
        <family val="1"/>
      </rPr>
      <t>k</t>
    </r>
    <r>
      <rPr>
        <sz val="10"/>
        <color rgb="FF000000"/>
        <rFont val="Times New Roman"/>
        <family val="1"/>
      </rPr>
      <t xml:space="preserve">s
</t>
    </r>
    <r>
      <rPr>
        <sz val="10"/>
        <color rgb="FF000000"/>
        <rFont val="Times New Roman"/>
        <family val="1"/>
      </rPr>
      <t>A</t>
    </r>
    <r>
      <rPr>
        <sz val="10"/>
        <color rgb="FF000000"/>
        <rFont val="Times New Roman"/>
        <family val="1"/>
      </rPr>
      <t>ll</t>
    </r>
    <r>
      <rPr>
        <sz val="10"/>
        <color rgb="FF000000"/>
        <rFont val="Times New Roman"/>
        <family val="1"/>
      </rPr>
      <t xml:space="preserve"> </t>
    </r>
    <r>
      <rPr>
        <sz val="10"/>
        <color rgb="FF000000"/>
        <rFont val="Times New Roman"/>
        <family val="1"/>
      </rPr>
      <t>8</t>
    </r>
    <r>
      <rPr>
        <sz val="10"/>
        <color rgb="FF000000"/>
        <rFont val="Times New Roman"/>
        <family val="1"/>
      </rPr>
      <t xml:space="preserve"> </t>
    </r>
    <r>
      <rPr>
        <sz val="10"/>
        <color rgb="FF000000"/>
        <rFont val="Times New Roman"/>
        <family val="1"/>
      </rPr>
      <t>C</t>
    </r>
    <r>
      <rPr>
        <sz val="10"/>
        <color rgb="FF000000"/>
        <rFont val="Times New Roman"/>
        <family val="1"/>
      </rPr>
      <t>o</t>
    </r>
    <r>
      <rPr>
        <sz val="10"/>
        <color rgb="FF000000"/>
        <rFont val="Times New Roman"/>
        <family val="1"/>
      </rPr>
      <t>m</t>
    </r>
    <r>
      <rPr>
        <sz val="10"/>
        <color rgb="FF000000"/>
        <rFont val="Times New Roman"/>
        <family val="1"/>
      </rPr>
      <t>p</t>
    </r>
    <r>
      <rPr>
        <sz val="10"/>
        <color rgb="FF000000"/>
        <rFont val="Times New Roman"/>
        <family val="1"/>
      </rPr>
      <t>o</t>
    </r>
    <r>
      <rPr>
        <sz val="10"/>
        <color rgb="FF000000"/>
        <rFont val="Times New Roman"/>
        <family val="1"/>
      </rPr>
      <t>n</t>
    </r>
    <r>
      <rPr>
        <sz val="10"/>
        <color rgb="FF000000"/>
        <rFont val="Times New Roman"/>
        <family val="1"/>
      </rPr>
      <t>e</t>
    </r>
    <r>
      <rPr>
        <sz val="10"/>
        <color rgb="FF000000"/>
        <rFont val="Times New Roman"/>
        <family val="1"/>
      </rPr>
      <t>n</t>
    </r>
    <r>
      <rPr>
        <sz val="10"/>
        <color rgb="FF000000"/>
        <rFont val="Times New Roman"/>
        <family val="1"/>
      </rPr>
      <t>t</t>
    </r>
    <r>
      <rPr>
        <sz val="10"/>
        <color rgb="FF000000"/>
        <rFont val="Times New Roman"/>
        <family val="1"/>
      </rPr>
      <t>s</t>
    </r>
    <r>
      <rPr>
        <sz val="10"/>
        <color rgb="FF000000"/>
        <rFont val="Times New Roman"/>
        <family val="1"/>
      </rPr>
      <t>/</t>
    </r>
    <r>
      <rPr>
        <sz val="10"/>
        <color rgb="FF000000"/>
        <rFont val="Times New Roman"/>
        <family val="1"/>
      </rPr>
      <t>P</t>
    </r>
    <r>
      <rPr>
        <sz val="10"/>
        <color rgb="FF000000"/>
        <rFont val="Times New Roman"/>
        <family val="1"/>
      </rPr>
      <t>r</t>
    </r>
    <r>
      <rPr>
        <sz val="10"/>
        <color rgb="FF000000"/>
        <rFont val="Times New Roman"/>
        <family val="1"/>
      </rPr>
      <t>o</t>
    </r>
    <r>
      <rPr>
        <sz val="10"/>
        <color rgb="FF000000"/>
        <rFont val="Times New Roman"/>
        <family val="1"/>
      </rPr>
      <t>c</t>
    </r>
    <r>
      <rPr>
        <sz val="10"/>
        <color rgb="FF000000"/>
        <rFont val="Times New Roman"/>
        <family val="1"/>
      </rPr>
      <t>e</t>
    </r>
    <r>
      <rPr>
        <sz val="10"/>
        <color rgb="FF000000"/>
        <rFont val="Times New Roman"/>
        <family val="1"/>
      </rPr>
      <t>d</t>
    </r>
    <r>
      <rPr>
        <sz val="10"/>
        <color rgb="FF000000"/>
        <rFont val="Times New Roman"/>
        <family val="1"/>
      </rPr>
      <t>u</t>
    </r>
    <r>
      <rPr>
        <sz val="10"/>
        <color rgb="FF000000"/>
        <rFont val="Times New Roman"/>
        <family val="1"/>
      </rPr>
      <t>r</t>
    </r>
    <r>
      <rPr>
        <sz val="10"/>
        <color rgb="FF000000"/>
        <rFont val="Times New Roman"/>
        <family val="1"/>
      </rPr>
      <t>e</t>
    </r>
    <r>
      <rPr>
        <sz val="10"/>
        <color rgb="FF000000"/>
        <rFont val="Times New Roman"/>
        <family val="1"/>
      </rPr>
      <t>s</t>
    </r>
    <r>
      <rPr>
        <sz val="10"/>
        <color rgb="FF000000"/>
        <rFont val="Times New Roman"/>
        <family val="1"/>
      </rPr>
      <t xml:space="preserve"> </t>
    </r>
    <r>
      <rPr>
        <sz val="10"/>
        <color rgb="FF000000"/>
        <rFont val="Times New Roman"/>
        <family val="1"/>
      </rPr>
      <t>–</t>
    </r>
    <r>
      <rPr>
        <sz val="10"/>
        <color rgb="FF000000"/>
        <rFont val="Times New Roman"/>
        <family val="1"/>
      </rPr>
      <t xml:space="preserve"> </t>
    </r>
    <r>
      <rPr>
        <sz val="10"/>
        <color rgb="FF000000"/>
        <rFont val="Times New Roman"/>
        <family val="1"/>
      </rPr>
      <t>1</t>
    </r>
    <r>
      <rPr>
        <sz val="10"/>
        <color rgb="FF000000"/>
        <rFont val="Times New Roman"/>
        <family val="1"/>
      </rPr>
      <t>5</t>
    </r>
    <r>
      <rPr>
        <sz val="10"/>
        <color rgb="FF000000"/>
        <rFont val="Times New Roman"/>
        <family val="1"/>
      </rPr>
      <t xml:space="preserve"> </t>
    </r>
    <r>
      <rPr>
        <sz val="10"/>
        <color rgb="FF000000"/>
        <rFont val="Times New Roman"/>
        <family val="1"/>
      </rPr>
      <t>M</t>
    </r>
    <r>
      <rPr>
        <sz val="10"/>
        <color rgb="FF000000"/>
        <rFont val="Times New Roman"/>
        <family val="1"/>
      </rPr>
      <t>a</t>
    </r>
    <r>
      <rPr>
        <sz val="10"/>
        <color rgb="FF000000"/>
        <rFont val="Times New Roman"/>
        <family val="1"/>
      </rPr>
      <t>r</t>
    </r>
    <r>
      <rPr>
        <sz val="10"/>
        <color rgb="FF000000"/>
        <rFont val="Times New Roman"/>
        <family val="1"/>
      </rPr>
      <t>k</t>
    </r>
    <r>
      <rPr>
        <sz val="10"/>
        <color rgb="FF000000"/>
        <rFont val="Times New Roman"/>
        <family val="1"/>
      </rPr>
      <t>s</t>
    </r>
  </si>
  <si>
    <r>
      <rPr>
        <sz val="10"/>
        <color rgb="FF000000"/>
        <rFont val="Times New Roman"/>
        <family val="1"/>
      </rPr>
      <t>T</t>
    </r>
    <r>
      <rPr>
        <sz val="10"/>
        <color rgb="FF000000"/>
        <rFont val="Times New Roman"/>
        <family val="1"/>
      </rPr>
      <t>e</t>
    </r>
    <r>
      <rPr>
        <sz val="10"/>
        <color rgb="FF000000"/>
        <rFont val="Times New Roman"/>
        <family val="1"/>
      </rPr>
      <t>c</t>
    </r>
    <r>
      <rPr>
        <sz val="10"/>
        <color rgb="FF000000"/>
        <rFont val="Times New Roman"/>
        <family val="1"/>
      </rPr>
      <t>hn</t>
    </r>
    <r>
      <rPr>
        <sz val="10"/>
        <color rgb="FF000000"/>
        <rFont val="Times New Roman"/>
        <family val="1"/>
      </rPr>
      <t>i</t>
    </r>
    <r>
      <rPr>
        <sz val="10"/>
        <color rgb="FF000000"/>
        <rFont val="Times New Roman"/>
        <family val="1"/>
      </rPr>
      <t>c</t>
    </r>
    <r>
      <rPr>
        <sz val="10"/>
        <color rgb="FF000000"/>
        <rFont val="Times New Roman"/>
        <family val="1"/>
      </rPr>
      <t>a</t>
    </r>
    <r>
      <rPr>
        <sz val="10"/>
        <color rgb="FF000000"/>
        <rFont val="Times New Roman"/>
        <family val="1"/>
      </rPr>
      <t>l</t>
    </r>
    <r>
      <rPr>
        <sz val="10"/>
        <color rgb="FF000000"/>
        <rFont val="Times New Roman"/>
        <family val="1"/>
      </rPr>
      <t xml:space="preserve"> </t>
    </r>
    <r>
      <rPr>
        <sz val="10"/>
        <color rgb="FF000000"/>
        <rFont val="Times New Roman"/>
        <family val="1"/>
      </rPr>
      <t>P</t>
    </r>
    <r>
      <rPr>
        <sz val="10"/>
        <color rgb="FF000000"/>
        <rFont val="Times New Roman"/>
        <family val="1"/>
      </rPr>
      <t>r</t>
    </r>
    <r>
      <rPr>
        <sz val="10"/>
        <color rgb="FF000000"/>
        <rFont val="Times New Roman"/>
        <family val="1"/>
      </rPr>
      <t>o</t>
    </r>
    <r>
      <rPr>
        <sz val="10"/>
        <color rgb="FF000000"/>
        <rFont val="Times New Roman"/>
        <family val="1"/>
      </rPr>
      <t>p</t>
    </r>
    <r>
      <rPr>
        <sz val="10"/>
        <color rgb="FF000000"/>
        <rFont val="Times New Roman"/>
        <family val="1"/>
      </rPr>
      <t>o</t>
    </r>
    <r>
      <rPr>
        <sz val="10"/>
        <color rgb="FF000000"/>
        <rFont val="Times New Roman"/>
        <family val="1"/>
      </rPr>
      <t>s</t>
    </r>
    <r>
      <rPr>
        <sz val="10"/>
        <color rgb="FF000000"/>
        <rFont val="Times New Roman"/>
        <family val="1"/>
      </rPr>
      <t>a</t>
    </r>
    <r>
      <rPr>
        <sz val="10"/>
        <color rgb="FF000000"/>
        <rFont val="Times New Roman"/>
        <family val="1"/>
      </rPr>
      <t>l</t>
    </r>
    <r>
      <rPr>
        <sz val="10"/>
        <color rgb="FF000000"/>
        <rFont val="Times New Roman"/>
        <family val="1"/>
      </rPr>
      <t xml:space="preserve"> </t>
    </r>
    <r>
      <rPr>
        <sz val="10"/>
        <color rgb="FF000000"/>
        <rFont val="Times New Roman"/>
        <family val="1"/>
      </rPr>
      <t>s</t>
    </r>
    <r>
      <rPr>
        <sz val="10"/>
        <color rgb="FF000000"/>
        <rFont val="Times New Roman"/>
        <family val="1"/>
      </rPr>
      <t>o</t>
    </r>
    <r>
      <rPr>
        <sz val="10"/>
        <color rgb="FF000000"/>
        <rFont val="Times New Roman"/>
        <family val="1"/>
      </rPr>
      <t>l</t>
    </r>
    <r>
      <rPr>
        <sz val="10"/>
        <color rgb="FF000000"/>
        <rFont val="Times New Roman"/>
        <family val="1"/>
      </rPr>
      <t>u</t>
    </r>
    <r>
      <rPr>
        <sz val="10"/>
        <color rgb="FF000000"/>
        <rFont val="Times New Roman"/>
        <family val="1"/>
      </rPr>
      <t>t</t>
    </r>
    <r>
      <rPr>
        <sz val="10"/>
        <color rgb="FF000000"/>
        <rFont val="Times New Roman"/>
        <family val="1"/>
      </rPr>
      <t>i</t>
    </r>
    <r>
      <rPr>
        <sz val="10"/>
        <color rgb="FF000000"/>
        <rFont val="Times New Roman"/>
        <family val="1"/>
      </rPr>
      <t>o</t>
    </r>
    <r>
      <rPr>
        <sz val="10"/>
        <color rgb="FF000000"/>
        <rFont val="Times New Roman"/>
        <family val="1"/>
      </rPr>
      <t>n</t>
    </r>
    <r>
      <rPr>
        <sz val="10"/>
        <color rgb="FF000000"/>
        <rFont val="Times New Roman"/>
        <family val="1"/>
      </rPr>
      <t xml:space="preserve"> </t>
    </r>
    <r>
      <rPr>
        <sz val="10"/>
        <color rgb="FF000000"/>
        <rFont val="Times New Roman"/>
        <family val="1"/>
      </rPr>
      <t>A</t>
    </r>
    <r>
      <rPr>
        <sz val="10"/>
        <color rgb="FF000000"/>
        <rFont val="Times New Roman"/>
        <family val="1"/>
      </rPr>
      <t>p</t>
    </r>
    <r>
      <rPr>
        <sz val="10"/>
        <color rgb="FF000000"/>
        <rFont val="Times New Roman"/>
        <family val="1"/>
      </rPr>
      <t>p</t>
    </r>
    <r>
      <rPr>
        <sz val="10"/>
        <color rgb="FF000000"/>
        <rFont val="Times New Roman"/>
        <family val="1"/>
      </rPr>
      <t>ro</t>
    </r>
    <r>
      <rPr>
        <sz val="10"/>
        <color rgb="FF000000"/>
        <rFont val="Times New Roman"/>
        <family val="1"/>
      </rPr>
      <t>a</t>
    </r>
    <r>
      <rPr>
        <sz val="10"/>
        <color rgb="FF000000"/>
        <rFont val="Times New Roman"/>
        <family val="1"/>
      </rPr>
      <t>c</t>
    </r>
    <r>
      <rPr>
        <sz val="10"/>
        <color rgb="FF000000"/>
        <rFont val="Times New Roman"/>
        <family val="1"/>
      </rPr>
      <t>h</t>
    </r>
    <r>
      <rPr>
        <sz val="10"/>
        <color rgb="FF000000"/>
        <rFont val="Times New Roman"/>
        <family val="1"/>
      </rPr>
      <t xml:space="preserve"> </t>
    </r>
    <r>
      <rPr>
        <sz val="10"/>
        <color rgb="FF000000"/>
        <rFont val="Times New Roman"/>
        <family val="1"/>
      </rPr>
      <t>a</t>
    </r>
    <r>
      <rPr>
        <sz val="10"/>
        <color rgb="FF000000"/>
        <rFont val="Times New Roman"/>
        <family val="1"/>
      </rPr>
      <t>n</t>
    </r>
    <r>
      <rPr>
        <sz val="10"/>
        <color rgb="FF000000"/>
        <rFont val="Times New Roman"/>
        <family val="1"/>
      </rPr>
      <t xml:space="preserve">d
</t>
    </r>
    <r>
      <rPr>
        <sz val="10"/>
        <color rgb="FF000000"/>
        <rFont val="Times New Roman"/>
        <family val="1"/>
      </rPr>
      <t>M</t>
    </r>
    <r>
      <rPr>
        <sz val="10"/>
        <color rgb="FF000000"/>
        <rFont val="Times New Roman"/>
        <family val="1"/>
      </rPr>
      <t>e</t>
    </r>
    <r>
      <rPr>
        <sz val="10"/>
        <color rgb="FF000000"/>
        <rFont val="Times New Roman"/>
        <family val="1"/>
      </rPr>
      <t>t</t>
    </r>
    <r>
      <rPr>
        <sz val="10"/>
        <color rgb="FF000000"/>
        <rFont val="Times New Roman"/>
        <family val="1"/>
      </rPr>
      <t>h</t>
    </r>
    <r>
      <rPr>
        <sz val="10"/>
        <color rgb="FF000000"/>
        <rFont val="Times New Roman"/>
        <family val="1"/>
      </rPr>
      <t>od</t>
    </r>
    <r>
      <rPr>
        <sz val="10"/>
        <color rgb="FF000000"/>
        <rFont val="Times New Roman"/>
        <family val="1"/>
      </rPr>
      <t>o</t>
    </r>
    <r>
      <rPr>
        <sz val="10"/>
        <color rgb="FF000000"/>
        <rFont val="Times New Roman"/>
        <family val="1"/>
      </rPr>
      <t>l</t>
    </r>
    <r>
      <rPr>
        <sz val="10"/>
        <color rgb="FF000000"/>
        <rFont val="Times New Roman"/>
        <family val="1"/>
      </rPr>
      <t>o</t>
    </r>
    <r>
      <rPr>
        <sz val="10"/>
        <color rgb="FF000000"/>
        <rFont val="Times New Roman"/>
        <family val="1"/>
      </rPr>
      <t>g</t>
    </r>
    <r>
      <rPr>
        <sz val="10"/>
        <color rgb="FF000000"/>
        <rFont val="Times New Roman"/>
        <family val="1"/>
      </rPr>
      <t xml:space="preserve">y
</t>
    </r>
    <r>
      <rPr>
        <sz val="10"/>
        <color rgb="FF000000"/>
        <rFont val="Times New Roman"/>
        <family val="1"/>
      </rPr>
      <t>I</t>
    </r>
    <r>
      <rPr>
        <sz val="10"/>
        <color rgb="FF000000"/>
        <rFont val="Times New Roman"/>
        <family val="1"/>
      </rPr>
      <t>n</t>
    </r>
    <r>
      <rPr>
        <sz val="10"/>
        <color rgb="FF000000"/>
        <rFont val="Times New Roman"/>
        <family val="1"/>
      </rPr>
      <t>c</t>
    </r>
    <r>
      <rPr>
        <sz val="10"/>
        <color rgb="FF000000"/>
        <rFont val="Times New Roman"/>
        <family val="1"/>
      </rPr>
      <t>l</t>
    </r>
    <r>
      <rPr>
        <sz val="10"/>
        <color rgb="FF000000"/>
        <rFont val="Times New Roman"/>
        <family val="1"/>
      </rPr>
      <t>ud</t>
    </r>
    <r>
      <rPr>
        <sz val="10"/>
        <color rgb="FF000000"/>
        <rFont val="Times New Roman"/>
        <family val="1"/>
      </rPr>
      <t>i</t>
    </r>
    <r>
      <rPr>
        <sz val="10"/>
        <color rgb="FF000000"/>
        <rFont val="Times New Roman"/>
        <family val="1"/>
      </rPr>
      <t>n</t>
    </r>
    <r>
      <rPr>
        <sz val="10"/>
        <color rgb="FF000000"/>
        <rFont val="Times New Roman"/>
        <family val="1"/>
      </rPr>
      <t>g</t>
    </r>
    <r>
      <rPr>
        <sz val="10"/>
        <color rgb="FF000000"/>
        <rFont val="Times New Roman"/>
        <family val="1"/>
      </rPr>
      <t xml:space="preserve"> </t>
    </r>
    <r>
      <rPr>
        <sz val="10"/>
        <color rgb="FF000000"/>
        <rFont val="Times New Roman"/>
        <family val="1"/>
      </rPr>
      <t>bu</t>
    </r>
    <r>
      <rPr>
        <sz val="10"/>
        <color rgb="FF000000"/>
        <rFont val="Times New Roman"/>
        <family val="1"/>
      </rPr>
      <t>t</t>
    </r>
    <r>
      <rPr>
        <sz val="10"/>
        <color rgb="FF000000"/>
        <rFont val="Times New Roman"/>
        <family val="1"/>
      </rPr>
      <t xml:space="preserve"> </t>
    </r>
    <r>
      <rPr>
        <sz val="10"/>
        <color rgb="FF000000"/>
        <rFont val="Times New Roman"/>
        <family val="1"/>
      </rPr>
      <t>n</t>
    </r>
    <r>
      <rPr>
        <sz val="10"/>
        <color rgb="FF000000"/>
        <rFont val="Times New Roman"/>
        <family val="1"/>
      </rPr>
      <t>o</t>
    </r>
    <r>
      <rPr>
        <sz val="10"/>
        <color rgb="FF000000"/>
        <rFont val="Times New Roman"/>
        <family val="1"/>
      </rPr>
      <t>t</t>
    </r>
    <r>
      <rPr>
        <sz val="10"/>
        <color rgb="FF000000"/>
        <rFont val="Times New Roman"/>
        <family val="1"/>
      </rPr>
      <t xml:space="preserve"> </t>
    </r>
    <r>
      <rPr>
        <sz val="10"/>
        <color rgb="FF000000"/>
        <rFont val="Times New Roman"/>
        <family val="1"/>
      </rPr>
      <t>l</t>
    </r>
    <r>
      <rPr>
        <sz val="10"/>
        <color rgb="FF000000"/>
        <rFont val="Times New Roman"/>
        <family val="1"/>
      </rPr>
      <t>i</t>
    </r>
    <r>
      <rPr>
        <sz val="10"/>
        <color rgb="FF000000"/>
        <rFont val="Times New Roman"/>
        <family val="1"/>
      </rPr>
      <t>m</t>
    </r>
    <r>
      <rPr>
        <sz val="10"/>
        <color rgb="FF000000"/>
        <rFont val="Times New Roman"/>
        <family val="1"/>
      </rPr>
      <t>i</t>
    </r>
    <r>
      <rPr>
        <sz val="10"/>
        <color rgb="FF000000"/>
        <rFont val="Times New Roman"/>
        <family val="1"/>
      </rPr>
      <t>t</t>
    </r>
    <r>
      <rPr>
        <sz val="10"/>
        <color rgb="FF000000"/>
        <rFont val="Times New Roman"/>
        <family val="1"/>
      </rPr>
      <t>e</t>
    </r>
    <r>
      <rPr>
        <sz val="10"/>
        <color rgb="FF000000"/>
        <rFont val="Times New Roman"/>
        <family val="1"/>
      </rPr>
      <t>d</t>
    </r>
    <r>
      <rPr>
        <sz val="10"/>
        <color rgb="FF000000"/>
        <rFont val="Times New Roman"/>
        <family val="1"/>
      </rPr>
      <t xml:space="preserve"> </t>
    </r>
    <r>
      <rPr>
        <sz val="10"/>
        <color rgb="FF000000"/>
        <rFont val="Times New Roman"/>
        <family val="1"/>
      </rPr>
      <t>t</t>
    </r>
    <r>
      <rPr>
        <sz val="10"/>
        <color rgb="FF000000"/>
        <rFont val="Times New Roman"/>
        <family val="1"/>
      </rPr>
      <t>o</t>
    </r>
    <r>
      <rPr>
        <sz val="10"/>
        <color rgb="FF000000"/>
        <rFont val="Times New Roman"/>
        <family val="1"/>
      </rPr>
      <t>:</t>
    </r>
  </si>
  <si>
    <t>Technical Proposal &amp; Methodology</t>
  </si>
  <si>
    <r>
      <rPr>
        <sz val="10"/>
        <color rgb="FF000000"/>
        <rFont val="Times New Roman"/>
        <family val="1"/>
      </rPr>
      <t>a</t>
    </r>
    <r>
      <rPr>
        <sz val="10"/>
        <color rgb="FF000000"/>
        <rFont val="Times New Roman"/>
        <family val="1"/>
      </rPr>
      <t>)</t>
    </r>
    <r>
      <rPr>
        <sz val="10"/>
        <color rgb="FF000000"/>
        <rFont val="Times New Roman"/>
        <family val="1"/>
      </rPr>
      <t xml:space="preserve"> </t>
    </r>
    <r>
      <rPr>
        <sz val="10"/>
        <color rgb="FF000000"/>
        <rFont val="Times New Roman"/>
        <family val="1"/>
      </rPr>
      <t>D</t>
    </r>
    <r>
      <rPr>
        <sz val="10"/>
        <color rgb="FF000000"/>
        <rFont val="Times New Roman"/>
        <family val="1"/>
      </rPr>
      <t>e</t>
    </r>
    <r>
      <rPr>
        <sz val="10"/>
        <color rgb="FF000000"/>
        <rFont val="Times New Roman"/>
        <family val="1"/>
      </rPr>
      <t>t</t>
    </r>
    <r>
      <rPr>
        <sz val="10"/>
        <color rgb="FF000000"/>
        <rFont val="Times New Roman"/>
        <family val="1"/>
      </rPr>
      <t>a</t>
    </r>
    <r>
      <rPr>
        <sz val="10"/>
        <color rgb="FF000000"/>
        <rFont val="Times New Roman"/>
        <family val="1"/>
      </rPr>
      <t>i</t>
    </r>
    <r>
      <rPr>
        <sz val="10"/>
        <color rgb="FF000000"/>
        <rFont val="Times New Roman"/>
        <family val="1"/>
      </rPr>
      <t>l</t>
    </r>
    <r>
      <rPr>
        <sz val="10"/>
        <color rgb="FF000000"/>
        <rFont val="Times New Roman"/>
        <family val="1"/>
      </rPr>
      <t>e</t>
    </r>
    <r>
      <rPr>
        <sz val="10"/>
        <color rgb="FF000000"/>
        <rFont val="Times New Roman"/>
        <family val="1"/>
      </rPr>
      <t>d</t>
    </r>
    <r>
      <rPr>
        <sz val="10"/>
        <color rgb="FF000000"/>
        <rFont val="Times New Roman"/>
        <family val="1"/>
      </rPr>
      <t xml:space="preserve"> </t>
    </r>
    <r>
      <rPr>
        <sz val="10"/>
        <color rgb="FF000000"/>
        <rFont val="Times New Roman"/>
        <family val="1"/>
      </rPr>
      <t>u</t>
    </r>
    <r>
      <rPr>
        <sz val="10"/>
        <color rgb="FF000000"/>
        <rFont val="Times New Roman"/>
        <family val="1"/>
      </rPr>
      <t>n</t>
    </r>
    <r>
      <rPr>
        <sz val="10"/>
        <color rgb="FF000000"/>
        <rFont val="Times New Roman"/>
        <family val="1"/>
      </rPr>
      <t>d</t>
    </r>
    <r>
      <rPr>
        <sz val="10"/>
        <color rgb="FF000000"/>
        <rFont val="Times New Roman"/>
        <family val="1"/>
      </rPr>
      <t>e</t>
    </r>
    <r>
      <rPr>
        <sz val="10"/>
        <color rgb="FF000000"/>
        <rFont val="Times New Roman"/>
        <family val="1"/>
      </rPr>
      <t>r</t>
    </r>
    <r>
      <rPr>
        <sz val="10"/>
        <color rgb="FF000000"/>
        <rFont val="Times New Roman"/>
        <family val="1"/>
      </rPr>
      <t>s</t>
    </r>
    <r>
      <rPr>
        <sz val="10"/>
        <color rgb="FF000000"/>
        <rFont val="Times New Roman"/>
        <family val="1"/>
      </rPr>
      <t>t</t>
    </r>
    <r>
      <rPr>
        <sz val="10"/>
        <color rgb="FF000000"/>
        <rFont val="Times New Roman"/>
        <family val="1"/>
      </rPr>
      <t>a</t>
    </r>
    <r>
      <rPr>
        <sz val="10"/>
        <color rgb="FF000000"/>
        <rFont val="Times New Roman"/>
        <family val="1"/>
      </rPr>
      <t>n</t>
    </r>
    <r>
      <rPr>
        <sz val="10"/>
        <color rgb="FF000000"/>
        <rFont val="Times New Roman"/>
        <family val="1"/>
      </rPr>
      <t>d</t>
    </r>
    <r>
      <rPr>
        <sz val="10"/>
        <color rgb="FF000000"/>
        <rFont val="Times New Roman"/>
        <family val="1"/>
      </rPr>
      <t>i</t>
    </r>
    <r>
      <rPr>
        <sz val="10"/>
        <color rgb="FF000000"/>
        <rFont val="Times New Roman"/>
        <family val="1"/>
      </rPr>
      <t>n</t>
    </r>
    <r>
      <rPr>
        <sz val="10"/>
        <color rgb="FF000000"/>
        <rFont val="Times New Roman"/>
        <family val="1"/>
      </rPr>
      <t>g</t>
    </r>
    <r>
      <rPr>
        <sz val="10"/>
        <color rgb="FF000000"/>
        <rFont val="Times New Roman"/>
        <family val="1"/>
      </rPr>
      <t xml:space="preserve"> </t>
    </r>
    <r>
      <rPr>
        <sz val="10"/>
        <color rgb="FF000000"/>
        <rFont val="Times New Roman"/>
        <family val="1"/>
      </rPr>
      <t>o</t>
    </r>
    <r>
      <rPr>
        <sz val="10"/>
        <color rgb="FF000000"/>
        <rFont val="Times New Roman"/>
        <family val="1"/>
      </rPr>
      <t>f</t>
    </r>
    <r>
      <rPr>
        <sz val="10"/>
        <color rgb="FF000000"/>
        <rFont val="Times New Roman"/>
        <family val="1"/>
      </rPr>
      <t xml:space="preserve"> </t>
    </r>
    <r>
      <rPr>
        <sz val="10"/>
        <color rgb="FF000000"/>
        <rFont val="Times New Roman"/>
        <family val="1"/>
      </rPr>
      <t>S</t>
    </r>
    <r>
      <rPr>
        <sz val="10"/>
        <color rgb="FF000000"/>
        <rFont val="Times New Roman"/>
        <family val="1"/>
      </rPr>
      <t>c</t>
    </r>
    <r>
      <rPr>
        <sz val="10"/>
        <color rgb="FF000000"/>
        <rFont val="Times New Roman"/>
        <family val="1"/>
      </rPr>
      <t>op</t>
    </r>
    <r>
      <rPr>
        <sz val="10"/>
        <color rgb="FF000000"/>
        <rFont val="Times New Roman"/>
        <family val="1"/>
      </rPr>
      <t>e</t>
    </r>
    <r>
      <rPr>
        <sz val="10"/>
        <color rgb="FF000000"/>
        <rFont val="Times New Roman"/>
        <family val="1"/>
      </rPr>
      <t xml:space="preserve"> </t>
    </r>
    <r>
      <rPr>
        <sz val="10"/>
        <color rgb="FF000000"/>
        <rFont val="Times New Roman"/>
        <family val="1"/>
      </rPr>
      <t>o</t>
    </r>
    <r>
      <rPr>
        <sz val="10"/>
        <color rgb="FF000000"/>
        <rFont val="Times New Roman"/>
        <family val="1"/>
      </rPr>
      <t>f</t>
    </r>
    <r>
      <rPr>
        <sz val="10"/>
        <color rgb="FF000000"/>
        <rFont val="Times New Roman"/>
        <family val="1"/>
      </rPr>
      <t xml:space="preserve"> </t>
    </r>
    <r>
      <rPr>
        <sz val="10"/>
        <color rgb="FF000000"/>
        <rFont val="Times New Roman"/>
        <family val="1"/>
      </rPr>
      <t>W</t>
    </r>
    <r>
      <rPr>
        <sz val="10"/>
        <color rgb="FF000000"/>
        <rFont val="Times New Roman"/>
        <family val="1"/>
      </rPr>
      <t>o</t>
    </r>
    <r>
      <rPr>
        <sz val="10"/>
        <color rgb="FF000000"/>
        <rFont val="Times New Roman"/>
        <family val="1"/>
      </rPr>
      <t>r</t>
    </r>
    <r>
      <rPr>
        <sz val="10"/>
        <color rgb="FF000000"/>
        <rFont val="Times New Roman"/>
        <family val="1"/>
      </rPr>
      <t>k</t>
    </r>
    <r>
      <rPr>
        <sz val="10"/>
        <color rgb="FF000000"/>
        <rFont val="Times New Roman"/>
        <family val="1"/>
      </rPr>
      <t xml:space="preserve"> </t>
    </r>
    <r>
      <rPr>
        <sz val="10"/>
        <color rgb="FF000000"/>
        <rFont val="Times New Roman"/>
        <family val="1"/>
      </rPr>
      <t>r</t>
    </r>
    <r>
      <rPr>
        <sz val="10"/>
        <color rgb="FF000000"/>
        <rFont val="Times New Roman"/>
        <family val="1"/>
      </rPr>
      <t>e</t>
    </r>
    <r>
      <rPr>
        <sz val="10"/>
        <color rgb="FF000000"/>
        <rFont val="Times New Roman"/>
        <family val="1"/>
      </rPr>
      <t>q</t>
    </r>
    <r>
      <rPr>
        <sz val="10"/>
        <color rgb="FF000000"/>
        <rFont val="Times New Roman"/>
        <family val="1"/>
      </rPr>
      <t>u</t>
    </r>
    <r>
      <rPr>
        <sz val="10"/>
        <color rgb="FF000000"/>
        <rFont val="Times New Roman"/>
        <family val="1"/>
      </rPr>
      <t>i</t>
    </r>
    <r>
      <rPr>
        <sz val="10"/>
        <color rgb="FF000000"/>
        <rFont val="Times New Roman"/>
        <family val="1"/>
      </rPr>
      <t>r</t>
    </r>
    <r>
      <rPr>
        <sz val="10"/>
        <color rgb="FF000000"/>
        <rFont val="Times New Roman"/>
        <family val="1"/>
      </rPr>
      <t>e</t>
    </r>
    <r>
      <rPr>
        <sz val="10"/>
        <color rgb="FF000000"/>
        <rFont val="Times New Roman"/>
        <family val="1"/>
      </rPr>
      <t>m</t>
    </r>
    <r>
      <rPr>
        <sz val="10"/>
        <color rgb="FF000000"/>
        <rFont val="Times New Roman"/>
        <family val="1"/>
      </rPr>
      <t>e</t>
    </r>
    <r>
      <rPr>
        <sz val="10"/>
        <color rgb="FF000000"/>
        <rFont val="Times New Roman"/>
        <family val="1"/>
      </rPr>
      <t>n</t>
    </r>
    <r>
      <rPr>
        <sz val="10"/>
        <color rgb="FF000000"/>
        <rFont val="Times New Roman"/>
        <family val="1"/>
      </rPr>
      <t>t</t>
    </r>
    <r>
      <rPr>
        <sz val="10"/>
        <color rgb="FF000000"/>
        <rFont val="Times New Roman"/>
        <family val="1"/>
      </rPr>
      <t>s</t>
    </r>
    <r>
      <rPr>
        <sz val="10"/>
        <color rgb="FF000000"/>
        <rFont val="Times New Roman"/>
        <family val="1"/>
      </rPr>
      <t xml:space="preserve"> </t>
    </r>
    <r>
      <rPr>
        <sz val="10"/>
        <color rgb="FF000000"/>
        <rFont val="Times New Roman"/>
        <family val="1"/>
      </rPr>
      <t>-</t>
    </r>
    <r>
      <rPr>
        <sz val="10"/>
        <color rgb="FF000000"/>
        <rFont val="Times New Roman"/>
        <family val="1"/>
      </rPr>
      <t>5</t>
    </r>
    <r>
      <rPr>
        <sz val="10"/>
        <color rgb="FF000000"/>
        <rFont val="Times New Roman"/>
        <family val="1"/>
      </rPr>
      <t xml:space="preserve"> </t>
    </r>
    <r>
      <rPr>
        <sz val="10"/>
        <color rgb="FF000000"/>
        <rFont val="Times New Roman"/>
        <family val="1"/>
      </rPr>
      <t>M</t>
    </r>
    <r>
      <rPr>
        <sz val="10"/>
        <color rgb="FF000000"/>
        <rFont val="Times New Roman"/>
        <family val="1"/>
      </rPr>
      <t>a</t>
    </r>
    <r>
      <rPr>
        <sz val="10"/>
        <color rgb="FF000000"/>
        <rFont val="Times New Roman"/>
        <family val="1"/>
      </rPr>
      <t>r</t>
    </r>
    <r>
      <rPr>
        <sz val="10"/>
        <color rgb="FF000000"/>
        <rFont val="Times New Roman"/>
        <family val="1"/>
      </rPr>
      <t>k</t>
    </r>
    <r>
      <rPr>
        <sz val="10"/>
        <color rgb="FF000000"/>
        <rFont val="Times New Roman"/>
        <family val="1"/>
      </rPr>
      <t>s</t>
    </r>
  </si>
  <si>
    <r>
      <rPr>
        <sz val="10"/>
        <color rgb="FF000000"/>
        <rFont val="Times New Roman"/>
        <family val="1"/>
      </rPr>
      <t>b</t>
    </r>
    <r>
      <rPr>
        <sz val="10"/>
        <color rgb="FF000000"/>
        <rFont val="Times New Roman"/>
        <family val="1"/>
      </rPr>
      <t>)</t>
    </r>
    <r>
      <rPr>
        <sz val="10"/>
        <color rgb="FF000000"/>
        <rFont val="Times New Roman"/>
        <family val="1"/>
      </rPr>
      <t xml:space="preserve"> </t>
    </r>
    <r>
      <rPr>
        <sz val="10"/>
        <color rgb="FF000000"/>
        <rFont val="Times New Roman"/>
        <family val="1"/>
      </rPr>
      <t xml:space="preserve"> </t>
    </r>
    <r>
      <rPr>
        <sz val="10"/>
        <color rgb="FF000000"/>
        <rFont val="Times New Roman"/>
        <family val="1"/>
      </rPr>
      <t>D</t>
    </r>
    <r>
      <rPr>
        <sz val="10"/>
        <color rgb="FF000000"/>
        <rFont val="Times New Roman"/>
        <family val="1"/>
      </rPr>
      <t>i</t>
    </r>
    <r>
      <rPr>
        <sz val="10"/>
        <color rgb="FF000000"/>
        <rFont val="Times New Roman"/>
        <family val="1"/>
      </rPr>
      <t>s</t>
    </r>
    <r>
      <rPr>
        <sz val="10"/>
        <color rgb="FF000000"/>
        <rFont val="Times New Roman"/>
        <family val="1"/>
      </rPr>
      <t>a</t>
    </r>
    <r>
      <rPr>
        <sz val="10"/>
        <color rgb="FF000000"/>
        <rFont val="Times New Roman"/>
        <family val="1"/>
      </rPr>
      <t>s</t>
    </r>
    <r>
      <rPr>
        <sz val="10"/>
        <color rgb="FF000000"/>
        <rFont val="Times New Roman"/>
        <family val="1"/>
      </rPr>
      <t>t</t>
    </r>
    <r>
      <rPr>
        <sz val="10"/>
        <color rgb="FF000000"/>
        <rFont val="Times New Roman"/>
        <family val="1"/>
      </rPr>
      <t>e</t>
    </r>
    <r>
      <rPr>
        <sz val="10"/>
        <color rgb="FF000000"/>
        <rFont val="Times New Roman"/>
        <family val="1"/>
      </rPr>
      <t>r</t>
    </r>
    <r>
      <rPr>
        <sz val="10"/>
        <color rgb="FF000000"/>
        <rFont val="Times New Roman"/>
        <family val="1"/>
      </rPr>
      <t xml:space="preserve"> </t>
    </r>
    <r>
      <rPr>
        <sz val="10"/>
        <color rgb="FF000000"/>
        <rFont val="Times New Roman"/>
        <family val="1"/>
      </rPr>
      <t xml:space="preserve"> </t>
    </r>
    <r>
      <rPr>
        <sz val="10"/>
        <color rgb="FF000000"/>
        <rFont val="Times New Roman"/>
        <family val="1"/>
      </rPr>
      <t>R</t>
    </r>
    <r>
      <rPr>
        <sz val="10"/>
        <color rgb="FF000000"/>
        <rFont val="Times New Roman"/>
        <family val="1"/>
      </rPr>
      <t>e</t>
    </r>
    <r>
      <rPr>
        <sz val="10"/>
        <color rgb="FF000000"/>
        <rFont val="Times New Roman"/>
        <family val="1"/>
      </rPr>
      <t>c</t>
    </r>
    <r>
      <rPr>
        <sz val="10"/>
        <color rgb="FF000000"/>
        <rFont val="Times New Roman"/>
        <family val="1"/>
      </rPr>
      <t>o</t>
    </r>
    <r>
      <rPr>
        <sz val="10"/>
        <color rgb="FF000000"/>
        <rFont val="Times New Roman"/>
        <family val="1"/>
      </rPr>
      <t>v</t>
    </r>
    <r>
      <rPr>
        <sz val="10"/>
        <color rgb="FF000000"/>
        <rFont val="Times New Roman"/>
        <family val="1"/>
      </rPr>
      <t>e</t>
    </r>
    <r>
      <rPr>
        <sz val="10"/>
        <color rgb="FF000000"/>
        <rFont val="Times New Roman"/>
        <family val="1"/>
      </rPr>
      <t>r</t>
    </r>
    <r>
      <rPr>
        <sz val="10"/>
        <color rgb="FF000000"/>
        <rFont val="Times New Roman"/>
        <family val="1"/>
      </rPr>
      <t>y</t>
    </r>
    <r>
      <rPr>
        <sz val="10"/>
        <color rgb="FF000000"/>
        <rFont val="Times New Roman"/>
        <family val="1"/>
      </rPr>
      <t xml:space="preserve">  </t>
    </r>
    <r>
      <rPr>
        <sz val="10"/>
        <color rgb="FF000000"/>
        <rFont val="Times New Roman"/>
        <family val="1"/>
      </rPr>
      <t xml:space="preserve"> </t>
    </r>
    <r>
      <rPr>
        <sz val="10"/>
        <color rgb="FF000000"/>
        <rFont val="Times New Roman"/>
        <family val="1"/>
      </rPr>
      <t>(</t>
    </r>
    <r>
      <rPr>
        <sz val="10"/>
        <color rgb="FF000000"/>
        <rFont val="Times New Roman"/>
        <family val="1"/>
      </rPr>
      <t>D</t>
    </r>
    <r>
      <rPr>
        <sz val="10"/>
        <color rgb="FF000000"/>
        <rFont val="Times New Roman"/>
        <family val="1"/>
      </rPr>
      <t>R</t>
    </r>
    <r>
      <rPr>
        <sz val="10"/>
        <color rgb="FF000000"/>
        <rFont val="Times New Roman"/>
        <family val="1"/>
      </rPr>
      <t>)</t>
    </r>
    <r>
      <rPr>
        <sz val="10"/>
        <color rgb="FF000000"/>
        <rFont val="Times New Roman"/>
        <family val="1"/>
      </rPr>
      <t xml:space="preserve"> </t>
    </r>
    <r>
      <rPr>
        <sz val="10"/>
        <color rgb="FF000000"/>
        <rFont val="Times New Roman"/>
        <family val="1"/>
      </rPr>
      <t xml:space="preserve"> </t>
    </r>
    <r>
      <rPr>
        <sz val="10"/>
        <color rgb="FF000000"/>
        <rFont val="Times New Roman"/>
        <family val="1"/>
      </rPr>
      <t>a</t>
    </r>
    <r>
      <rPr>
        <sz val="10"/>
        <color rgb="FF000000"/>
        <rFont val="Times New Roman"/>
        <family val="1"/>
      </rPr>
      <t>n</t>
    </r>
    <r>
      <rPr>
        <sz val="10"/>
        <color rgb="FF000000"/>
        <rFont val="Times New Roman"/>
        <family val="1"/>
      </rPr>
      <t>d</t>
    </r>
    <r>
      <rPr>
        <sz val="10"/>
        <color rgb="FF000000"/>
        <rFont val="Times New Roman"/>
        <family val="1"/>
      </rPr>
      <t xml:space="preserve"> </t>
    </r>
    <r>
      <rPr>
        <sz val="10"/>
        <color rgb="FF000000"/>
        <rFont val="Times New Roman"/>
        <family val="1"/>
      </rPr>
      <t xml:space="preserve"> </t>
    </r>
    <r>
      <rPr>
        <sz val="10"/>
        <color rgb="FF000000"/>
        <rFont val="Times New Roman"/>
        <family val="1"/>
      </rPr>
      <t>B</t>
    </r>
    <r>
      <rPr>
        <sz val="10"/>
        <color rgb="FF000000"/>
        <rFont val="Times New Roman"/>
        <family val="1"/>
      </rPr>
      <t>u</t>
    </r>
    <r>
      <rPr>
        <sz val="10"/>
        <color rgb="FF000000"/>
        <rFont val="Times New Roman"/>
        <family val="1"/>
      </rPr>
      <t>s</t>
    </r>
    <r>
      <rPr>
        <sz val="10"/>
        <color rgb="FF000000"/>
        <rFont val="Times New Roman"/>
        <family val="1"/>
      </rPr>
      <t>i</t>
    </r>
    <r>
      <rPr>
        <sz val="10"/>
        <color rgb="FF000000"/>
        <rFont val="Times New Roman"/>
        <family val="1"/>
      </rPr>
      <t>n</t>
    </r>
    <r>
      <rPr>
        <sz val="10"/>
        <color rgb="FF000000"/>
        <rFont val="Times New Roman"/>
        <family val="1"/>
      </rPr>
      <t>e</t>
    </r>
    <r>
      <rPr>
        <sz val="10"/>
        <color rgb="FF000000"/>
        <rFont val="Times New Roman"/>
        <family val="1"/>
      </rPr>
      <t>s</t>
    </r>
    <r>
      <rPr>
        <sz val="10"/>
        <color rgb="FF000000"/>
        <rFont val="Times New Roman"/>
        <family val="1"/>
      </rPr>
      <t xml:space="preserve">s
</t>
    </r>
    <r>
      <rPr>
        <sz val="10"/>
        <color rgb="FF000000"/>
        <rFont val="Times New Roman"/>
        <family val="1"/>
      </rPr>
      <t>C</t>
    </r>
    <r>
      <rPr>
        <sz val="10"/>
        <color rgb="FF000000"/>
        <rFont val="Times New Roman"/>
        <family val="1"/>
      </rPr>
      <t>o</t>
    </r>
    <r>
      <rPr>
        <sz val="10"/>
        <color rgb="FF000000"/>
        <rFont val="Times New Roman"/>
        <family val="1"/>
      </rPr>
      <t>n</t>
    </r>
    <r>
      <rPr>
        <sz val="10"/>
        <color rgb="FF000000"/>
        <rFont val="Times New Roman"/>
        <family val="1"/>
      </rPr>
      <t>t</t>
    </r>
    <r>
      <rPr>
        <sz val="10"/>
        <color rgb="FF000000"/>
        <rFont val="Times New Roman"/>
        <family val="1"/>
      </rPr>
      <t>i</t>
    </r>
    <r>
      <rPr>
        <sz val="10"/>
        <color rgb="FF000000"/>
        <rFont val="Times New Roman"/>
        <family val="1"/>
      </rPr>
      <t>n</t>
    </r>
    <r>
      <rPr>
        <sz val="10"/>
        <color rgb="FF000000"/>
        <rFont val="Times New Roman"/>
        <family val="1"/>
      </rPr>
      <t>u</t>
    </r>
    <r>
      <rPr>
        <sz val="10"/>
        <color rgb="FF000000"/>
        <rFont val="Times New Roman"/>
        <family val="1"/>
      </rPr>
      <t>i</t>
    </r>
    <r>
      <rPr>
        <sz val="10"/>
        <color rgb="FF000000"/>
        <rFont val="Times New Roman"/>
        <family val="1"/>
      </rPr>
      <t>t</t>
    </r>
    <r>
      <rPr>
        <sz val="10"/>
        <color rgb="FF000000"/>
        <rFont val="Times New Roman"/>
        <family val="1"/>
      </rPr>
      <t>y</t>
    </r>
    <r>
      <rPr>
        <sz val="10"/>
        <color rgb="FF000000"/>
        <rFont val="Times New Roman"/>
        <family val="1"/>
      </rPr>
      <t xml:space="preserve"> </t>
    </r>
    <r>
      <rPr>
        <sz val="10"/>
        <color rgb="FF000000"/>
        <rFont val="Times New Roman"/>
        <family val="1"/>
      </rPr>
      <t>P</t>
    </r>
    <r>
      <rPr>
        <sz val="10"/>
        <color rgb="FF000000"/>
        <rFont val="Times New Roman"/>
        <family val="1"/>
      </rPr>
      <t>l</t>
    </r>
    <r>
      <rPr>
        <sz val="10"/>
        <color rgb="FF000000"/>
        <rFont val="Times New Roman"/>
        <family val="1"/>
      </rPr>
      <t>a</t>
    </r>
    <r>
      <rPr>
        <sz val="10"/>
        <color rgb="FF000000"/>
        <rFont val="Times New Roman"/>
        <family val="1"/>
      </rPr>
      <t>n</t>
    </r>
    <r>
      <rPr>
        <sz val="10"/>
        <color rgb="FF000000"/>
        <rFont val="Times New Roman"/>
        <family val="1"/>
      </rPr>
      <t xml:space="preserve"> </t>
    </r>
    <r>
      <rPr>
        <sz val="10"/>
        <color rgb="FF000000"/>
        <rFont val="Times New Roman"/>
        <family val="1"/>
      </rPr>
      <t>(</t>
    </r>
    <r>
      <rPr>
        <sz val="10"/>
        <color rgb="FF000000"/>
        <rFont val="Times New Roman"/>
        <family val="1"/>
      </rPr>
      <t>B</t>
    </r>
    <r>
      <rPr>
        <sz val="10"/>
        <color rgb="FF000000"/>
        <rFont val="Times New Roman"/>
        <family val="1"/>
      </rPr>
      <t>C</t>
    </r>
    <r>
      <rPr>
        <sz val="10"/>
        <color rgb="FF000000"/>
        <rFont val="Times New Roman"/>
        <family val="1"/>
      </rPr>
      <t>P</t>
    </r>
    <r>
      <rPr>
        <sz val="10"/>
        <color rgb="FF000000"/>
        <rFont val="Times New Roman"/>
        <family val="1"/>
      </rPr>
      <t>)</t>
    </r>
    <r>
      <rPr>
        <sz val="10"/>
        <color rgb="FF000000"/>
        <rFont val="Times New Roman"/>
        <family val="1"/>
      </rPr>
      <t xml:space="preserve"> </t>
    </r>
    <r>
      <rPr>
        <sz val="10"/>
        <color rgb="FF000000"/>
        <rFont val="Times New Roman"/>
        <family val="1"/>
      </rPr>
      <t>-</t>
    </r>
    <r>
      <rPr>
        <sz val="10"/>
        <color rgb="FF000000"/>
        <rFont val="Times New Roman"/>
        <family val="1"/>
      </rPr>
      <t>-</t>
    </r>
    <r>
      <rPr>
        <sz val="10"/>
        <color rgb="FF000000"/>
        <rFont val="Times New Roman"/>
        <family val="1"/>
      </rPr>
      <t>5</t>
    </r>
    <r>
      <rPr>
        <sz val="10"/>
        <color rgb="FF000000"/>
        <rFont val="Times New Roman"/>
        <family val="1"/>
      </rPr>
      <t xml:space="preserve"> </t>
    </r>
    <r>
      <rPr>
        <sz val="10"/>
        <color rgb="FF000000"/>
        <rFont val="Times New Roman"/>
        <family val="1"/>
      </rPr>
      <t>M</t>
    </r>
    <r>
      <rPr>
        <sz val="10"/>
        <color rgb="FF000000"/>
        <rFont val="Times New Roman"/>
        <family val="1"/>
      </rPr>
      <t>a</t>
    </r>
    <r>
      <rPr>
        <sz val="10"/>
        <color rgb="FF000000"/>
        <rFont val="Times New Roman"/>
        <family val="1"/>
      </rPr>
      <t>r</t>
    </r>
    <r>
      <rPr>
        <sz val="10"/>
        <color rgb="FF000000"/>
        <rFont val="Times New Roman"/>
        <family val="1"/>
      </rPr>
      <t>k</t>
    </r>
    <r>
      <rPr>
        <sz val="10"/>
        <color rgb="FF000000"/>
        <rFont val="Times New Roman"/>
        <family val="1"/>
      </rPr>
      <t>s</t>
    </r>
  </si>
  <si>
    <r>
      <rPr>
        <sz val="10"/>
        <color rgb="FF000000"/>
        <rFont val="Times New Roman"/>
        <family val="1"/>
      </rPr>
      <t>c</t>
    </r>
    <r>
      <rPr>
        <sz val="10"/>
        <color rgb="FF000000"/>
        <rFont val="Times New Roman"/>
        <family val="1"/>
      </rPr>
      <t>)</t>
    </r>
    <r>
      <rPr>
        <sz val="10"/>
        <color rgb="FF000000"/>
        <rFont val="Times New Roman"/>
        <family val="1"/>
      </rPr>
      <t xml:space="preserve">    </t>
    </r>
    <r>
      <rPr>
        <sz val="10"/>
        <color rgb="FF000000"/>
        <rFont val="Times New Roman"/>
        <family val="1"/>
      </rPr>
      <t xml:space="preserve"> </t>
    </r>
    <r>
      <rPr>
        <sz val="10"/>
        <color rgb="FF000000"/>
        <rFont val="Times New Roman"/>
        <family val="1"/>
      </rPr>
      <t>S</t>
    </r>
    <r>
      <rPr>
        <sz val="10"/>
        <color rgb="FF000000"/>
        <rFont val="Times New Roman"/>
        <family val="1"/>
      </rPr>
      <t>e</t>
    </r>
    <r>
      <rPr>
        <sz val="10"/>
        <color rgb="FF000000"/>
        <rFont val="Times New Roman"/>
        <family val="1"/>
      </rPr>
      <t>c</t>
    </r>
    <r>
      <rPr>
        <sz val="10"/>
        <color rgb="FF000000"/>
        <rFont val="Times New Roman"/>
        <family val="1"/>
      </rPr>
      <t>u</t>
    </r>
    <r>
      <rPr>
        <sz val="10"/>
        <color rgb="FF000000"/>
        <rFont val="Times New Roman"/>
        <family val="1"/>
      </rPr>
      <t>r</t>
    </r>
    <r>
      <rPr>
        <sz val="10"/>
        <color rgb="FF000000"/>
        <rFont val="Times New Roman"/>
        <family val="1"/>
      </rPr>
      <t>i</t>
    </r>
    <r>
      <rPr>
        <sz val="10"/>
        <color rgb="FF000000"/>
        <rFont val="Times New Roman"/>
        <family val="1"/>
      </rPr>
      <t>t</t>
    </r>
    <r>
      <rPr>
        <sz val="10"/>
        <color rgb="FF000000"/>
        <rFont val="Times New Roman"/>
        <family val="1"/>
      </rPr>
      <t>y</t>
    </r>
    <r>
      <rPr>
        <sz val="10"/>
        <color rgb="FF000000"/>
        <rFont val="Times New Roman"/>
        <family val="1"/>
      </rPr>
      <t xml:space="preserve">    </t>
    </r>
    <r>
      <rPr>
        <sz val="10"/>
        <color rgb="FF000000"/>
        <rFont val="Times New Roman"/>
        <family val="1"/>
      </rPr>
      <t xml:space="preserve"> </t>
    </r>
    <r>
      <rPr>
        <sz val="10"/>
        <color rgb="FF000000"/>
        <rFont val="Times New Roman"/>
        <family val="1"/>
      </rPr>
      <t>A</t>
    </r>
    <r>
      <rPr>
        <sz val="10"/>
        <color rgb="FF000000"/>
        <rFont val="Times New Roman"/>
        <family val="1"/>
      </rPr>
      <t>r</t>
    </r>
    <r>
      <rPr>
        <sz val="10"/>
        <color rgb="FF000000"/>
        <rFont val="Times New Roman"/>
        <family val="1"/>
      </rPr>
      <t>c</t>
    </r>
    <r>
      <rPr>
        <sz val="10"/>
        <color rgb="FF000000"/>
        <rFont val="Times New Roman"/>
        <family val="1"/>
      </rPr>
      <t>h</t>
    </r>
    <r>
      <rPr>
        <sz val="10"/>
        <color rgb="FF000000"/>
        <rFont val="Times New Roman"/>
        <family val="1"/>
      </rPr>
      <t>i</t>
    </r>
    <r>
      <rPr>
        <sz val="10"/>
        <color rgb="FF000000"/>
        <rFont val="Times New Roman"/>
        <family val="1"/>
      </rPr>
      <t>t</t>
    </r>
    <r>
      <rPr>
        <sz val="10"/>
        <color rgb="FF000000"/>
        <rFont val="Times New Roman"/>
        <family val="1"/>
      </rPr>
      <t>e</t>
    </r>
    <r>
      <rPr>
        <sz val="10"/>
        <color rgb="FF000000"/>
        <rFont val="Times New Roman"/>
        <family val="1"/>
      </rPr>
      <t>c</t>
    </r>
    <r>
      <rPr>
        <sz val="10"/>
        <color rgb="FF000000"/>
        <rFont val="Times New Roman"/>
        <family val="1"/>
      </rPr>
      <t>t</t>
    </r>
    <r>
      <rPr>
        <sz val="10"/>
        <color rgb="FF000000"/>
        <rFont val="Times New Roman"/>
        <family val="1"/>
      </rPr>
      <t>u</t>
    </r>
    <r>
      <rPr>
        <sz val="10"/>
        <color rgb="FF000000"/>
        <rFont val="Times New Roman"/>
        <family val="1"/>
      </rPr>
      <t>r</t>
    </r>
    <r>
      <rPr>
        <sz val="10"/>
        <color rgb="FF000000"/>
        <rFont val="Times New Roman"/>
        <family val="1"/>
      </rPr>
      <t>e</t>
    </r>
    <r>
      <rPr>
        <sz val="10"/>
        <color rgb="FF000000"/>
        <rFont val="Times New Roman"/>
        <family val="1"/>
      </rPr>
      <t xml:space="preserve">    </t>
    </r>
    <r>
      <rPr>
        <sz val="10"/>
        <color rgb="FF000000"/>
        <rFont val="Times New Roman"/>
        <family val="1"/>
      </rPr>
      <t xml:space="preserve"> </t>
    </r>
    <r>
      <rPr>
        <sz val="10"/>
        <color rgb="FF000000"/>
        <rFont val="Times New Roman"/>
        <family val="1"/>
      </rPr>
      <t>a</t>
    </r>
    <r>
      <rPr>
        <sz val="10"/>
        <color rgb="FF000000"/>
        <rFont val="Times New Roman"/>
        <family val="1"/>
      </rPr>
      <t>n</t>
    </r>
    <r>
      <rPr>
        <sz val="10"/>
        <color rgb="FF000000"/>
        <rFont val="Times New Roman"/>
        <family val="1"/>
      </rPr>
      <t>d</t>
    </r>
    <r>
      <rPr>
        <sz val="10"/>
        <color rgb="FF000000"/>
        <rFont val="Times New Roman"/>
        <family val="1"/>
      </rPr>
      <t xml:space="preserve">    </t>
    </r>
    <r>
      <rPr>
        <sz val="10"/>
        <color rgb="FF000000"/>
        <rFont val="Times New Roman"/>
        <family val="1"/>
      </rPr>
      <t xml:space="preserve"> </t>
    </r>
    <r>
      <rPr>
        <sz val="10"/>
        <color rgb="FF000000"/>
        <rFont val="Times New Roman"/>
        <family val="1"/>
      </rPr>
      <t>D</t>
    </r>
    <r>
      <rPr>
        <sz val="10"/>
        <color rgb="FF000000"/>
        <rFont val="Times New Roman"/>
        <family val="1"/>
      </rPr>
      <t>a</t>
    </r>
    <r>
      <rPr>
        <sz val="10"/>
        <color rgb="FF000000"/>
        <rFont val="Times New Roman"/>
        <family val="1"/>
      </rPr>
      <t>t</t>
    </r>
    <r>
      <rPr>
        <sz val="10"/>
        <color rgb="FF000000"/>
        <rFont val="Times New Roman"/>
        <family val="1"/>
      </rPr>
      <t xml:space="preserve">a
</t>
    </r>
    <r>
      <rPr>
        <sz val="10"/>
        <color rgb="FF000000"/>
        <rFont val="Times New Roman"/>
        <family val="1"/>
      </rPr>
      <t>P</t>
    </r>
    <r>
      <rPr>
        <sz val="10"/>
        <color rgb="FF000000"/>
        <rFont val="Times New Roman"/>
        <family val="1"/>
      </rPr>
      <t>r</t>
    </r>
    <r>
      <rPr>
        <sz val="10"/>
        <color rgb="FF000000"/>
        <rFont val="Times New Roman"/>
        <family val="1"/>
      </rPr>
      <t>o</t>
    </r>
    <r>
      <rPr>
        <sz val="10"/>
        <color rgb="FF000000"/>
        <rFont val="Times New Roman"/>
        <family val="1"/>
      </rPr>
      <t>t</t>
    </r>
    <r>
      <rPr>
        <sz val="10"/>
        <color rgb="FF000000"/>
        <rFont val="Times New Roman"/>
        <family val="1"/>
      </rPr>
      <t>e</t>
    </r>
    <r>
      <rPr>
        <sz val="10"/>
        <color rgb="FF000000"/>
        <rFont val="Times New Roman"/>
        <family val="1"/>
      </rPr>
      <t>c</t>
    </r>
    <r>
      <rPr>
        <sz val="10"/>
        <color rgb="FF000000"/>
        <rFont val="Times New Roman"/>
        <family val="1"/>
      </rPr>
      <t>t</t>
    </r>
    <r>
      <rPr>
        <sz val="10"/>
        <color rgb="FF000000"/>
        <rFont val="Times New Roman"/>
        <family val="1"/>
      </rPr>
      <t>i</t>
    </r>
    <r>
      <rPr>
        <sz val="10"/>
        <color rgb="FF000000"/>
        <rFont val="Times New Roman"/>
        <family val="1"/>
      </rPr>
      <t>o</t>
    </r>
    <r>
      <rPr>
        <sz val="10"/>
        <color rgb="FF000000"/>
        <rFont val="Times New Roman"/>
        <family val="1"/>
      </rPr>
      <t>n</t>
    </r>
    <r>
      <rPr>
        <sz val="10"/>
        <color rgb="FF000000"/>
        <rFont val="Times New Roman"/>
        <family val="1"/>
      </rPr>
      <t>--</t>
    </r>
    <r>
      <rPr>
        <sz val="10"/>
        <color rgb="FF000000"/>
        <rFont val="Times New Roman"/>
        <family val="1"/>
      </rPr>
      <t>5</t>
    </r>
    <r>
      <rPr>
        <sz val="10"/>
        <color rgb="FF000000"/>
        <rFont val="Times New Roman"/>
        <family val="1"/>
      </rPr>
      <t xml:space="preserve"> </t>
    </r>
    <r>
      <rPr>
        <sz val="10"/>
        <color rgb="FF000000"/>
        <rFont val="Times New Roman"/>
        <family val="1"/>
      </rPr>
      <t>M</t>
    </r>
    <r>
      <rPr>
        <sz val="10"/>
        <color rgb="FF000000"/>
        <rFont val="Times New Roman"/>
        <family val="1"/>
      </rPr>
      <t>a</t>
    </r>
    <r>
      <rPr>
        <sz val="10"/>
        <color rgb="FF000000"/>
        <rFont val="Times New Roman"/>
        <family val="1"/>
      </rPr>
      <t>r</t>
    </r>
    <r>
      <rPr>
        <sz val="10"/>
        <color rgb="FF000000"/>
        <rFont val="Times New Roman"/>
        <family val="1"/>
      </rPr>
      <t>k</t>
    </r>
    <r>
      <rPr>
        <sz val="10"/>
        <color rgb="FF000000"/>
        <rFont val="Times New Roman"/>
        <family val="1"/>
      </rPr>
      <t>s</t>
    </r>
  </si>
  <si>
    <r>
      <rPr>
        <sz val="10"/>
        <color rgb="FF000000"/>
        <rFont val="Times New Roman"/>
        <family val="1"/>
      </rPr>
      <t>d</t>
    </r>
    <r>
      <rPr>
        <sz val="10"/>
        <color rgb="FF000000"/>
        <rFont val="Times New Roman"/>
        <family val="1"/>
      </rPr>
      <t>)</t>
    </r>
    <r>
      <rPr>
        <sz val="10"/>
        <color rgb="FF000000"/>
        <rFont val="Times New Roman"/>
        <family val="1"/>
      </rPr>
      <t xml:space="preserve"> </t>
    </r>
    <r>
      <rPr>
        <sz val="10"/>
        <color rgb="FF000000"/>
        <rFont val="Times New Roman"/>
        <family val="1"/>
      </rPr>
      <t>T</t>
    </r>
    <r>
      <rPr>
        <sz val="10"/>
        <color rgb="FF000000"/>
        <rFont val="Times New Roman"/>
        <family val="1"/>
      </rPr>
      <t>r</t>
    </r>
    <r>
      <rPr>
        <sz val="10"/>
        <color rgb="FF000000"/>
        <rFont val="Times New Roman"/>
        <family val="1"/>
      </rPr>
      <t>a</t>
    </r>
    <r>
      <rPr>
        <sz val="10"/>
        <color rgb="FF000000"/>
        <rFont val="Times New Roman"/>
        <family val="1"/>
      </rPr>
      <t>i</t>
    </r>
    <r>
      <rPr>
        <sz val="10"/>
        <color rgb="FF000000"/>
        <rFont val="Times New Roman"/>
        <family val="1"/>
      </rPr>
      <t>n</t>
    </r>
    <r>
      <rPr>
        <sz val="10"/>
        <color rgb="FF000000"/>
        <rFont val="Times New Roman"/>
        <family val="1"/>
      </rPr>
      <t>i</t>
    </r>
    <r>
      <rPr>
        <sz val="10"/>
        <color rgb="FF000000"/>
        <rFont val="Times New Roman"/>
        <family val="1"/>
      </rPr>
      <t>n</t>
    </r>
    <r>
      <rPr>
        <sz val="10"/>
        <color rgb="FF000000"/>
        <rFont val="Times New Roman"/>
        <family val="1"/>
      </rPr>
      <t>g</t>
    </r>
    <r>
      <rPr>
        <sz val="10"/>
        <color rgb="FF000000"/>
        <rFont val="Times New Roman"/>
        <family val="1"/>
      </rPr>
      <t xml:space="preserve"> </t>
    </r>
    <r>
      <rPr>
        <sz val="10"/>
        <color rgb="FF000000"/>
        <rFont val="Times New Roman"/>
        <family val="1"/>
      </rPr>
      <t>a</t>
    </r>
    <r>
      <rPr>
        <sz val="10"/>
        <color rgb="FF000000"/>
        <rFont val="Times New Roman"/>
        <family val="1"/>
      </rPr>
      <t>n</t>
    </r>
    <r>
      <rPr>
        <sz val="10"/>
        <color rgb="FF000000"/>
        <rFont val="Times New Roman"/>
        <family val="1"/>
      </rPr>
      <t>d</t>
    </r>
    <r>
      <rPr>
        <sz val="10"/>
        <color rgb="FF000000"/>
        <rFont val="Times New Roman"/>
        <family val="1"/>
      </rPr>
      <t xml:space="preserve"> </t>
    </r>
    <r>
      <rPr>
        <sz val="10"/>
        <color rgb="FF000000"/>
        <rFont val="Times New Roman"/>
        <family val="1"/>
      </rPr>
      <t>K</t>
    </r>
    <r>
      <rPr>
        <sz val="10"/>
        <color rgb="FF000000"/>
        <rFont val="Times New Roman"/>
        <family val="1"/>
      </rPr>
      <t>n</t>
    </r>
    <r>
      <rPr>
        <sz val="10"/>
        <color rgb="FF000000"/>
        <rFont val="Times New Roman"/>
        <family val="1"/>
      </rPr>
      <t>o</t>
    </r>
    <r>
      <rPr>
        <sz val="10"/>
        <color rgb="FF000000"/>
        <rFont val="Times New Roman"/>
        <family val="1"/>
      </rPr>
      <t>w</t>
    </r>
    <r>
      <rPr>
        <sz val="10"/>
        <color rgb="FF000000"/>
        <rFont val="Times New Roman"/>
        <family val="1"/>
      </rPr>
      <t>l</t>
    </r>
    <r>
      <rPr>
        <sz val="10"/>
        <color rgb="FF000000"/>
        <rFont val="Times New Roman"/>
        <family val="1"/>
      </rPr>
      <t>e</t>
    </r>
    <r>
      <rPr>
        <sz val="10"/>
        <color rgb="FF000000"/>
        <rFont val="Times New Roman"/>
        <family val="1"/>
      </rPr>
      <t>d</t>
    </r>
    <r>
      <rPr>
        <sz val="10"/>
        <color rgb="FF000000"/>
        <rFont val="Times New Roman"/>
        <family val="1"/>
      </rPr>
      <t>g</t>
    </r>
    <r>
      <rPr>
        <sz val="10"/>
        <color rgb="FF000000"/>
        <rFont val="Times New Roman"/>
        <family val="1"/>
      </rPr>
      <t>e</t>
    </r>
    <r>
      <rPr>
        <sz val="10"/>
        <color rgb="FF000000"/>
        <rFont val="Times New Roman"/>
        <family val="1"/>
      </rPr>
      <t xml:space="preserve"> </t>
    </r>
    <r>
      <rPr>
        <sz val="10"/>
        <color rgb="FF000000"/>
        <rFont val="Times New Roman"/>
        <family val="1"/>
      </rPr>
      <t>T</t>
    </r>
    <r>
      <rPr>
        <sz val="10"/>
        <color rgb="FF000000"/>
        <rFont val="Times New Roman"/>
        <family val="1"/>
      </rPr>
      <t>r</t>
    </r>
    <r>
      <rPr>
        <sz val="10"/>
        <color rgb="FF000000"/>
        <rFont val="Times New Roman"/>
        <family val="1"/>
      </rPr>
      <t>a</t>
    </r>
    <r>
      <rPr>
        <sz val="10"/>
        <color rgb="FF000000"/>
        <rFont val="Times New Roman"/>
        <family val="1"/>
      </rPr>
      <t>n</t>
    </r>
    <r>
      <rPr>
        <sz val="10"/>
        <color rgb="FF000000"/>
        <rFont val="Times New Roman"/>
        <family val="1"/>
      </rPr>
      <t>s</t>
    </r>
    <r>
      <rPr>
        <sz val="10"/>
        <color rgb="FF000000"/>
        <rFont val="Times New Roman"/>
        <family val="1"/>
      </rPr>
      <t>f</t>
    </r>
    <r>
      <rPr>
        <sz val="10"/>
        <color rgb="FF000000"/>
        <rFont val="Times New Roman"/>
        <family val="1"/>
      </rPr>
      <t>e</t>
    </r>
    <r>
      <rPr>
        <sz val="10"/>
        <color rgb="FF000000"/>
        <rFont val="Times New Roman"/>
        <family val="1"/>
      </rPr>
      <t>r</t>
    </r>
    <r>
      <rPr>
        <sz val="10"/>
        <color rgb="FF000000"/>
        <rFont val="Times New Roman"/>
        <family val="1"/>
      </rPr>
      <t xml:space="preserve"> </t>
    </r>
    <r>
      <rPr>
        <sz val="10"/>
        <color rgb="FF000000"/>
        <rFont val="Times New Roman"/>
        <family val="1"/>
      </rPr>
      <t>P</t>
    </r>
    <r>
      <rPr>
        <sz val="10"/>
        <color rgb="FF000000"/>
        <rFont val="Times New Roman"/>
        <family val="1"/>
      </rPr>
      <t>l</t>
    </r>
    <r>
      <rPr>
        <sz val="10"/>
        <color rgb="FF000000"/>
        <rFont val="Times New Roman"/>
        <family val="1"/>
      </rPr>
      <t>a</t>
    </r>
    <r>
      <rPr>
        <sz val="10"/>
        <color rgb="FF000000"/>
        <rFont val="Times New Roman"/>
        <family val="1"/>
      </rPr>
      <t>n</t>
    </r>
    <r>
      <rPr>
        <sz val="10"/>
        <color rgb="FF000000"/>
        <rFont val="Times New Roman"/>
        <family val="1"/>
      </rPr>
      <t>-</t>
    </r>
    <r>
      <rPr>
        <sz val="10"/>
        <color rgb="FF000000"/>
        <rFont val="Times New Roman"/>
        <family val="1"/>
      </rPr>
      <t>-</t>
    </r>
    <r>
      <rPr>
        <sz val="10"/>
        <color rgb="FF000000"/>
        <rFont val="Times New Roman"/>
        <family val="1"/>
      </rPr>
      <t xml:space="preserve">5
</t>
    </r>
    <r>
      <rPr>
        <sz val="10"/>
        <color rgb="FF000000"/>
        <rFont val="Times New Roman"/>
        <family val="1"/>
      </rPr>
      <t>M</t>
    </r>
    <r>
      <rPr>
        <sz val="10"/>
        <color rgb="FF000000"/>
        <rFont val="Times New Roman"/>
        <family val="1"/>
      </rPr>
      <t>a</t>
    </r>
    <r>
      <rPr>
        <sz val="10"/>
        <color rgb="FF000000"/>
        <rFont val="Times New Roman"/>
        <family val="1"/>
      </rPr>
      <t>r</t>
    </r>
    <r>
      <rPr>
        <sz val="10"/>
        <color rgb="FF000000"/>
        <rFont val="Times New Roman"/>
        <family val="1"/>
      </rPr>
      <t>k</t>
    </r>
    <r>
      <rPr>
        <sz val="10"/>
        <color rgb="FF000000"/>
        <rFont val="Times New Roman"/>
        <family val="1"/>
      </rPr>
      <t>s</t>
    </r>
  </si>
  <si>
    <r>
      <rPr>
        <sz val="10"/>
        <color rgb="FF000000"/>
        <rFont val="Times New Roman"/>
        <family val="1"/>
      </rPr>
      <t>e</t>
    </r>
    <r>
      <rPr>
        <sz val="10"/>
        <color rgb="FF000000"/>
        <rFont val="Times New Roman"/>
        <family val="1"/>
      </rPr>
      <t>)</t>
    </r>
    <r>
      <rPr>
        <sz val="10"/>
        <color rgb="FF000000"/>
        <rFont val="Times New Roman"/>
        <family val="1"/>
      </rPr>
      <t xml:space="preserve"> </t>
    </r>
    <r>
      <rPr>
        <sz val="10"/>
        <color rgb="FF000000"/>
        <rFont val="Times New Roman"/>
        <family val="1"/>
      </rPr>
      <t>I</t>
    </r>
    <r>
      <rPr>
        <sz val="10"/>
        <color rgb="FF000000"/>
        <rFont val="Times New Roman"/>
        <family val="1"/>
      </rPr>
      <t>n</t>
    </r>
    <r>
      <rPr>
        <sz val="10"/>
        <color rgb="FF000000"/>
        <rFont val="Times New Roman"/>
        <family val="1"/>
      </rPr>
      <t>t</t>
    </r>
    <r>
      <rPr>
        <sz val="10"/>
        <color rgb="FF000000"/>
        <rFont val="Times New Roman"/>
        <family val="1"/>
      </rPr>
      <t>e</t>
    </r>
    <r>
      <rPr>
        <sz val="10"/>
        <color rgb="FF000000"/>
        <rFont val="Times New Roman"/>
        <family val="1"/>
      </rPr>
      <t>g</t>
    </r>
    <r>
      <rPr>
        <sz val="10"/>
        <color rgb="FF000000"/>
        <rFont val="Times New Roman"/>
        <family val="1"/>
      </rPr>
      <t>r</t>
    </r>
    <r>
      <rPr>
        <sz val="10"/>
        <color rgb="FF000000"/>
        <rFont val="Times New Roman"/>
        <family val="1"/>
      </rPr>
      <t>a</t>
    </r>
    <r>
      <rPr>
        <sz val="10"/>
        <color rgb="FF000000"/>
        <rFont val="Times New Roman"/>
        <family val="1"/>
      </rPr>
      <t>t</t>
    </r>
    <r>
      <rPr>
        <sz val="10"/>
        <color rgb="FF000000"/>
        <rFont val="Times New Roman"/>
        <family val="1"/>
      </rPr>
      <t>i</t>
    </r>
    <r>
      <rPr>
        <sz val="10"/>
        <color rgb="FF000000"/>
        <rFont val="Times New Roman"/>
        <family val="1"/>
      </rPr>
      <t>o</t>
    </r>
    <r>
      <rPr>
        <sz val="10"/>
        <color rgb="FF000000"/>
        <rFont val="Times New Roman"/>
        <family val="1"/>
      </rPr>
      <t>n</t>
    </r>
    <r>
      <rPr>
        <sz val="10"/>
        <color rgb="FF000000"/>
        <rFont val="Times New Roman"/>
        <family val="1"/>
      </rPr>
      <t xml:space="preserve"> </t>
    </r>
    <r>
      <rPr>
        <sz val="10"/>
        <color rgb="FF000000"/>
        <rFont val="Times New Roman"/>
        <family val="1"/>
      </rPr>
      <t xml:space="preserve"> </t>
    </r>
    <r>
      <rPr>
        <sz val="10"/>
        <color rgb="FF000000"/>
        <rFont val="Times New Roman"/>
        <family val="1"/>
      </rPr>
      <t>a</t>
    </r>
    <r>
      <rPr>
        <sz val="10"/>
        <color rgb="FF000000"/>
        <rFont val="Times New Roman"/>
        <family val="1"/>
      </rPr>
      <t>nd</t>
    </r>
    <r>
      <rPr>
        <sz val="10"/>
        <color rgb="FF000000"/>
        <rFont val="Times New Roman"/>
        <family val="1"/>
      </rPr>
      <t xml:space="preserve"> </t>
    </r>
    <r>
      <rPr>
        <sz val="10"/>
        <color rgb="FF000000"/>
        <rFont val="Times New Roman"/>
        <family val="1"/>
      </rPr>
      <t>I</t>
    </r>
    <r>
      <rPr>
        <sz val="10"/>
        <color rgb="FF000000"/>
        <rFont val="Times New Roman"/>
        <family val="1"/>
      </rPr>
      <t>n</t>
    </r>
    <r>
      <rPr>
        <sz val="10"/>
        <color rgb="FF000000"/>
        <rFont val="Times New Roman"/>
        <family val="1"/>
      </rPr>
      <t>t</t>
    </r>
    <r>
      <rPr>
        <sz val="10"/>
        <color rgb="FF000000"/>
        <rFont val="Times New Roman"/>
        <family val="1"/>
      </rPr>
      <t>e</t>
    </r>
    <r>
      <rPr>
        <sz val="10"/>
        <color rgb="FF000000"/>
        <rFont val="Times New Roman"/>
        <family val="1"/>
      </rPr>
      <t>r</t>
    </r>
    <r>
      <rPr>
        <sz val="10"/>
        <color rgb="FF000000"/>
        <rFont val="Times New Roman"/>
        <family val="1"/>
      </rPr>
      <t>o</t>
    </r>
    <r>
      <rPr>
        <sz val="10"/>
        <color rgb="FF000000"/>
        <rFont val="Times New Roman"/>
        <family val="1"/>
      </rPr>
      <t>p</t>
    </r>
    <r>
      <rPr>
        <sz val="10"/>
        <color rgb="FF000000"/>
        <rFont val="Times New Roman"/>
        <family val="1"/>
      </rPr>
      <t>e</t>
    </r>
    <r>
      <rPr>
        <sz val="10"/>
        <color rgb="FF000000"/>
        <rFont val="Times New Roman"/>
        <family val="1"/>
      </rPr>
      <t>r</t>
    </r>
    <r>
      <rPr>
        <sz val="10"/>
        <color rgb="FF000000"/>
        <rFont val="Times New Roman"/>
        <family val="1"/>
      </rPr>
      <t>a</t>
    </r>
    <r>
      <rPr>
        <sz val="10"/>
        <color rgb="FF000000"/>
        <rFont val="Times New Roman"/>
        <family val="1"/>
      </rPr>
      <t>b</t>
    </r>
    <r>
      <rPr>
        <sz val="10"/>
        <color rgb="FF000000"/>
        <rFont val="Times New Roman"/>
        <family val="1"/>
      </rPr>
      <t>i</t>
    </r>
    <r>
      <rPr>
        <sz val="10"/>
        <color rgb="FF000000"/>
        <rFont val="Times New Roman"/>
        <family val="1"/>
      </rPr>
      <t>l</t>
    </r>
    <r>
      <rPr>
        <sz val="10"/>
        <color rgb="FF000000"/>
        <rFont val="Times New Roman"/>
        <family val="1"/>
      </rPr>
      <t>i</t>
    </r>
    <r>
      <rPr>
        <sz val="10"/>
        <color rgb="FF000000"/>
        <rFont val="Times New Roman"/>
        <family val="1"/>
      </rPr>
      <t>t</t>
    </r>
    <r>
      <rPr>
        <sz val="10"/>
        <color rgb="FF000000"/>
        <rFont val="Times New Roman"/>
        <family val="1"/>
      </rPr>
      <t>y</t>
    </r>
    <r>
      <rPr>
        <sz val="10"/>
        <color rgb="FF000000"/>
        <rFont val="Times New Roman"/>
        <family val="1"/>
      </rPr>
      <t xml:space="preserve"> </t>
    </r>
    <r>
      <rPr>
        <sz val="10"/>
        <color rgb="FF000000"/>
        <rFont val="Times New Roman"/>
        <family val="1"/>
      </rPr>
      <t>P</t>
    </r>
    <r>
      <rPr>
        <sz val="10"/>
        <color rgb="FF000000"/>
        <rFont val="Times New Roman"/>
        <family val="1"/>
      </rPr>
      <t>l</t>
    </r>
    <r>
      <rPr>
        <sz val="10"/>
        <color rgb="FF000000"/>
        <rFont val="Times New Roman"/>
        <family val="1"/>
      </rPr>
      <t>a</t>
    </r>
    <r>
      <rPr>
        <sz val="10"/>
        <color rgb="FF000000"/>
        <rFont val="Times New Roman"/>
        <family val="1"/>
      </rPr>
      <t>n</t>
    </r>
    <r>
      <rPr>
        <sz val="10"/>
        <color rgb="FF000000"/>
        <rFont val="Times New Roman"/>
        <family val="1"/>
      </rPr>
      <t>-</t>
    </r>
    <r>
      <rPr>
        <sz val="10"/>
        <color rgb="FF000000"/>
        <rFont val="Times New Roman"/>
        <family val="1"/>
      </rPr>
      <t>-</t>
    </r>
    <r>
      <rPr>
        <sz val="10"/>
        <color rgb="FF000000"/>
        <rFont val="Times New Roman"/>
        <family val="1"/>
      </rPr>
      <t xml:space="preserve">5
</t>
    </r>
    <r>
      <rPr>
        <sz val="10"/>
        <color rgb="FF000000"/>
        <rFont val="Times New Roman"/>
        <family val="1"/>
      </rPr>
      <t>M</t>
    </r>
    <r>
      <rPr>
        <sz val="10"/>
        <color rgb="FF000000"/>
        <rFont val="Times New Roman"/>
        <family val="1"/>
      </rPr>
      <t>a</t>
    </r>
    <r>
      <rPr>
        <sz val="10"/>
        <color rgb="FF000000"/>
        <rFont val="Times New Roman"/>
        <family val="1"/>
      </rPr>
      <t>r</t>
    </r>
    <r>
      <rPr>
        <sz val="10"/>
        <color rgb="FF000000"/>
        <rFont val="Times New Roman"/>
        <family val="1"/>
      </rPr>
      <t>k</t>
    </r>
    <r>
      <rPr>
        <sz val="10"/>
        <color rgb="FF000000"/>
        <rFont val="Times New Roman"/>
        <family val="1"/>
      </rPr>
      <t>s</t>
    </r>
  </si>
  <si>
    <r>
      <rPr>
        <sz val="10"/>
        <color rgb="FF000000"/>
        <rFont val="Times New Roman"/>
        <family val="1"/>
      </rPr>
      <t>f</t>
    </r>
    <r>
      <rPr>
        <sz val="10"/>
        <color rgb="FF000000"/>
        <rFont val="Times New Roman"/>
        <family val="1"/>
      </rPr>
      <t>)</t>
    </r>
    <r>
      <rPr>
        <sz val="10"/>
        <color rgb="FF000000"/>
        <rFont val="Times New Roman"/>
        <family val="1"/>
      </rPr>
      <t xml:space="preserve"> </t>
    </r>
    <r>
      <rPr>
        <sz val="10"/>
        <color rgb="FF000000"/>
        <rFont val="Times New Roman"/>
        <family val="1"/>
      </rPr>
      <t>S</t>
    </r>
    <r>
      <rPr>
        <sz val="10"/>
        <color rgb="FF000000"/>
        <rFont val="Times New Roman"/>
        <family val="1"/>
      </rPr>
      <t>c</t>
    </r>
    <r>
      <rPr>
        <sz val="10"/>
        <color rgb="FF000000"/>
        <rFont val="Times New Roman"/>
        <family val="1"/>
      </rPr>
      <t>a</t>
    </r>
    <r>
      <rPr>
        <sz val="10"/>
        <color rgb="FF000000"/>
        <rFont val="Times New Roman"/>
        <family val="1"/>
      </rPr>
      <t>l</t>
    </r>
    <r>
      <rPr>
        <sz val="10"/>
        <color rgb="FF000000"/>
        <rFont val="Times New Roman"/>
        <family val="1"/>
      </rPr>
      <t>a</t>
    </r>
    <r>
      <rPr>
        <sz val="10"/>
        <color rgb="FF000000"/>
        <rFont val="Times New Roman"/>
        <family val="1"/>
      </rPr>
      <t>b</t>
    </r>
    <r>
      <rPr>
        <sz val="10"/>
        <color rgb="FF000000"/>
        <rFont val="Times New Roman"/>
        <family val="1"/>
      </rPr>
      <t>i</t>
    </r>
    <r>
      <rPr>
        <sz val="10"/>
        <color rgb="FF000000"/>
        <rFont val="Times New Roman"/>
        <family val="1"/>
      </rPr>
      <t>l</t>
    </r>
    <r>
      <rPr>
        <sz val="10"/>
        <color rgb="FF000000"/>
        <rFont val="Times New Roman"/>
        <family val="1"/>
      </rPr>
      <t>i</t>
    </r>
    <r>
      <rPr>
        <sz val="10"/>
        <color rgb="FF000000"/>
        <rFont val="Times New Roman"/>
        <family val="1"/>
      </rPr>
      <t>t</t>
    </r>
    <r>
      <rPr>
        <sz val="10"/>
        <color rgb="FF000000"/>
        <rFont val="Times New Roman"/>
        <family val="1"/>
      </rPr>
      <t>y</t>
    </r>
    <r>
      <rPr>
        <sz val="10"/>
        <color rgb="FF000000"/>
        <rFont val="Times New Roman"/>
        <family val="1"/>
      </rPr>
      <t xml:space="preserve"> </t>
    </r>
    <r>
      <rPr>
        <sz val="10"/>
        <color rgb="FF000000"/>
        <rFont val="Times New Roman"/>
        <family val="1"/>
      </rPr>
      <t>a</t>
    </r>
    <r>
      <rPr>
        <sz val="10"/>
        <color rgb="FF000000"/>
        <rFont val="Times New Roman"/>
        <family val="1"/>
      </rPr>
      <t>nd</t>
    </r>
    <r>
      <rPr>
        <sz val="10"/>
        <color rgb="FF000000"/>
        <rFont val="Times New Roman"/>
        <family val="1"/>
      </rPr>
      <t xml:space="preserve"> </t>
    </r>
    <r>
      <rPr>
        <sz val="10"/>
        <color rgb="FF000000"/>
        <rFont val="Times New Roman"/>
        <family val="1"/>
      </rPr>
      <t>F</t>
    </r>
    <r>
      <rPr>
        <sz val="10"/>
        <color rgb="FF000000"/>
        <rFont val="Times New Roman"/>
        <family val="1"/>
      </rPr>
      <t>u</t>
    </r>
    <r>
      <rPr>
        <sz val="10"/>
        <color rgb="FF000000"/>
        <rFont val="Times New Roman"/>
        <family val="1"/>
      </rPr>
      <t>t</t>
    </r>
    <r>
      <rPr>
        <sz val="10"/>
        <color rgb="FF000000"/>
        <rFont val="Times New Roman"/>
        <family val="1"/>
      </rPr>
      <t>u</t>
    </r>
    <r>
      <rPr>
        <sz val="10"/>
        <color rgb="FF000000"/>
        <rFont val="Times New Roman"/>
        <family val="1"/>
      </rPr>
      <t>r</t>
    </r>
    <r>
      <rPr>
        <sz val="10"/>
        <color rgb="FF000000"/>
        <rFont val="Times New Roman"/>
        <family val="1"/>
      </rPr>
      <t>e</t>
    </r>
    <r>
      <rPr>
        <sz val="10"/>
        <color rgb="FF000000"/>
        <rFont val="Times New Roman"/>
        <family val="1"/>
      </rPr>
      <t>-</t>
    </r>
    <r>
      <rPr>
        <sz val="10"/>
        <color rgb="FF000000"/>
        <rFont val="Times New Roman"/>
        <family val="1"/>
      </rPr>
      <t>r</t>
    </r>
    <r>
      <rPr>
        <sz val="10"/>
        <color rgb="FF000000"/>
        <rFont val="Times New Roman"/>
        <family val="1"/>
      </rPr>
      <t>e</t>
    </r>
    <r>
      <rPr>
        <sz val="10"/>
        <color rgb="FF000000"/>
        <rFont val="Times New Roman"/>
        <family val="1"/>
      </rPr>
      <t>a</t>
    </r>
    <r>
      <rPr>
        <sz val="10"/>
        <color rgb="FF000000"/>
        <rFont val="Times New Roman"/>
        <family val="1"/>
      </rPr>
      <t>d</t>
    </r>
    <r>
      <rPr>
        <sz val="10"/>
        <color rgb="FF000000"/>
        <rFont val="Times New Roman"/>
        <family val="1"/>
      </rPr>
      <t>i</t>
    </r>
    <r>
      <rPr>
        <sz val="10"/>
        <color rgb="FF000000"/>
        <rFont val="Times New Roman"/>
        <family val="1"/>
      </rPr>
      <t>n</t>
    </r>
    <r>
      <rPr>
        <sz val="10"/>
        <color rgb="FF000000"/>
        <rFont val="Times New Roman"/>
        <family val="1"/>
      </rPr>
      <t>e</t>
    </r>
    <r>
      <rPr>
        <sz val="10"/>
        <color rgb="FF000000"/>
        <rFont val="Times New Roman"/>
        <family val="1"/>
      </rPr>
      <t>s</t>
    </r>
    <r>
      <rPr>
        <sz val="10"/>
        <color rgb="FF000000"/>
        <rFont val="Times New Roman"/>
        <family val="1"/>
      </rPr>
      <t>s</t>
    </r>
    <r>
      <rPr>
        <sz val="10"/>
        <color rgb="FF000000"/>
        <rFont val="Times New Roman"/>
        <family val="1"/>
      </rPr>
      <t>-</t>
    </r>
    <r>
      <rPr>
        <sz val="10"/>
        <color rgb="FF000000"/>
        <rFont val="Times New Roman"/>
        <family val="1"/>
      </rPr>
      <t>-</t>
    </r>
    <r>
      <rPr>
        <sz val="10"/>
        <color rgb="FF000000"/>
        <rFont val="Times New Roman"/>
        <family val="1"/>
      </rPr>
      <t>5</t>
    </r>
    <r>
      <rPr>
        <sz val="10"/>
        <color rgb="FF000000"/>
        <rFont val="Times New Roman"/>
        <family val="1"/>
      </rPr>
      <t xml:space="preserve"> </t>
    </r>
    <r>
      <rPr>
        <sz val="10"/>
        <color rgb="FF000000"/>
        <rFont val="Times New Roman"/>
        <family val="1"/>
      </rPr>
      <t>M</t>
    </r>
    <r>
      <rPr>
        <sz val="10"/>
        <color rgb="FF000000"/>
        <rFont val="Times New Roman"/>
        <family val="1"/>
      </rPr>
      <t>a</t>
    </r>
    <r>
      <rPr>
        <sz val="10"/>
        <color rgb="FF000000"/>
        <rFont val="Times New Roman"/>
        <family val="1"/>
      </rPr>
      <t>r</t>
    </r>
    <r>
      <rPr>
        <sz val="10"/>
        <color rgb="FF000000"/>
        <rFont val="Times New Roman"/>
        <family val="1"/>
      </rPr>
      <t>k</t>
    </r>
    <r>
      <rPr>
        <sz val="10"/>
        <color rgb="FF000000"/>
        <rFont val="Times New Roman"/>
        <family val="1"/>
      </rPr>
      <t>s</t>
    </r>
  </si>
  <si>
    <t>Services</t>
  </si>
  <si>
    <t>Replication Managemnt &amp; Monitoring</t>
  </si>
  <si>
    <t>DR Drill - 2 Per Year- Each DR Drill will be done either for one Application / number of application, separate DR Drill for One Application will not be done, and if the separate DR drill will be require then additional charges for each DR Drill will be applicable.</t>
  </si>
  <si>
    <t>Sr. No.</t>
  </si>
  <si>
    <t>Infrastructure</t>
  </si>
  <si>
    <t>Device</t>
  </si>
  <si>
    <t>Mode</t>
  </si>
  <si>
    <r>
      <rPr>
        <sz val="11"/>
        <color rgb="FF000000"/>
        <rFont val="Times New Roman"/>
        <family val="1"/>
      </rPr>
      <t>10</t>
    </r>
    <r>
      <rPr>
        <sz val="11"/>
        <color rgb="FF000000"/>
        <rFont val="Times New Roman"/>
        <family val="1"/>
      </rPr>
      <t>.</t>
    </r>
    <r>
      <rPr>
        <sz val="11"/>
        <color rgb="FF000000"/>
        <rFont val="Times New Roman"/>
        <family val="1"/>
      </rPr>
      <t>1</t>
    </r>
  </si>
  <si>
    <r>
      <rPr>
        <sz val="11"/>
        <color rgb="FF000000"/>
        <rFont val="Times New Roman"/>
        <family val="1"/>
      </rPr>
      <t>N</t>
    </r>
    <r>
      <rPr>
        <sz val="11"/>
        <color rgb="FF000000"/>
        <rFont val="Times New Roman"/>
        <family val="1"/>
      </rPr>
      <t>e</t>
    </r>
    <r>
      <rPr>
        <sz val="11"/>
        <color rgb="FF000000"/>
        <rFont val="Times New Roman"/>
        <family val="1"/>
      </rPr>
      <t>t</t>
    </r>
    <r>
      <rPr>
        <sz val="11"/>
        <color rgb="FF000000"/>
        <rFont val="Times New Roman"/>
        <family val="1"/>
      </rPr>
      <t>w</t>
    </r>
    <r>
      <rPr>
        <sz val="11"/>
        <color rgb="FF000000"/>
        <rFont val="Times New Roman"/>
        <family val="1"/>
      </rPr>
      <t>o</t>
    </r>
    <r>
      <rPr>
        <sz val="11"/>
        <color rgb="FF000000"/>
        <rFont val="Times New Roman"/>
        <family val="1"/>
      </rPr>
      <t>r</t>
    </r>
    <r>
      <rPr>
        <sz val="11"/>
        <color rgb="FF000000"/>
        <rFont val="Times New Roman"/>
        <family val="1"/>
      </rPr>
      <t xml:space="preserve">k
</t>
    </r>
    <r>
      <rPr>
        <sz val="11"/>
        <color rgb="FF000000"/>
        <rFont val="Times New Roman"/>
        <family val="1"/>
      </rPr>
      <t>C</t>
    </r>
    <r>
      <rPr>
        <sz val="11"/>
        <color rgb="FF000000"/>
        <rFont val="Times New Roman"/>
        <family val="1"/>
      </rPr>
      <t>o</t>
    </r>
    <r>
      <rPr>
        <sz val="11"/>
        <color rgb="FF000000"/>
        <rFont val="Times New Roman"/>
        <family val="1"/>
      </rPr>
      <t>m</t>
    </r>
    <r>
      <rPr>
        <sz val="11"/>
        <color rgb="FF000000"/>
        <rFont val="Times New Roman"/>
        <family val="1"/>
      </rPr>
      <t>p</t>
    </r>
    <r>
      <rPr>
        <sz val="11"/>
        <color rgb="FF000000"/>
        <rFont val="Times New Roman"/>
        <family val="1"/>
      </rPr>
      <t>o</t>
    </r>
    <r>
      <rPr>
        <sz val="11"/>
        <color rgb="FF000000"/>
        <rFont val="Times New Roman"/>
        <family val="1"/>
      </rPr>
      <t>n</t>
    </r>
    <r>
      <rPr>
        <sz val="11"/>
        <color rgb="FF000000"/>
        <rFont val="Times New Roman"/>
        <family val="1"/>
      </rPr>
      <t>e</t>
    </r>
    <r>
      <rPr>
        <sz val="11"/>
        <color rgb="FF000000"/>
        <rFont val="Times New Roman"/>
        <family val="1"/>
      </rPr>
      <t>n</t>
    </r>
    <r>
      <rPr>
        <sz val="11"/>
        <color rgb="FF000000"/>
        <rFont val="Times New Roman"/>
        <family val="1"/>
      </rPr>
      <t>t</t>
    </r>
    <r>
      <rPr>
        <sz val="11"/>
        <color rgb="FF000000"/>
        <rFont val="Times New Roman"/>
        <family val="1"/>
      </rPr>
      <t>s</t>
    </r>
  </si>
  <si>
    <t>Core Distribution Switch (L3)</t>
  </si>
  <si>
    <t>Low Latency Access Switch (L2)</t>
  </si>
  <si>
    <t>Next Generation Firewall with VPN</t>
  </si>
  <si>
    <t>Load Balancer, WAF</t>
  </si>
  <si>
    <t>--</t>
  </si>
  <si>
    <r>
      <rPr>
        <sz val="11"/>
        <color rgb="FF000000"/>
        <rFont val="Times New Roman"/>
        <family val="1"/>
      </rPr>
      <t>10</t>
    </r>
    <r>
      <rPr>
        <sz val="11"/>
        <color rgb="FF000000"/>
        <rFont val="Times New Roman"/>
        <family val="1"/>
      </rPr>
      <t>.</t>
    </r>
    <r>
      <rPr>
        <sz val="11"/>
        <color rgb="FF000000"/>
        <rFont val="Times New Roman"/>
        <family val="1"/>
      </rPr>
      <t>2</t>
    </r>
  </si>
  <si>
    <r>
      <rPr>
        <sz val="11"/>
        <color rgb="FF000000"/>
        <rFont val="Times New Roman"/>
        <family val="1"/>
      </rPr>
      <t>N</t>
    </r>
    <r>
      <rPr>
        <sz val="11"/>
        <color rgb="FF000000"/>
        <rFont val="Times New Roman"/>
        <family val="1"/>
      </rPr>
      <t>u</t>
    </r>
    <r>
      <rPr>
        <sz val="11"/>
        <color rgb="FF000000"/>
        <rFont val="Times New Roman"/>
        <family val="1"/>
      </rPr>
      <t>t</t>
    </r>
    <r>
      <rPr>
        <sz val="11"/>
        <color rgb="FF000000"/>
        <rFont val="Times New Roman"/>
        <family val="1"/>
      </rPr>
      <t>a</t>
    </r>
    <r>
      <rPr>
        <sz val="11"/>
        <color rgb="FF000000"/>
        <rFont val="Times New Roman"/>
        <family val="1"/>
      </rPr>
      <t>n</t>
    </r>
    <r>
      <rPr>
        <sz val="11"/>
        <color rgb="FF000000"/>
        <rFont val="Times New Roman"/>
        <family val="1"/>
      </rPr>
      <t>i</t>
    </r>
    <r>
      <rPr>
        <sz val="11"/>
        <color rgb="FF000000"/>
        <rFont val="Times New Roman"/>
        <family val="1"/>
      </rPr>
      <t>x</t>
    </r>
    <r>
      <rPr>
        <sz val="11"/>
        <color rgb="FF000000"/>
        <rFont val="Times New Roman"/>
        <family val="1"/>
      </rPr>
      <t xml:space="preserve"> </t>
    </r>
    <r>
      <rPr>
        <sz val="11"/>
        <color rgb="FF000000"/>
        <rFont val="Times New Roman"/>
        <family val="1"/>
      </rPr>
      <t>H</t>
    </r>
    <r>
      <rPr>
        <sz val="11"/>
        <color rgb="FF000000"/>
        <rFont val="Times New Roman"/>
        <family val="1"/>
      </rPr>
      <t>C</t>
    </r>
    <r>
      <rPr>
        <sz val="11"/>
        <color rgb="FF000000"/>
        <rFont val="Times New Roman"/>
        <family val="1"/>
      </rPr>
      <t>I</t>
    </r>
    <r>
      <rPr>
        <sz val="11"/>
        <color rgb="FF000000"/>
        <rFont val="Times New Roman"/>
        <family val="1"/>
      </rPr>
      <t xml:space="preserve"> </t>
    </r>
    <r>
      <rPr>
        <sz val="11"/>
        <color rgb="FF000000"/>
        <rFont val="Times New Roman"/>
        <family val="1"/>
      </rPr>
      <t>S</t>
    </r>
    <r>
      <rPr>
        <sz val="11"/>
        <color rgb="FF000000"/>
        <rFont val="Times New Roman"/>
        <family val="1"/>
      </rPr>
      <t>e</t>
    </r>
    <r>
      <rPr>
        <sz val="11"/>
        <color rgb="FF000000"/>
        <rFont val="Times New Roman"/>
        <family val="1"/>
      </rPr>
      <t>r</t>
    </r>
    <r>
      <rPr>
        <sz val="11"/>
        <color rgb="FF000000"/>
        <rFont val="Times New Roman"/>
        <family val="1"/>
      </rPr>
      <t>v</t>
    </r>
    <r>
      <rPr>
        <sz val="11"/>
        <color rgb="FF000000"/>
        <rFont val="Times New Roman"/>
        <family val="1"/>
      </rPr>
      <t>e</t>
    </r>
    <r>
      <rPr>
        <sz val="11"/>
        <color rgb="FF000000"/>
        <rFont val="Times New Roman"/>
        <family val="1"/>
      </rPr>
      <t>r</t>
    </r>
    <r>
      <rPr>
        <sz val="11"/>
        <color rgb="FF000000"/>
        <rFont val="Times New Roman"/>
        <family val="1"/>
      </rPr>
      <t>s</t>
    </r>
  </si>
  <si>
    <t>Nodes / Servers with Hypervisor</t>
  </si>
  <si>
    <t>-</t>
  </si>
  <si>
    <t>Licence Acropolis Operating System (Files for AOS + Prism)</t>
  </si>
  <si>
    <t>1+1</t>
  </si>
  <si>
    <t>Exchange Servers (Maximum 350 users)</t>
  </si>
  <si>
    <r>
      <rPr>
        <sz val="11"/>
        <color rgb="FF000000"/>
        <rFont val="Times New Roman"/>
        <family val="1"/>
      </rPr>
      <t>10</t>
    </r>
    <r>
      <rPr>
        <sz val="11"/>
        <color rgb="FF000000"/>
        <rFont val="Times New Roman"/>
        <family val="1"/>
      </rPr>
      <t>.</t>
    </r>
    <r>
      <rPr>
        <sz val="11"/>
        <color rgb="FF000000"/>
        <rFont val="Times New Roman"/>
        <family val="1"/>
      </rPr>
      <t>3</t>
    </r>
  </si>
  <si>
    <r>
      <rPr>
        <sz val="11"/>
        <color rgb="FF000000"/>
        <rFont val="Times New Roman"/>
        <family val="1"/>
      </rPr>
      <t>S</t>
    </r>
    <r>
      <rPr>
        <sz val="11"/>
        <color rgb="FF000000"/>
        <rFont val="Times New Roman"/>
        <family val="1"/>
      </rPr>
      <t>t</t>
    </r>
    <r>
      <rPr>
        <sz val="11"/>
        <color rgb="FF000000"/>
        <rFont val="Times New Roman"/>
        <family val="1"/>
      </rPr>
      <t>o</t>
    </r>
    <r>
      <rPr>
        <sz val="11"/>
        <color rgb="FF000000"/>
        <rFont val="Times New Roman"/>
        <family val="1"/>
      </rPr>
      <t>r</t>
    </r>
    <r>
      <rPr>
        <sz val="11"/>
        <color rgb="FF000000"/>
        <rFont val="Times New Roman"/>
        <family val="1"/>
      </rPr>
      <t>a</t>
    </r>
    <r>
      <rPr>
        <sz val="11"/>
        <color rgb="FF000000"/>
        <rFont val="Times New Roman"/>
        <family val="1"/>
      </rPr>
      <t>g</t>
    </r>
    <r>
      <rPr>
        <sz val="11"/>
        <color rgb="FF000000"/>
        <rFont val="Times New Roman"/>
        <family val="1"/>
      </rPr>
      <t>e</t>
    </r>
  </si>
  <si>
    <t>Storage Area Network (SAN)</t>
  </si>
  <si>
    <t>Network Attached Storage (NAS)</t>
  </si>
  <si>
    <r>
      <rPr>
        <sz val="11"/>
        <color rgb="FF000000"/>
        <rFont val="Times New Roman"/>
        <family val="1"/>
      </rPr>
      <t>10</t>
    </r>
    <r>
      <rPr>
        <sz val="11"/>
        <color rgb="FF000000"/>
        <rFont val="Times New Roman"/>
        <family val="1"/>
      </rPr>
      <t>.</t>
    </r>
    <r>
      <rPr>
        <sz val="11"/>
        <color rgb="FF000000"/>
        <rFont val="Times New Roman"/>
        <family val="1"/>
      </rPr>
      <t>4</t>
    </r>
  </si>
  <si>
    <r>
      <rPr>
        <sz val="11"/>
        <color rgb="FF000000"/>
        <rFont val="Times New Roman"/>
        <family val="1"/>
      </rPr>
      <t>S</t>
    </r>
    <r>
      <rPr>
        <sz val="11"/>
        <color rgb="FF000000"/>
        <rFont val="Times New Roman"/>
        <family val="1"/>
      </rPr>
      <t>e</t>
    </r>
    <r>
      <rPr>
        <sz val="11"/>
        <color rgb="FF000000"/>
        <rFont val="Times New Roman"/>
        <family val="1"/>
      </rPr>
      <t>c</t>
    </r>
    <r>
      <rPr>
        <sz val="11"/>
        <color rgb="FF000000"/>
        <rFont val="Times New Roman"/>
        <family val="1"/>
      </rPr>
      <t>u</t>
    </r>
    <r>
      <rPr>
        <sz val="11"/>
        <color rgb="FF000000"/>
        <rFont val="Times New Roman"/>
        <family val="1"/>
      </rPr>
      <t>r</t>
    </r>
    <r>
      <rPr>
        <sz val="11"/>
        <color rgb="FF000000"/>
        <rFont val="Times New Roman"/>
        <family val="1"/>
      </rPr>
      <t>i</t>
    </r>
    <r>
      <rPr>
        <sz val="11"/>
        <color rgb="FF000000"/>
        <rFont val="Times New Roman"/>
        <family val="1"/>
      </rPr>
      <t>t</t>
    </r>
    <r>
      <rPr>
        <sz val="11"/>
        <color rgb="FF000000"/>
        <rFont val="Times New Roman"/>
        <family val="1"/>
      </rPr>
      <t>y</t>
    </r>
  </si>
  <si>
    <t>Security Information and Event Management (SIEM)</t>
  </si>
  <si>
    <t>Antivirus and Data Leak Protection (DLP)</t>
  </si>
  <si>
    <t>Extended Detection and Response (XDR)</t>
  </si>
  <si>
    <t>Privileged Access Management (PAM)</t>
  </si>
  <si>
    <t>10.1</t>
  </si>
  <si>
    <t>Network Components</t>
  </si>
  <si>
    <t>10.2</t>
  </si>
  <si>
    <t>Nutanix HCI Servers</t>
  </si>
  <si>
    <t>10.3</t>
  </si>
  <si>
    <t>Backup Software &amp; Devices</t>
  </si>
  <si>
    <t>10.4</t>
  </si>
  <si>
    <t>Security</t>
  </si>
  <si>
    <t>Security Orchestration, Automation &amp; Response (SOAR)</t>
  </si>
  <si>
    <t>Identity &amp; Access Management (IAM/SSO)</t>
  </si>
  <si>
    <t>Threat Intelligence &amp; Compliance Reporting</t>
  </si>
  <si>
    <t>10.5</t>
  </si>
  <si>
    <t>Software &amp; Monitoring</t>
  </si>
  <si>
    <t>Database Licenses (SQL/Oracle/MySQL)</t>
  </si>
  <si>
    <t>As per sizing</t>
  </si>
  <si>
    <t>DR Orchestration Tool</t>
  </si>
  <si>
    <t>Monitoring Tools (Infra + Bandwidth + Logs)</t>
  </si>
  <si>
    <t>10.6</t>
  </si>
  <si>
    <t>Managed Services</t>
  </si>
  <si>
    <t>Manpower for SOC/NOC Operations</t>
  </si>
  <si>
    <t>As per SLA</t>
  </si>
  <si>
    <t>Annual CERT-In VAPT Service</t>
  </si>
  <si>
    <t>Yearly</t>
  </si>
  <si>
    <t>DR Drills &amp; SLA Reporting</t>
  </si>
  <si>
    <t>Half-Yearly</t>
  </si>
  <si>
    <t>Speed</t>
  </si>
  <si>
    <t>OTC</t>
  </si>
  <si>
    <t>ARC</t>
  </si>
  <si>
    <t>MRC</t>
  </si>
  <si>
    <t>GST</t>
  </si>
  <si>
    <t>MRC/Mb</t>
  </si>
  <si>
    <t>Red Hat Enterprise Linux Server for Service Providers, Full Support (Physical or Virtual Nodes, Dedicated, Yearly) 1st year</t>
  </si>
  <si>
    <t>Red Hat Enterprise Linux Server for Service Providers, Diagnostic Support (Physical or Virtual Nodes, Dedicated, Yearly) 1st year</t>
  </si>
  <si>
    <t>Red Hat Enterprise Linux, Extended Life Cycle Support Add-On, Layered Support (Physical or Virtual Nodes, Dedicated, Yearly) 1st year</t>
  </si>
  <si>
    <t>Exchange Server Ent SLng LSA OLV NL 3Y Aq Y1 AP</t>
  </si>
  <si>
    <t>SQL Server Standard Core SLng LSA OLV 2L NL 3Y Aq Y1 AP</t>
  </si>
  <si>
    <t>Physical or Virtual?</t>
  </si>
  <si>
    <t>CPU Cores</t>
  </si>
  <si>
    <t>RAM (GB)</t>
  </si>
  <si>
    <t>Storage Space</t>
  </si>
  <si>
    <t>SSD/SAS?</t>
  </si>
  <si>
    <t>HOST OS</t>
  </si>
  <si>
    <t>WServer1</t>
  </si>
  <si>
    <t>SSD</t>
  </si>
  <si>
    <t>Windows 2019 STD</t>
  </si>
  <si>
    <t>WServer2</t>
  </si>
  <si>
    <t>WServer3</t>
  </si>
  <si>
    <t>WServer4</t>
  </si>
  <si>
    <t>WServer5</t>
  </si>
  <si>
    <t>WServer6</t>
  </si>
  <si>
    <t>WServer7</t>
  </si>
  <si>
    <t>WServer8</t>
  </si>
  <si>
    <t>WServer9</t>
  </si>
  <si>
    <t>WServer10</t>
  </si>
  <si>
    <t>WServer11</t>
  </si>
  <si>
    <t>WServer12</t>
  </si>
  <si>
    <t>WServer13</t>
  </si>
  <si>
    <t>WServer14</t>
  </si>
  <si>
    <t>WServer15</t>
  </si>
  <si>
    <t>WServer16</t>
  </si>
  <si>
    <t>WServer17</t>
  </si>
  <si>
    <t>WServer18</t>
  </si>
  <si>
    <t>WServer19</t>
  </si>
  <si>
    <t>Wserver20</t>
  </si>
  <si>
    <t>Wserver21</t>
  </si>
  <si>
    <t>Wserver22</t>
  </si>
  <si>
    <t>Wserver23</t>
  </si>
  <si>
    <t>Wserver24</t>
  </si>
  <si>
    <t>* Virtual</t>
  </si>
  <si>
    <t>SAS</t>
  </si>
  <si>
    <t>Wserver25</t>
  </si>
  <si>
    <t>Windows 2012 STD</t>
  </si>
  <si>
    <t>Wserver26</t>
  </si>
  <si>
    <t>Windows 2012 R2 STD</t>
  </si>
  <si>
    <t>Wserver27</t>
  </si>
  <si>
    <t>Wserver28</t>
  </si>
  <si>
    <t>Wserver29</t>
  </si>
  <si>
    <t>Wserver30</t>
  </si>
  <si>
    <t>Wserver31</t>
  </si>
  <si>
    <t>Firewall</t>
  </si>
  <si>
    <t>Switch L2</t>
  </si>
  <si>
    <t>Lenovo Appliances + Nutanix</t>
  </si>
  <si>
    <t>L3 Switch</t>
  </si>
  <si>
    <t>Migration Cost (ComNet)</t>
  </si>
  <si>
    <t>PIM</t>
  </si>
  <si>
    <t>Exchange 2019</t>
  </si>
  <si>
    <t>Exchange SA</t>
  </si>
  <si>
    <t>Windows Server + SA Licenses</t>
  </si>
  <si>
    <t>Exchange SE</t>
  </si>
  <si>
    <t>ATP</t>
  </si>
  <si>
    <t>ECM</t>
  </si>
  <si>
    <t>SMTP</t>
  </si>
  <si>
    <t>MSSQL</t>
  </si>
  <si>
    <t>Redhat Server</t>
  </si>
  <si>
    <t>Rehat Support</t>
  </si>
  <si>
    <t>Redhad ELS</t>
  </si>
  <si>
    <t>Y</t>
  </si>
  <si>
    <t>Broadband</t>
  </si>
  <si>
    <t>Checkpoint</t>
  </si>
  <si>
    <t>Fortigate</t>
  </si>
  <si>
    <t>OEM</t>
  </si>
  <si>
    <t>Email</t>
  </si>
  <si>
    <t>Phone</t>
  </si>
  <si>
    <t>Compliance</t>
  </si>
  <si>
    <t>MAF</t>
  </si>
  <si>
    <t>Local Content Certificate</t>
  </si>
  <si>
    <t>Price</t>
  </si>
  <si>
    <t>Comnet</t>
  </si>
  <si>
    <t>Lenovo</t>
  </si>
  <si>
    <t>IBM</t>
  </si>
  <si>
    <t>Gurucul</t>
  </si>
  <si>
    <t>Cyberdristi</t>
  </si>
  <si>
    <t>Kaspersky</t>
  </si>
  <si>
    <t>ejaz.shaikh@kaspersky.com</t>
  </si>
  <si>
    <t xml:space="preserve">IBM SPSS – AMOS version 28 </t>
  </si>
  <si>
    <t>y</t>
  </si>
  <si>
    <t>Cisco</t>
  </si>
  <si>
    <t>Haldos</t>
  </si>
  <si>
    <t>Radware</t>
  </si>
  <si>
    <t>brajgar@fortinet.com</t>
  </si>
  <si>
    <t>mandar.inamdar@gurucul.com</t>
  </si>
  <si>
    <t>Imperva</t>
  </si>
  <si>
    <t>Product Description</t>
  </si>
  <si>
    <t>Total Part Price</t>
  </si>
  <si>
    <t>(per unit)
Indian Rupee</t>
  </si>
  <si>
    <t>(quantity x unit price)
Indian Rupee</t>
  </si>
  <si>
    <t>Server : ThinkAgile HX650 V3 Certified Node</t>
  </si>
  <si>
    <t>ThinkSystem 440-16i SAS/SATA PCIe Gen4 12Gb Internal HBA</t>
  </si>
  <si>
    <t>ThinkSystem 2U 8x2.5" SAS/SATA Backplane</t>
  </si>
  <si>
    <t>ThinkSystem 2U/4U 8x2.5" AnyBay Backplane</t>
  </si>
  <si>
    <t>ThinkSystem 2.5" U.3 7500 PRO 7.68TB Read Intensive NVMe PCIe 4.0 x4 HS SSD</t>
  </si>
  <si>
    <t>ThinkSystem 1800W 230V Platinum Hot-Swap Gen2 Power Supply</t>
  </si>
  <si>
    <t>2.8m, 10A/100-250V, C13 to C14 Jumper Cord (India)</t>
  </si>
  <si>
    <t>ThinkSystem V3 2U SAS/SATA Y Cable from CFF C0,C1/ C2,C3 to Front 8x2.5" BP</t>
  </si>
  <si>
    <t>ThinkSystem V3 2U Power Cable from MB to CFF / Exp v2</t>
  </si>
  <si>
    <t>ThinkSystem SR650 V3,PCIe Gen4 CBL,SLx8-Swift,CFF IN-PCIe4</t>
  </si>
  <si>
    <t>ThinkSystem SR650 V3,PCIe4 Cable,Swift8x-SL8x,2in1,PCIe 6/5(MB) to BP1/BP2</t>
  </si>
  <si>
    <t>G4 x16/x8/x8 PCIe Riser BLKL for Riser 1 Placement</t>
  </si>
  <si>
    <t>ThinkSystem 2U MS 3FH Riser Filler</t>
  </si>
  <si>
    <t>ThinkSystem 1800W Pt Power Rating Label WW</t>
  </si>
  <si>
    <t>ThinkSystem 2U MS 24x2.5" AnyBay HDD Type Label1</t>
  </si>
  <si>
    <t>ThinkSystem 2U MS 24x2.5" SATA/SAS HDD Type Label1</t>
  </si>
  <si>
    <t>ThinkAgile SR650 V3 Agency Label - No CCC</t>
  </si>
  <si>
    <t>Configuration ID 01</t>
  </si>
  <si>
    <t>Auto-Derived Part Items</t>
  </si>
  <si>
    <t>Configuration Instruction</t>
  </si>
  <si>
    <t>ThinkSystem 440-16i SAS/SATA PCIe Gen4 12Gb Internal HBA Placement</t>
  </si>
  <si>
    <t>Controller 01</t>
  </si>
  <si>
    <t>3Yr KYD Add-On ThinkAgile CN HX650 V3</t>
  </si>
  <si>
    <t>ThinkAgile HX Remote Deployment (additional node)</t>
  </si>
  <si>
    <t>Standalone Items</t>
  </si>
  <si>
    <t>NCI – PRO :- Nutanix Cloud Infrastructure (NCI) Pro Software License - 3Y subscription</t>
  </si>
  <si>
    <t>NCM-Starter :- Nutanix Cloud Manager (NCM) Starter Software License - 3Y subscription</t>
  </si>
  <si>
    <t>NCI-ADR :- Nutanix Cloud Infrastructure (NCI) Advanced Replication (DC 352 + DR 384) - 3Y subscription</t>
  </si>
  <si>
    <t>Storage : Lenovo ThinkSystem DG5200 QLC All Flash Array</t>
  </si>
  <si>
    <t>Lenovo ThinkSystem Storage 2U NVMe Chassis</t>
  </si>
  <si>
    <t>Storage Complete Bundle Offering</t>
  </si>
  <si>
    <t>Lenovo ThinkSystem DM/DG5200 Series Controller, 64GB</t>
  </si>
  <si>
    <t>Lenovo ThinkSystem 61.4TB (2x 30.72TB QLC NVMe SED) Drive Pack for DG5200/DG7200</t>
  </si>
  <si>
    <t>Lenovo ThinkSystem Storage 100Gb 2 port Ethernet (Host/Cluster)</t>
  </si>
  <si>
    <t>Lenovo ThinkSystem Storage 10/25Gb 2 port Ethernet (Host)</t>
  </si>
  <si>
    <t>Lenovo ThinkSystem Storage 64/32Gb 4 Port Fiber Channel Adapter</t>
  </si>
  <si>
    <t>10G SW Optical iSCSI SFP+ Module 1 pack</t>
  </si>
  <si>
    <t>Lenovo 32Gb FC SFP+ Transceiver</t>
  </si>
  <si>
    <t>Lenovo 1m Passive 100G QSFP28 DAC Cable</t>
  </si>
  <si>
    <t>USB-A to USB-C Cable</t>
  </si>
  <si>
    <t>Lenovo ThinkSystem Storage ONTAP 9.16 Software Encryption - IPAv2</t>
  </si>
  <si>
    <t>Premier 24x7 4hr with Enhanced Storage Support and KYD</t>
  </si>
  <si>
    <t>Configured with Lenovo ThinkSystem DG5200</t>
  </si>
  <si>
    <t>Storage Encryption Bundle License Key - RoW</t>
  </si>
  <si>
    <t>Storage Complete Bundle License Key</t>
  </si>
  <si>
    <t>Lenovo ThinkSystem DM/DG Series Jupiter All Flash Ship Kit - Multi-Language</t>
  </si>
  <si>
    <t>Lenovo ThinkSystem NVMe Rail Kit 4 post</t>
  </si>
  <si>
    <t>Lenovo Logo nameplate</t>
  </si>
  <si>
    <t>Lenovo ThinkSystem NVMe Jupiter Packaging</t>
  </si>
  <si>
    <t>Lenovo ThinkSystem DG5200 Model Name Label</t>
  </si>
  <si>
    <t>Lenovo ThinkSystem NVMe Accessory</t>
  </si>
  <si>
    <t>PESS mandatory not be enforced</t>
  </si>
  <si>
    <t>7-segment LED cover Label</t>
  </si>
  <si>
    <t>EIA NamePlate</t>
  </si>
  <si>
    <t>Lenovo ThinkSystem DM/DG Jupiter 2U24 NVMe Bezel</t>
  </si>
  <si>
    <t>Lenovo ThinkSystem Storage Controller 2U24 NVMe Agency Label</t>
  </si>
  <si>
    <t>I/O Slot Cover</t>
  </si>
  <si>
    <t>ThnkSys DG5200 7DHY SWLicense</t>
  </si>
  <si>
    <t>Lenovo ThinkSystem DG5200 NVMe QLC Unified Complete SW License with 3 Years Support, Per 0.1TB</t>
  </si>
  <si>
    <t>Lenovo XClarity Pro, Per Managed Endpoint w/5 Yr SW S&amp;S</t>
  </si>
  <si>
    <t>Hardware Installation Advanced Storage (Business Hours)</t>
  </si>
  <si>
    <t>ThinkSystem DG5xxx Onsite Deployment</t>
  </si>
  <si>
    <t>3Yr PESS (SME,TAM+EM)24x7 4Hr Resp DG5200+KYD</t>
  </si>
  <si>
    <t>3Yr Premier 24x7 4Hr Resp+KYD (0.1TB NVme QLC)</t>
  </si>
  <si>
    <t xml:space="preserve">Extended 2Y Storage HW support </t>
  </si>
  <si>
    <t>sumit@adviacent.com</t>
  </si>
  <si>
    <t>vishal.b@inflowtechnologies.com</t>
  </si>
  <si>
    <t>riteshb@checkpoint.com</t>
  </si>
  <si>
    <t>kanishk@haltdos.com</t>
  </si>
  <si>
    <t>mayurc@radware.com</t>
  </si>
  <si>
    <t>2X Intel Xeon Gold 6542Y 24C 250W 2.9GHz Processor, 24X ThinkSystem 64GB TruDDR5 5600MHz (2Rx4) RDIMM, 1X ThinkSystem 440-16i SAS/SATA PCIe Gen4 12Gb Internal HBA, 1X ThinkSystem 2U 8x2.5" SAS/SATA Backplane, 1X Nutanix Flash Node Config, 8X ThinkSystem 2.5" U.3 7500 PRO 7.68TB Read Intensive NVMe PCIe 4.0 x4 HS SSD, 1X ThinkSystem M.2 NVMe 2-Bay RAID Adapter, 2X ThinkSystem M.2 7450 PRO 960GB Read Intensive NVMe PCIe 4.0 x4 NHS SSD 1X ThinkSystem Broadcom 57416 10GBASE-T 2-port OCP Ethernet Adapter, 2X ThinkSystem Broadcom 57414 10/25GbE SFP28 2-port PCIe Ethernet Adapter, 4X SFP+ SR Transceiver, 2X ThinkSystem 1800W 230V Platinum Hot-Swap Gen2 Power Supply, 2X 2.8m, 10A/100-250V, C13 to C14 Jumper Cord (India), 1X TPM 2.0, 1X Enable IPMI-over-LAN, 1X N+N Redundancy With Over-Subscription, 1X G4 x16/x8/x8 PCIe Riser BLKL for Riser 1 Placement, 1X 3Yr Premier 24x7 4Hr Resp ThinkAgile CN HX650 V3</t>
  </si>
  <si>
    <t>PAM Admin User-based License</t>
  </si>
  <si>
    <t>PAM End User-based License</t>
  </si>
  <si>
    <t>Program</t>
  </si>
  <si>
    <t>Part Number</t>
  </si>
  <si>
    <t>Item Name</t>
  </si>
  <si>
    <t>DTP</t>
  </si>
  <si>
    <t>Estimate Retail Price</t>
  </si>
  <si>
    <t>Product Type</t>
  </si>
  <si>
    <t>Open Value</t>
  </si>
  <si>
    <t>395-03274</t>
  </si>
  <si>
    <t>License/Software Assurance Pack</t>
  </si>
  <si>
    <t>7NQ-00162</t>
  </si>
  <si>
    <t>9EM-00513</t>
  </si>
  <si>
    <t>Purchase Unit</t>
  </si>
  <si>
    <t>Agreement Duration</t>
  </si>
  <si>
    <t>License Agreement Type</t>
  </si>
  <si>
    <t>312-03039</t>
  </si>
  <si>
    <t>Exchange Server Standard SLng LSA OLV NL 1Y Aq Y3 AP</t>
  </si>
  <si>
    <t>1 Year(s)</t>
  </si>
  <si>
    <t>1 Year</t>
  </si>
  <si>
    <t>Corporate</t>
  </si>
  <si>
    <t>395-03278</t>
  </si>
  <si>
    <t>Exchange Server Ent SLng LSA OLV NL 1Y Aq Y3 AP</t>
  </si>
  <si>
    <t>ProductId</t>
  </si>
  <si>
    <t>SkuTitle</t>
  </si>
  <si>
    <t>ERP</t>
  </si>
  <si>
    <t>Segment</t>
  </si>
  <si>
    <t>DG7GMGF0F4MF</t>
  </si>
  <si>
    <t>Exchange Server Enterprise 2019</t>
  </si>
  <si>
    <t>Commercial</t>
  </si>
  <si>
    <t>DG7GMGF0F4MD</t>
  </si>
  <si>
    <t>Exchange Server Enterprise 2019 Device CAL</t>
  </si>
  <si>
    <t>Exchange Server Enterprise 2019 User CAL</t>
  </si>
  <si>
    <t>DG7GMGF0F4MC</t>
  </si>
  <si>
    <t>Exchange Server Standard 2019</t>
  </si>
  <si>
    <t>DG7GMGF0F4MB</t>
  </si>
  <si>
    <t>Exchange Server Standard 2019 Device CAL</t>
  </si>
  <si>
    <t>Exchange Server Standard 2019 User CAL</t>
  </si>
  <si>
    <t>Item</t>
  </si>
  <si>
    <t>Exchange Server 2019 Standard or Enterprise</t>
  </si>
  <si>
    <t>Perpetual</t>
  </si>
  <si>
    <t>Exchange Server Standard CAL</t>
  </si>
  <si>
    <t>Exchange Server Enterprise CAL Add-on</t>
  </si>
  <si>
    <t>Software Assurance for Exchange Server 2019</t>
  </si>
  <si>
    <t>SA Add-on</t>
  </si>
  <si>
    <t>Microsoft Defender for Exchange (Optional)</t>
  </si>
  <si>
    <t>Subscription (CSP)</t>
  </si>
  <si>
    <t>ProductTitle</t>
  </si>
  <si>
    <t>Billing Cycle</t>
  </si>
  <si>
    <t>MRP</t>
  </si>
  <si>
    <t>(Per Unit Annual)</t>
  </si>
  <si>
    <t>Final_TP</t>
  </si>
  <si>
    <t>Microsoft Defender for Office 365 (Plan 1)</t>
  </si>
  <si>
    <t>CFQ7TTC0LH04</t>
  </si>
  <si>
    <t>Annual</t>
  </si>
  <si>
    <t>Microsoft Defender for Office 365 (Plan 2)</t>
  </si>
  <si>
    <t>CFQ7TTC0LHXH</t>
  </si>
  <si>
    <t>SKU</t>
  </si>
  <si>
    <t>Term</t>
  </si>
  <si>
    <t>Price per unit</t>
  </si>
  <si>
    <t xml:space="preserve">RH00232 </t>
  </si>
  <si>
    <t>Red Hat Enterprise Linux Server for Service Providers, Full Support (Physical or Virtual Nodes, Dedicated, Yearly)</t>
  </si>
  <si>
    <t>ANNUAL</t>
  </si>
  <si>
    <t xml:space="preserve">        7,26,726.00 </t>
  </si>
  <si>
    <t>RH00236</t>
  </si>
  <si>
    <t>Red Hat Enterprise Linux Server for Service Providers, Diagnostic Support (Physical or Virtual Nodes, Dedicated, Yearly)</t>
  </si>
  <si>
    <t xml:space="preserve">        6,05,605.00 </t>
  </si>
  <si>
    <t xml:space="preserve">RH00777 </t>
  </si>
  <si>
    <t>Red Hat Enterprise Linux, Extended Life Cycle Support Add-On, Layered Support (Physical or Virtual Nodes, Dedicated, Yearly)</t>
  </si>
  <si>
    <t xml:space="preserve">        1,11,951.84 </t>
  </si>
  <si>
    <t>Managed Hosting Services</t>
  </si>
  <si>
    <t>Unit</t>
  </si>
  <si>
    <t>Cost/Unit</t>
  </si>
  <si>
    <t>Discount (%)</t>
  </si>
  <si>
    <t>Discount 
Unit Rate</t>
  </si>
  <si>
    <t>No.</t>
  </si>
  <si>
    <t xml:space="preserve">DESCRIPTION </t>
  </si>
  <si>
    <t xml:space="preserve">MRC </t>
  </si>
  <si>
    <t xml:space="preserve">Total Monthly Service Pay Without Taxes (A.1 + A.2 + A.3 + A.4) </t>
  </si>
  <si>
    <t>Operating System Management Services - (Windows + Linux server)</t>
  </si>
  <si>
    <t>Storage Management Services per TB</t>
  </si>
  <si>
    <t>Firewall Management Services</t>
  </si>
  <si>
    <t>Sevice</t>
  </si>
  <si>
    <t>Line Item</t>
  </si>
  <si>
    <t>Unit Price Per Annum in INR</t>
  </si>
  <si>
    <t>Partner transfer Price – Total/year in INR</t>
  </si>
  <si>
    <t>₹ 2,70,000/-</t>
  </si>
  <si>
    <t>DLP User-based License</t>
  </si>
  <si>
    <t>₹ 3,00,000/-</t>
  </si>
  <si>
    <t>One-time Setup Cost</t>
  </si>
  <si>
    <t>Annual Support Plan [Professional]</t>
  </si>
  <si>
    <t>₹ 3,60,000/-</t>
  </si>
  <si>
    <t>Total (Excluding Taxes) in INR</t>
  </si>
  <si>
    <t>Description </t>
  </si>
  <si>
    <t>Qty </t>
  </si>
  <si>
    <t>Unit Price </t>
  </si>
  <si>
    <t>Total Price </t>
  </si>
  <si>
    <t>Tax </t>
  </si>
  <si>
    <t>Total With </t>
  </si>
  <si>
    <t>1 </t>
  </si>
  <si>
    <t>Router (2 Units) </t>
  </si>
  <si>
    <t>2 </t>
  </si>
  <si>
    <t>L3 Switch (2 units + line cards) </t>
  </si>
  <si>
    <t>3 </t>
  </si>
  <si>
    <t>Firewalls (2 units) </t>
  </si>
  <si>
    <t>Secure VPN for 100 User </t>
  </si>
  <si>
    <t>L2 Switch </t>
  </si>
  <si>
    <t>Load Balancer and WAF </t>
  </si>
  <si>
    <t>Nutanix HCI Nodes </t>
  </si>
  <si>
    <t>8 </t>
  </si>
  <si>
    <t>Unified Storage (SAN, NAS &amp; Object) </t>
  </si>
  <si>
    <t>NAS Devices </t>
  </si>
  <si>
    <t>Linux Licenses (17) + Database (3) as mentioned in License details </t>
  </si>
  <si>
    <t>Windows Licenses (13) + Database (12) ) as mentioned in License details </t>
  </si>
  <si>
    <t>Blackbox Storage </t>
  </si>
  <si>
    <t>Intel Fortran (6 Licenses) </t>
  </si>
  <si>
    <t>GitLab Premium (10 users) </t>
  </si>
  <si>
    <t>Exchange Server (300 users) </t>
  </si>
  <si>
    <t>Implementation &amp; Setup Charges (Onetime) </t>
  </si>
  <si>
    <t>Migration of Resources charges from DC to DR (OneTime) </t>
  </si>
  <si>
    <t>Operational Support Services (AC, Power, Physical Security etc) (03 Mandatory+02 Years Extendable) </t>
  </si>
  <si>
    <t>TOTAL </t>
  </si>
  <si>
    <t>Firewall- SONICWALL NSV 470 TOTALSECURE - ADVANCED EDITION 3YR
SONICWALL SAAS 365 DAYS OF ADVANCED REPORTING AND ANALYTICS FOR NSV 470 3YR</t>
  </si>
  <si>
    <t>Router Cisco Catalyst C8200-1N-4T</t>
  </si>
  <si>
    <t xml:space="preserve">Switch L3 - </t>
  </si>
  <si>
    <t>Switch L3 Port 24 Port 10 G</t>
  </si>
  <si>
    <t>Switch L2 Port 24 Port 1G</t>
  </si>
  <si>
    <t>WAF 1 Gbps</t>
  </si>
  <si>
    <t xml:space="preserve"> Storage</t>
  </si>
  <si>
    <t>NAS Storage - (108TB*3)</t>
  </si>
  <si>
    <t>SIEM DC Qty. 50 and DR 50</t>
  </si>
  <si>
    <t>SOAR Qty.3</t>
  </si>
  <si>
    <t>EDR  -50 VM</t>
  </si>
  <si>
    <t>XDR - 50 VM+ Other Devices 15</t>
  </si>
  <si>
    <t>PAM End Device</t>
  </si>
  <si>
    <t>VAPT - 65 Devices</t>
  </si>
  <si>
    <t xml:space="preserve">Antivirus Mangement </t>
  </si>
  <si>
    <t>Per year Avg Server license</t>
  </si>
  <si>
    <t>Per year Avg Support license</t>
  </si>
  <si>
    <t>Per year avg ELS license</t>
  </si>
  <si>
    <t>CPC</t>
  </si>
  <si>
    <t>Cost Per Unit</t>
  </si>
  <si>
    <t xml:space="preserve">Input Cost </t>
  </si>
  <si>
    <t>Final Amt</t>
  </si>
  <si>
    <t>without CPC</t>
  </si>
  <si>
    <t>with CPC</t>
  </si>
  <si>
    <t>XDR (65 endpoints) </t>
  </si>
  <si>
    <t>PAM (65 users) </t>
  </si>
  <si>
    <t>GitLab Self Managed Premium License</t>
  </si>
  <si>
    <t>ESDS eNlight Cloud Hosting Services - Datacenter Site</t>
  </si>
  <si>
    <t>Compute</t>
  </si>
  <si>
    <t>Hosting Components</t>
  </si>
  <si>
    <t>vCores</t>
  </si>
  <si>
    <t>IOPs</t>
  </si>
  <si>
    <t>IOPS</t>
  </si>
  <si>
    <t>DB</t>
  </si>
  <si>
    <t>A.1</t>
  </si>
  <si>
    <t>eNlight Cloud Hosting</t>
  </si>
  <si>
    <t>No</t>
  </si>
  <si>
    <t>GB</t>
  </si>
  <si>
    <t>per GB</t>
  </si>
  <si>
    <t>Apps Server</t>
  </si>
  <si>
    <t>Ubuntu</t>
  </si>
  <si>
    <t>A.2</t>
  </si>
  <si>
    <t>Security Services</t>
  </si>
  <si>
    <t>Unmetered Internet Bandwidth - Speed Based</t>
  </si>
  <si>
    <t>IPv4- Public IP - Internal Network</t>
  </si>
  <si>
    <t>A.3</t>
  </si>
  <si>
    <t>Database  - Managed Services (MSSQL Std Edition)</t>
  </si>
  <si>
    <t>Infrastructure (A.1 + A.2)</t>
  </si>
  <si>
    <t>Managed Services (A.4)</t>
  </si>
  <si>
    <t>Other (3yrs Managed services)</t>
  </si>
  <si>
    <t>Managed Support Services (03 Mandatory+02Years Extendable) Lenovo + Nutanix</t>
  </si>
  <si>
    <t>vCores 8 | RAM  16 GB |Performance Disk (1000 IOPs/TB) 500 GB | OS Ubuntu | DB NA</t>
  </si>
  <si>
    <t>Rate</t>
  </si>
  <si>
    <t>Amount</t>
  </si>
  <si>
    <t>Remark</t>
  </si>
  <si>
    <t>Cage for 2 Racks</t>
  </si>
  <si>
    <t>80 Sqft.</t>
  </si>
  <si>
    <t>18,00</t>
  </si>
  <si>
    <t>Racks with Metered iPDUs (1-phase 32 A- 2 Nos. on each rack)</t>
  </si>
  <si>
    <t>2 Nos.</t>
  </si>
  <si>
    <t>Rack Space Charges</t>
  </si>
  <si>
    <t>CCTV</t>
  </si>
  <si>
    <t>Biometric for each rack and cage entry/exit</t>
  </si>
  <si>
    <t>4 Nos.</t>
  </si>
  <si>
    <t>Input Cost</t>
  </si>
  <si>
    <t>Int Rate</t>
  </si>
  <si>
    <t>Total Inflow</t>
  </si>
  <si>
    <t xml:space="preserve"> Profitability Summary</t>
  </si>
  <si>
    <t>Cash Flow</t>
  </si>
  <si>
    <t>Total Outflow</t>
  </si>
  <si>
    <t>Particulars</t>
  </si>
  <si>
    <t>Amt ( in Rs)</t>
  </si>
  <si>
    <t>%</t>
  </si>
  <si>
    <t>Events</t>
  </si>
  <si>
    <t>payment %</t>
  </si>
  <si>
    <t>No of Months</t>
  </si>
  <si>
    <t>Inflow</t>
  </si>
  <si>
    <t>intial investment</t>
  </si>
  <si>
    <t>Net Inflow</t>
  </si>
  <si>
    <t>Interest Cost</t>
  </si>
  <si>
    <t>Selling Price</t>
  </si>
  <si>
    <t>50% of Hardware Delivery</t>
  </si>
  <si>
    <t>Hardware/server</t>
  </si>
  <si>
    <t xml:space="preserve">60% on completion of installation </t>
  </si>
  <si>
    <t xml:space="preserve">Software </t>
  </si>
  <si>
    <t>10% will be released after six months of acceptance sign-off</t>
  </si>
  <si>
    <t xml:space="preserve"> Finance Cost</t>
  </si>
  <si>
    <t>Total Contract Value</t>
  </si>
  <si>
    <t>Notes:</t>
  </si>
  <si>
    <t>Total Input Cost</t>
  </si>
  <si>
    <t>Gross Profit / ( Loss )</t>
  </si>
  <si>
    <t>EBITDA</t>
  </si>
  <si>
    <t>Interest charge on payment terms</t>
  </si>
  <si>
    <t>Net Profit</t>
  </si>
  <si>
    <t>Net Profit Margin</t>
  </si>
  <si>
    <t>Markup Percentage</t>
  </si>
  <si>
    <t>Profit % = (Total Contract Value- Total Input Cost)/ Total Input Cost</t>
  </si>
  <si>
    <t>Margin % =  (Total Contract Value- Total Input Cost)/ Total Contract Value</t>
  </si>
  <si>
    <t>IaaS capex cost shifted to dep</t>
  </si>
  <si>
    <t>Overhead 25% charged on dep also</t>
  </si>
  <si>
    <t>Server and costbackup working required for actual capex and direct overhead charges</t>
  </si>
  <si>
    <t>Interest cost</t>
  </si>
  <si>
    <t>Rent and power</t>
  </si>
  <si>
    <t xml:space="preserve">1. Overhead % will be consider as 10% </t>
  </si>
  <si>
    <t>VAPT - 65 Devices ( Yearly Once as per Call)</t>
  </si>
  <si>
    <t>Duration</t>
  </si>
  <si>
    <t>Security Audit VAPT (CERT-IN)</t>
  </si>
  <si>
    <t>One time Implementation charges</t>
  </si>
  <si>
    <t>Total Without GST</t>
  </si>
  <si>
    <t>Network</t>
  </si>
  <si>
    <t>Unetered Internet Bndwidth</t>
  </si>
  <si>
    <t>Caged racks with Physical Security</t>
  </si>
  <si>
    <t>NAS Storage - (108TB*3)  Price Recived from Comnet price list</t>
  </si>
  <si>
    <t>Discount</t>
  </si>
  <si>
    <t>DLP (60 users) </t>
  </si>
  <si>
    <t>Infra Mgmt Server</t>
  </si>
  <si>
    <t xml:space="preserve">Discount Sheet </t>
  </si>
  <si>
    <t>Enterprise Storage &amp; Backup Space (IaaS)</t>
  </si>
  <si>
    <t>UNIT</t>
  </si>
  <si>
    <t>COST/UNIT</t>
  </si>
  <si>
    <t>DISCOUNT (%)</t>
  </si>
  <si>
    <t>GeM feee</t>
  </si>
  <si>
    <t>COST/UNIT incl GeM fee</t>
  </si>
  <si>
    <t>Iaas</t>
  </si>
  <si>
    <t>vCPU  1P- 2vCPU</t>
  </si>
  <si>
    <t xml:space="preserve">vRAM </t>
  </si>
  <si>
    <t>Block Storage</t>
  </si>
  <si>
    <t>1 GB of Storage Space - 1000 IOPs/per TB</t>
  </si>
  <si>
    <t>1 GB of Storage Space - 3000 IOPs/per TB</t>
  </si>
  <si>
    <t>1 TB of Storage Space - 10000 IOPs/per TB</t>
  </si>
  <si>
    <t>1 TB of Storage Space - 300 IOPs/per TB</t>
  </si>
  <si>
    <t>1 TB Performance Storage Space - 1000 IOPs/per TB</t>
  </si>
  <si>
    <t>1 TB Performance Storage Storage Space - 3000 IOPs/per TB</t>
  </si>
  <si>
    <r>
      <t xml:space="preserve">Object Storage </t>
    </r>
    <r>
      <rPr>
        <sz val="10"/>
        <color rgb="FF0000FF"/>
        <rFont val="Calibri"/>
        <family val="2"/>
        <scheme val="minor"/>
      </rPr>
      <t>- (For All Virtual Instance)</t>
    </r>
  </si>
  <si>
    <r>
      <t xml:space="preserve">Archive Storage </t>
    </r>
    <r>
      <rPr>
        <sz val="10"/>
        <color rgb="FF0000FF"/>
        <rFont val="Calibri"/>
        <family val="2"/>
        <scheme val="minor"/>
      </rPr>
      <t>- (For All Virtual Instance)</t>
    </r>
  </si>
  <si>
    <r>
      <t xml:space="preserve">Backup Storage </t>
    </r>
    <r>
      <rPr>
        <sz val="10"/>
        <color rgb="FF0000FF"/>
        <rFont val="Calibri"/>
        <family val="2"/>
        <scheme val="minor"/>
      </rPr>
      <t>- (For All Virtual Instance)</t>
    </r>
  </si>
  <si>
    <t>B.2</t>
  </si>
  <si>
    <t>Software as Service (SaaS)</t>
  </si>
  <si>
    <t>COST/UNIT incl GST</t>
  </si>
  <si>
    <t>Windows Server 2012/ 2016/ 2019 Standard Edition</t>
  </si>
  <si>
    <t>CentOS/ Ubuntu</t>
  </si>
  <si>
    <t>Freeware</t>
  </si>
  <si>
    <t>MSSQL STD</t>
  </si>
  <si>
    <t>Oracle 19c SE</t>
  </si>
  <si>
    <t>Oracle 19c EE</t>
  </si>
  <si>
    <t>MSSQL Enterprise</t>
  </si>
  <si>
    <t>Backup Agent</t>
  </si>
  <si>
    <t>cPanel/WHM</t>
  </si>
  <si>
    <t>Database Performance Monitoring</t>
  </si>
  <si>
    <t>Security As Service</t>
  </si>
  <si>
    <t>Virtual External Firewall 1 Gbps throughput</t>
  </si>
  <si>
    <t xml:space="preserve">Internal Virtual Firewall 1 Gbps throughput </t>
  </si>
  <si>
    <t>vUTM- Internal Security</t>
  </si>
  <si>
    <t>Haltdos vWAF 1000 Mbps</t>
  </si>
  <si>
    <t>Haltdos</t>
  </si>
  <si>
    <t>SSL Certificate : Domain Wildcard SSL</t>
  </si>
  <si>
    <t>SSL Certificate : Domain SSL</t>
  </si>
  <si>
    <t>DDoS Mitigation as a Service -1 Gbps Mitigation</t>
  </si>
  <si>
    <t>Antivirus + HIPS</t>
  </si>
  <si>
    <t>Antivirus</t>
  </si>
  <si>
    <t>ESDS MFA - External Security</t>
  </si>
  <si>
    <t>EDR</t>
  </si>
  <si>
    <t>Enlight IAM</t>
  </si>
  <si>
    <t>VTM Scan - 4 Scan Monthly</t>
  </si>
  <si>
    <t>VAPT Audit CERT-IN- Quarterly</t>
  </si>
  <si>
    <t xml:space="preserve">vLoad Balancer </t>
  </si>
  <si>
    <t>Fortinet DLP Network External Security</t>
  </si>
  <si>
    <t xml:space="preserve">Network as Service </t>
  </si>
  <si>
    <t>Unmetered Internet Bandwidth at Datacenter Site</t>
  </si>
  <si>
    <t>Volume based Internet bandwidth - per GB</t>
  </si>
  <si>
    <t>IPv6</t>
  </si>
  <si>
    <t>IPv4</t>
  </si>
  <si>
    <t>Replication Link between DC - DR</t>
  </si>
  <si>
    <t xml:space="preserve">Cross Connect + Port Termination - 1 Gbps Fiber Port </t>
  </si>
  <si>
    <t>SSL-VPN</t>
  </si>
  <si>
    <t>IPSEC-VPN - Connectivity</t>
  </si>
  <si>
    <t>gDNS</t>
  </si>
  <si>
    <t>CDN as a service- per instance</t>
  </si>
  <si>
    <t>B.3</t>
  </si>
  <si>
    <t>Infra Monitoring and Mgmt and Other Services</t>
  </si>
  <si>
    <t>Operating System Management</t>
  </si>
  <si>
    <t>Database management - PostgreSQL and MySQL</t>
  </si>
  <si>
    <t>Database management - MSSQL</t>
  </si>
  <si>
    <t>MariaDB Database Managed Services (Up to 100 GB)</t>
  </si>
  <si>
    <t>vUTM Firewall - Security Mng - Managed Services</t>
  </si>
  <si>
    <t>Storage Management- per TB</t>
  </si>
  <si>
    <t>Backup Management - per VM</t>
  </si>
  <si>
    <t>Security Management Service (Firewall)</t>
  </si>
  <si>
    <t>Security Management Service (WAF)</t>
  </si>
  <si>
    <t xml:space="preserve">SIEM Management </t>
  </si>
  <si>
    <t>Virtual Load Balancer Management Service</t>
  </si>
  <si>
    <t>Replication Link Management</t>
  </si>
  <si>
    <t>Replication Management &amp; Configuation</t>
  </si>
  <si>
    <t>DRM Agent</t>
  </si>
  <si>
    <t>DR Drill</t>
  </si>
  <si>
    <t xml:space="preserve">eMagic Monitoring </t>
  </si>
  <si>
    <t>Enterprise Email as a Service - per mail box of 5 GB</t>
  </si>
  <si>
    <t>Email Gateway- Per 1 Lac Email</t>
  </si>
  <si>
    <t>SMS Gateway- Per 1 Lac SMS</t>
  </si>
  <si>
    <t>Simple Notification Service (SNS)</t>
  </si>
  <si>
    <t>Database performance Monitoring</t>
  </si>
  <si>
    <t>Application performance Monitoring</t>
  </si>
  <si>
    <t>SIEM+SOAR management</t>
  </si>
  <si>
    <t>Managed Services (OS, db, Storage, Firewall, Replication, Antivirus, EDR, XDR, SIEM, SOAR)</t>
  </si>
  <si>
    <t>Client Scope</t>
  </si>
  <si>
    <t>Redington Windows</t>
  </si>
  <si>
    <t>Ingrammicro</t>
  </si>
  <si>
    <t>Cyberdristi Pam DLP</t>
  </si>
  <si>
    <t>Fineshift GitLab</t>
  </si>
  <si>
    <t>#</t>
  </si>
  <si>
    <t>Item &amp; Description</t>
  </si>
  <si>
    <t>HSN/SAC</t>
  </si>
  <si>
    <t>CGST</t>
  </si>
  <si>
    <t>SGST</t>
  </si>
  <si>
    <t>31,200.00</t>
  </si>
  <si>
    <t>9%</t>
  </si>
  <si>
    <t>3,12,000.00</t>
  </si>
  <si>
    <t>Term 1st Year</t>
  </si>
  <si>
    <t>Term 2nd Year</t>
  </si>
  <si>
    <t>Term 3rd Year</t>
  </si>
  <si>
    <t>Sub Total</t>
  </si>
  <si>
    <t>9,36,000.00</t>
  </si>
  <si>
    <r>
      <rPr>
        <sz val="8"/>
        <color rgb="FF000000"/>
        <rFont val="Times New Roman"/>
        <family val="1"/>
      </rPr>
      <t>Total</t>
    </r>
    <r>
      <rPr>
        <sz val="8"/>
        <color rgb="FF000000"/>
        <rFont val="Times New Roman"/>
        <family val="1"/>
      </rPr>
      <t xml:space="preserve"> </t>
    </r>
    <r>
      <rPr>
        <sz val="8"/>
        <color rgb="FF000000"/>
        <rFont val="Times New Roman"/>
        <family val="1"/>
      </rPr>
      <t>In</t>
    </r>
    <r>
      <rPr>
        <sz val="8"/>
        <color rgb="FF000000"/>
        <rFont val="Times New Roman"/>
        <family val="1"/>
      </rPr>
      <t xml:space="preserve"> </t>
    </r>
    <r>
      <rPr>
        <sz val="8"/>
        <color rgb="FF000000"/>
        <rFont val="Times New Roman"/>
        <family val="1"/>
      </rPr>
      <t xml:space="preserve">Words
</t>
    </r>
    <r>
      <rPr>
        <b/>
        <sz val="8"/>
        <color rgb="FF000000"/>
        <rFont val="Times New Roman"/>
        <family val="1"/>
      </rPr>
      <t>Indian</t>
    </r>
    <r>
      <rPr>
        <b/>
        <sz val="8"/>
        <color rgb="FF000000"/>
        <rFont val="Times New Roman"/>
        <family val="1"/>
      </rPr>
      <t xml:space="preserve"> </t>
    </r>
    <r>
      <rPr>
        <b/>
        <sz val="8"/>
        <color rgb="FF000000"/>
        <rFont val="Times New Roman"/>
        <family val="1"/>
      </rPr>
      <t>Rupee</t>
    </r>
    <r>
      <rPr>
        <b/>
        <sz val="8"/>
        <color rgb="FF000000"/>
        <rFont val="Times New Roman"/>
        <family val="1"/>
      </rPr>
      <t xml:space="preserve"> </t>
    </r>
    <r>
      <rPr>
        <b/>
        <sz val="8"/>
        <color rgb="FF000000"/>
        <rFont val="Times New Roman"/>
        <family val="1"/>
      </rPr>
      <t xml:space="preserve"> </t>
    </r>
    <r>
      <rPr>
        <b/>
        <sz val="8"/>
        <color rgb="FF000000"/>
        <rFont val="Times New Roman"/>
        <family val="1"/>
      </rPr>
      <t>Eleven</t>
    </r>
    <r>
      <rPr>
        <b/>
        <sz val="8"/>
        <color rgb="FF000000"/>
        <rFont val="Times New Roman"/>
        <family val="1"/>
      </rPr>
      <t xml:space="preserve"> </t>
    </r>
    <r>
      <rPr>
        <b/>
        <sz val="8"/>
        <color rgb="FF000000"/>
        <rFont val="Times New Roman"/>
        <family val="1"/>
      </rPr>
      <t>Lakh</t>
    </r>
    <r>
      <rPr>
        <b/>
        <sz val="8"/>
        <color rgb="FF000000"/>
        <rFont val="Times New Roman"/>
        <family val="1"/>
      </rPr>
      <t xml:space="preserve"> </t>
    </r>
    <r>
      <rPr>
        <b/>
        <sz val="8"/>
        <color rgb="FF000000"/>
        <rFont val="Times New Roman"/>
        <family val="1"/>
      </rPr>
      <t>Four</t>
    </r>
    <r>
      <rPr>
        <b/>
        <sz val="8"/>
        <color rgb="FF000000"/>
        <rFont val="Times New Roman"/>
        <family val="1"/>
      </rPr>
      <t xml:space="preserve"> </t>
    </r>
    <r>
      <rPr>
        <b/>
        <sz val="8"/>
        <color rgb="FF000000"/>
        <rFont val="Times New Roman"/>
        <family val="1"/>
      </rPr>
      <t>Thousand</t>
    </r>
    <r>
      <rPr>
        <b/>
        <sz val="8"/>
        <color rgb="FF000000"/>
        <rFont val="Times New Roman"/>
        <family val="1"/>
      </rPr>
      <t xml:space="preserve"> </t>
    </r>
    <r>
      <rPr>
        <b/>
        <sz val="8"/>
        <color rgb="FF000000"/>
        <rFont val="Times New Roman"/>
        <family val="1"/>
      </rPr>
      <t>Four</t>
    </r>
    <r>
      <rPr>
        <b/>
        <sz val="8"/>
        <color rgb="FF000000"/>
        <rFont val="Times New Roman"/>
        <family val="1"/>
      </rPr>
      <t xml:space="preserve"> </t>
    </r>
    <r>
      <rPr>
        <b/>
        <sz val="8"/>
        <color rgb="FF000000"/>
        <rFont val="Times New Roman"/>
        <family val="1"/>
      </rPr>
      <t>Hundred</t>
    </r>
    <r>
      <rPr>
        <b/>
        <sz val="8"/>
        <color rgb="FF000000"/>
        <rFont val="Times New Roman"/>
        <family val="1"/>
      </rPr>
      <t xml:space="preserve"> </t>
    </r>
    <r>
      <rPr>
        <b/>
        <sz val="8"/>
        <color rgb="FF000000"/>
        <rFont val="Times New Roman"/>
        <family val="1"/>
      </rPr>
      <t>Eighty</t>
    </r>
    <r>
      <rPr>
        <b/>
        <sz val="8"/>
        <color rgb="FF000000"/>
        <rFont val="Times New Roman"/>
        <family val="1"/>
      </rPr>
      <t xml:space="preserve"> </t>
    </r>
    <r>
      <rPr>
        <b/>
        <sz val="8"/>
        <color rgb="FF000000"/>
        <rFont val="Times New Roman"/>
        <family val="1"/>
      </rPr>
      <t>Only</t>
    </r>
  </si>
  <si>
    <t>CGST9 (9%)</t>
  </si>
  <si>
    <t>84,240.00</t>
  </si>
  <si>
    <t>SGST9 (9%)</t>
  </si>
  <si>
    <t>Notes</t>
  </si>
  <si>
    <t>₹11,04,480.00</t>
  </si>
  <si>
    <t>Red Hat Enterprise Linux Server for Service Providers, Full Support (Physical or Virtual Nodes, Dedicated, Yearly) 3 year</t>
  </si>
  <si>
    <t>Red Hat Enterprise Linux Server for Service Providers, Diagnostic Support (Physical or Virtual Nodes, Dedicated, Yearly) 3 year</t>
  </si>
  <si>
    <t>Red Hat Enterprise Linux, Extended Life Cycle Support Add-On, Layered Support (Physical or Virtual Nodes, Dedicated, Yearly) 3 year</t>
  </si>
  <si>
    <t>12%CPC+2%Contingency</t>
  </si>
  <si>
    <t>15% margin</t>
  </si>
  <si>
    <t>Included in Fiewall</t>
  </si>
  <si>
    <t>As per prebid meeting not require</t>
  </si>
  <si>
    <t>50Vm's + 15 network devices</t>
  </si>
  <si>
    <t>Cloud  DC &amp; DR, Connectivity Services (P2P/Lease Line etc) 50 Mbps</t>
  </si>
  <si>
    <t>Lic</t>
  </si>
  <si>
    <t>Wing FTP server Corporate Set of 3 Lic</t>
  </si>
  <si>
    <t>IBM SPSS – AMOS version 28 with 3Yr Support Perpetual</t>
  </si>
  <si>
    <t xml:space="preserve">IBM SPSS – AMOS version 28 Perpetual Lic with 3Yr Support </t>
  </si>
  <si>
    <t>Line Number</t>
  </si>
  <si>
    <t>Service Duration</t>
  </si>
  <si>
    <t>(Months)</t>
  </si>
  <si>
    <t xml:space="preserve">Estimated Lead </t>
  </si>
  <si>
    <t>Time (Days)</t>
  </si>
  <si>
    <t>Unit Price INR</t>
  </si>
  <si>
    <t>Total Price iNR</t>
  </si>
  <si>
    <t>C9300-24T-E</t>
  </si>
  <si>
    <t>Catalyst 9300 24-port data only, Network Essentials</t>
  </si>
  <si>
    <t>---</t>
  </si>
  <si>
    <t>1.0.1</t>
  </si>
  <si>
    <t>CON-SNT-C93002TE</t>
  </si>
  <si>
    <t>SNTC-8X5XNBD Catalyst 9300 24-port data only, Network</t>
  </si>
  <si>
    <t>N/A</t>
  </si>
  <si>
    <t>C9300-DNA-E-24</t>
  </si>
  <si>
    <t>C9300 DNA Essentials, 24-Port Term Licenses</t>
  </si>
  <si>
    <t xml:space="preserve">                            -   </t>
  </si>
  <si>
    <t xml:space="preserve">                            -   </t>
  </si>
  <si>
    <t>1.1.1</t>
  </si>
  <si>
    <t>C9300-DNA-E-24-3Y</t>
  </si>
  <si>
    <t>C9300 DNA Essentials, 24-Port, 3 Year Term License</t>
  </si>
  <si>
    <t>C9300-NW-E-24</t>
  </si>
  <si>
    <t>C9300 Network Essentials, 24-port license</t>
  </si>
  <si>
    <t xml:space="preserve">                            -   </t>
  </si>
  <si>
    <t>SC9300UK9-1712</t>
  </si>
  <si>
    <t>Cisco Catalyst 9300 XE 17.12 UNIVERSAL</t>
  </si>
  <si>
    <t>PWR-C1-350WAC-P</t>
  </si>
  <si>
    <t>350W AC 80+ platinum Config 1 Power Supply</t>
  </si>
  <si>
    <t xml:space="preserve">                            -   </t>
  </si>
  <si>
    <t>PWR-C1-350WAC-P/2</t>
  </si>
  <si>
    <t>350W AC 80+ platinum Config 1 Secondary Power Supply</t>
  </si>
  <si>
    <t>CAB-TA-IN</t>
  </si>
  <si>
    <t>India AC Type A Power Cable</t>
  </si>
  <si>
    <t xml:space="preserve">                            -   </t>
  </si>
  <si>
    <t>C9300-SSD-NONE</t>
  </si>
  <si>
    <t>No SSD Card Selected</t>
  </si>
  <si>
    <t>STACK-T1-50CM</t>
  </si>
  <si>
    <t>50CM Type 1 Stacking Cable</t>
  </si>
  <si>
    <t>CAB-SPWR-30CM</t>
  </si>
  <si>
    <t>Catalyst Stack Power Cable 30 CM</t>
  </si>
  <si>
    <t>C9K-ACC-RBFT</t>
  </si>
  <si>
    <t>RUBBER FEET FOR TABLE TOP SETUP 9200 and 93xx</t>
  </si>
  <si>
    <t>C9K-ACC-SCR-4</t>
  </si>
  <si>
    <t>12-24 and 10-32 SCREWS FOR RACK INSTALLATION, QTY 4</t>
  </si>
  <si>
    <t>CAB-GUIDE-1RU</t>
  </si>
  <si>
    <t>1RU CABLE MANAGEMENT GUIDES 9200 and 9300</t>
  </si>
  <si>
    <t>C9300-NM-8X</t>
  </si>
  <si>
    <t>Catalyst 9300 8 x 10GE Network Module</t>
  </si>
  <si>
    <t>NETWORK-PNP-LIC</t>
  </si>
  <si>
    <t>Network Plug-n-Play Connect for zero-touch device deployment</t>
  </si>
  <si>
    <t>C9300X-24Y-E</t>
  </si>
  <si>
    <t>Catalyst 9300X  24x25G Fiber Ports, modular uplink Switch</t>
  </si>
  <si>
    <t>2.0.1</t>
  </si>
  <si>
    <t>CON-SNT-C9300XYE</t>
  </si>
  <si>
    <t>SNTC-8X5XNBD Catalyst 9300X 24x25G Fiber Ports, modul</t>
  </si>
  <si>
    <t>C9300X-DNA-24Y-E</t>
  </si>
  <si>
    <t>C9300 DNA Essentials, Term License</t>
  </si>
  <si>
    <t>2.1.1</t>
  </si>
  <si>
    <t>C9300-DNA-L-E-3Y</t>
  </si>
  <si>
    <t>DNA Essentials 3 Year License</t>
  </si>
  <si>
    <t>D-DNAS-EXT-S-T</t>
  </si>
  <si>
    <t>Cisco DNA Spaces Extend Term License for Catalyst Switches</t>
  </si>
  <si>
    <t>2.2.1</t>
  </si>
  <si>
    <t>D-DNAS-EXT-S-3Y</t>
  </si>
  <si>
    <t>Cisco DNA Spaces Extend for Catalyst Switching - 3Year</t>
  </si>
  <si>
    <t>SC9300UK9-1715</t>
  </si>
  <si>
    <t>CAT9300/9400/9500/9600 UNIVERSAL</t>
  </si>
  <si>
    <t>PWR-C1-715WAC-P</t>
  </si>
  <si>
    <t>715W AC 80+ platinum Config 1 Power Supply</t>
  </si>
  <si>
    <t>C9300-SPS-NONE</t>
  </si>
  <si>
    <t>No Secondary Power Supply Selected</t>
  </si>
  <si>
    <t>C9300X-NW-E-24</t>
  </si>
  <si>
    <t>C9300-SPWR-NONE</t>
  </si>
  <si>
    <t>No Stack Power Cable Selected</t>
  </si>
  <si>
    <t>C9300X-NM-8Y</t>
  </si>
  <si>
    <t>Catalyst 9300 8 x 10G/25G Network Module SFP+/SFP28</t>
  </si>
  <si>
    <t>C9200L-24T-4G-E</t>
  </si>
  <si>
    <t>Catalyst 9200L 24-port data only, 4 x 1G, Network Essentials</t>
  </si>
  <si>
    <t>3.0.1</t>
  </si>
  <si>
    <t>CON-SNT-C920L24T</t>
  </si>
  <si>
    <t>SNTC-8X5XNBD Catalyst 9200L 24-port data, 4 x 1G, Net</t>
  </si>
  <si>
    <t>C9200L-DNA-E-24</t>
  </si>
  <si>
    <t>C9200L Cisco DNA Essentials, 24-port Term license</t>
  </si>
  <si>
    <t>3.1.1</t>
  </si>
  <si>
    <t>C9200L-DNA-E-24-3Y</t>
  </si>
  <si>
    <t>C9200L Cisco DNA Essentials, 24-port, 3 Year Term license</t>
  </si>
  <si>
    <t>C9200L-NW-E-24</t>
  </si>
  <si>
    <t>C9200L Network Essentials, 24-port license</t>
  </si>
  <si>
    <t>PWR-C5-BLANK</t>
  </si>
  <si>
    <t>Config 5 Power Supply Blank</t>
  </si>
  <si>
    <t>C9200L-STACK-KIT</t>
  </si>
  <si>
    <t>Cisco Catalyst 9200L Stack Module</t>
  </si>
  <si>
    <t>C9200-STACK</t>
  </si>
  <si>
    <t>Catalyst 9200 Stack Module</t>
  </si>
  <si>
    <t>STACK-T4-50CM</t>
  </si>
  <si>
    <t>50CM Type 4 Stacking Cable</t>
  </si>
  <si>
    <t>C8200-1N-4T</t>
  </si>
  <si>
    <t>Cisco Catalyst C8200-1N-4T Router</t>
  </si>
  <si>
    <t>4.0.1</t>
  </si>
  <si>
    <t>CON-SNT-C82001N4</t>
  </si>
  <si>
    <t>SNTC-8X5XNBD Cisco Catalyst C8200</t>
  </si>
  <si>
    <t>MEM-C8200-8GB</t>
  </si>
  <si>
    <t>Cisco Catalyst 8200 Edge 8GB memory</t>
  </si>
  <si>
    <t>M2USB-16G</t>
  </si>
  <si>
    <t>Cisco Catalyst 8000 Edge M.2 USB 16GB</t>
  </si>
  <si>
    <t>C-RFID-1R</t>
  </si>
  <si>
    <t>RFID - 1RU for Cisco 8200/8300/8400/8500L Series</t>
  </si>
  <si>
    <t>C8200-RM-19-1R</t>
  </si>
  <si>
    <t>Cisco Catalyst 8200 Rack mount kit - 19" 1R</t>
  </si>
  <si>
    <t>                            -   </t>
  </si>
  <si>
    <t>C8200-NIM-BLANK</t>
  </si>
  <si>
    <t>Cisco Catalyst 8200 Edge NIM Blank</t>
  </si>
  <si>
    <t>C8200-PIM-BLANK</t>
  </si>
  <si>
    <t>PIM Blank for Cisco 8200 Series</t>
  </si>
  <si>
    <t>TE-R-SW</t>
  </si>
  <si>
    <t>TE agent for IOSXE on Enterprise Routing</t>
  </si>
  <si>
    <t>DNA-C8200-SW</t>
  </si>
  <si>
    <t>Cisco DNA subscription for C8200 series</t>
  </si>
  <si>
    <t xml:space="preserve">                            -   </t>
  </si>
  <si>
    <t>4.9.1</t>
  </si>
  <si>
    <t>DNA-P-T0-E-3Y</t>
  </si>
  <si>
    <t>Cisco DNA Essentials On-Prem Lic 3Y - upto 25M (Aggr, 50M)</t>
  </si>
  <si>
    <t xml:space="preserve">Initial Term - 36.00 Months   |   Auto Renewal Term - 0 Months   |   Billing Model - Prepaid Term </t>
  </si>
  <si>
    <t>4.9.2</t>
  </si>
  <si>
    <t>SVS-PDNA-ESS</t>
  </si>
  <si>
    <t>Cisco Support Standard - Tiered  DNA Essentials On-Prem</t>
  </si>
  <si>
    <t>4.9.3</t>
  </si>
  <si>
    <t>DSTACK-T0-E</t>
  </si>
  <si>
    <t>Cisco DNA Essentials Stack - upto 25M (Aggr, 50M)</t>
  </si>
  <si>
    <t>4.9.4</t>
  </si>
  <si>
    <t>NWSTACK-T0-E</t>
  </si>
  <si>
    <t>Cisco Network Essentials Stack - upto 25M (Aggr, 50M)</t>
  </si>
  <si>
    <t>4.9.5</t>
  </si>
  <si>
    <t>SDWAN-UMB-ESS</t>
  </si>
  <si>
    <t>Cisco Umbrella for DNA Essentials</t>
  </si>
  <si>
    <t>4.9.6</t>
  </si>
  <si>
    <t>DNAC-ONPREM-PF</t>
  </si>
  <si>
    <t>Cisco DNA Center On Prem Deployment Option for WAN</t>
  </si>
  <si>
    <t>4.9.7</t>
  </si>
  <si>
    <t>C82-1N-4T-PF</t>
  </si>
  <si>
    <t>C8200-1N-4T Platform Selection for DNA Subscription</t>
  </si>
  <si>
    <t xml:space="preserve">                            -   </t>
  </si>
  <si>
    <t>4.9.8</t>
  </si>
  <si>
    <t>IOSXE-AUTO-MODE-PF</t>
  </si>
  <si>
    <t>IOS XE Autonomous for Unified image</t>
  </si>
  <si>
    <t>C8000-HSEC</t>
  </si>
  <si>
    <t>U.S. Export Restriction Compliance license for C8000 series</t>
  </si>
  <si>
    <t>CAB-IND</t>
  </si>
  <si>
    <t>AC Power Cord (India)</t>
  </si>
  <si>
    <t>SC8KBEUK9-1715</t>
  </si>
  <si>
    <t>Catalyst 8200/8200L/8300 Series Edge - UNIVERSAL</t>
  </si>
  <si>
    <t>IOSXE-AUTO-MODE</t>
  </si>
  <si>
    <t>PWR-CC1-150WAC</t>
  </si>
  <si>
    <t>Cisco C8200 1RU AC 150W PoE Power supply</t>
  </si>
  <si>
    <t>L3</t>
  </si>
  <si>
    <t>L2</t>
  </si>
  <si>
    <t xml:space="preserve">         158806.72 </t>
  </si>
  <si>
    <t xml:space="preserve">             56680.18 </t>
  </si>
  <si>
    <t xml:space="preserve">             20375.99 </t>
  </si>
  <si>
    <t xml:space="preserve">             18708.57 </t>
  </si>
  <si>
    <t xml:space="preserve">               2878.21 </t>
  </si>
  <si>
    <t xml:space="preserve">               2734.41 </t>
  </si>
  <si>
    <t xml:space="preserve">             73395.41 </t>
  </si>
  <si>
    <t xml:space="preserve">         932634.36 </t>
  </si>
  <si>
    <t xml:space="preserve">         299244.04 </t>
  </si>
  <si>
    <t xml:space="preserve">             39393.57 </t>
  </si>
  <si>
    <t xml:space="preserve">             67523.78 </t>
  </si>
  <si>
    <t xml:space="preserve">             67808.11 </t>
  </si>
  <si>
    <t xml:space="preserve">             24720.75 </t>
  </si>
  <si>
    <t xml:space="preserve">             20376.84 </t>
  </si>
  <si>
    <t xml:space="preserve">             41657.95 </t>
  </si>
  <si>
    <t xml:space="preserve">         145282.06 </t>
  </si>
  <si>
    <t xml:space="preserve">             63235.96 </t>
  </si>
  <si>
    <t xml:space="preserve">             38313.00 </t>
  </si>
  <si>
    <t xml:space="preserve">             80130.33 </t>
  </si>
  <si>
    <t>L3 switch</t>
  </si>
  <si>
    <t>10G isci</t>
  </si>
  <si>
    <t>FC Switch</t>
  </si>
  <si>
    <t>Uified Storage</t>
  </si>
  <si>
    <t>Power</t>
  </si>
  <si>
    <t>28kVA</t>
  </si>
  <si>
    <t>Power Tariff kVA</t>
  </si>
  <si>
    <t>Infra Monitoring system</t>
  </si>
  <si>
    <t>IBM Qradar</t>
  </si>
  <si>
    <t>SIEM SOAR 1st Yr</t>
  </si>
  <si>
    <t>2nd Yr</t>
  </si>
  <si>
    <t>3rd Yr</t>
  </si>
  <si>
    <t>SOAR + SIEM wih 1000 EPS for 3 yrs</t>
  </si>
  <si>
    <t>Lenovo ThinkSystem DG5200 QLC All Flash Array</t>
  </si>
  <si>
    <t>Lenovo ThinkSystem 30.7TB (2x 15.36TB QLC NVMe SED) Drive Pack</t>
  </si>
  <si>
    <t>Lenovo 5m LC-LC OM4 MMF Cable</t>
  </si>
  <si>
    <t>Top Choice flag</t>
  </si>
  <si>
    <t>Lenovo ThinkSystem DM/DG/DS Jupiter/Saturn 2U24 NVMe Bezel</t>
  </si>
  <si>
    <t>Lenovo ThinkSystem NVMe Jupiter/Saturn Packaging</t>
  </si>
  <si>
    <t>Additional line item</t>
  </si>
  <si>
    <t>Wing FTP server Corporate Set of 3 Lic 2yr Support</t>
  </si>
  <si>
    <t>Kaspersky KUMA(SIEM) and XDR</t>
  </si>
  <si>
    <t>Product/Service Description</t>
  </si>
  <si>
    <t>Price in INR</t>
  </si>
  <si>
    <t>Kaspersky Unified Monitoring and Analysis Platform with Netflow support</t>
  </si>
  <si>
    <t>3 years</t>
  </si>
  <si>
    <t>Kaspersky Next XDR Expert</t>
  </si>
  <si>
    <t>IBM Parser need to develop by ESDS team</t>
  </si>
  <si>
    <t>XDR - 50 VM+ Other Devices 15 EDR included</t>
  </si>
  <si>
    <t xml:space="preserve">OTC </t>
  </si>
  <si>
    <t>5 yr</t>
  </si>
  <si>
    <t>26 l</t>
  </si>
  <si>
    <t>57 l</t>
  </si>
  <si>
    <t>Input Price</t>
  </si>
  <si>
    <t>Less: Cash Overheads -MS</t>
  </si>
  <si>
    <t>Less: Cash Overheads -H&amp;S</t>
  </si>
  <si>
    <t>BroadBand</t>
  </si>
  <si>
    <t>Broad Band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</si>
</sst>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8" formatCode="&quot;₹&quot;\ #,##0.00;[Red]&quot;₹&quot;\ \-#,##0.00"/>
    <numFmt numFmtId="44" formatCode="_ &quot;₹&quot;\ * #,##0.00_ ;_ &quot;₹&quot;\ * \-#,##0.00_ ;_ &quot;₹&quot;\ * &quot;-&quot;??_ ;_ @_ "/>
    <numFmt numFmtId="43" formatCode="_ * #,##0.00_ ;_ * \-#,##0.00_ ;_ * &quot;-&quot;??_ ;_ @_ "/>
    <numFmt numFmtId="164" formatCode="_(&quot;$&quot;* #,##0.00_);_(&quot;$&quot;* \(#,##0.00\);_(&quot;$&quot;* &quot;-&quot;??_);_(@_)"/>
    <numFmt numFmtId="165" formatCode="_(* #,##0.00_);_(* \(#,##0.00\);_(* &quot;-&quot;??_);_(@_)"/>
    <numFmt numFmtId="166" formatCode="General\ &quot;Years&quot;"/>
    <numFmt numFmtId="167" formatCode="_([$INR]\ * #,##0_);_([$INR]\ * \(#,##0\);_([$INR]\ * &quot;-&quot;??_);_(@_)"/>
    <numFmt numFmtId="168" formatCode="General\ &quot;No&quot;"/>
    <numFmt numFmtId="169" formatCode="&quot;₹&quot;\ #,##0.00"/>
    <numFmt numFmtId="170" formatCode="&quot;₹&quot;\ #,##0"/>
    <numFmt numFmtId="171" formatCode="General\ &quot;GB&quot;"/>
    <numFmt numFmtId="172" formatCode="_(\₹* #,##0.00_);_(\₹* \(#,##0.00\);_(\₹* &quot;-&quot;??_);_(@_)"/>
    <numFmt numFmtId="173" formatCode="[$₹-4009]\ #,##0"/>
    <numFmt numFmtId="174" formatCode="General\ &quot;Nos.&quot;"/>
    <numFmt numFmtId="175" formatCode="General\ &quot;TB&quot;"/>
    <numFmt numFmtId="176" formatCode="General\ &quot;Mbps.&quot;"/>
    <numFmt numFmtId="177" formatCode="[$₹-4009]\ #,##0.00"/>
    <numFmt numFmtId="178" formatCode="#,##0.00000"/>
    <numFmt numFmtId="179" formatCode="_-&quot;₹&quot;* #,##0_-;\-&quot;₹&quot;* #,##0_-;_-&quot;₹&quot;* &quot;-&quot;_-;_-@_-"/>
    <numFmt numFmtId="180" formatCode="General\ &quot;NO&quot;"/>
    <numFmt numFmtId="181" formatCode="General\ &quot;Mbps&quot;"/>
    <numFmt numFmtId="182" formatCode="_(* #,##0_);_(* \(#,##0\);_(* &quot;-&quot;??_);_(@_)"/>
    <numFmt numFmtId="183" formatCode="_-* #,##0_-;\-* #,##0_-;_-* &quot;-&quot;??_-;_-@_-"/>
    <numFmt numFmtId="184" formatCode="0.0%"/>
    <numFmt numFmtId="185" formatCode="_ * #,##0_ ;_ * \-#,##0_ ;_ * &quot;-&quot;??_ ;_ @_ "/>
    <numFmt numFmtId="186" formatCode="#,##0.000000"/>
    <numFmt numFmtId="187" formatCode="&quot;₹&quot;#,##0.00"/>
  </numFmts>
  <fonts count="98">
    <font>
      <sz val="11"/>
      <color theme="1"/>
      <name val="Calibri"/>
      <family val="2"/>
      <scheme val="minor"/>
    </font>
    <font>
      <b/>
      <sz val="11"/>
      <color theme="1"/>
      <name val="Calibri"/>
      <family val="2"/>
      <scheme val="minor"/>
    </font>
    <font>
      <sz val="11"/>
      <color rgb="FF000000"/>
      <name val="Calibri"/>
      <family val="2"/>
      <scheme val="minor"/>
    </font>
    <font>
      <sz val="12"/>
      <name val="Times New Roman"/>
      <family val="1"/>
    </font>
    <font>
      <sz val="10"/>
      <name val="Helv"/>
      <charset val="204"/>
    </font>
    <font>
      <sz val="10"/>
      <name val="Helv"/>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name val="Arial"/>
      <family val="2"/>
    </font>
    <font>
      <i/>
      <sz val="11"/>
      <color indexed="23"/>
      <name val="Calibri"/>
      <family val="2"/>
    </font>
    <font>
      <sz val="11"/>
      <color indexed="17"/>
      <name val="Calibri"/>
      <family val="2"/>
    </font>
    <font>
      <b/>
      <sz val="12"/>
      <name val="Arial"/>
      <family val="2"/>
      <charset val="177"/>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62"/>
      <name val="Cambria"/>
      <family val="2"/>
    </font>
    <font>
      <b/>
      <sz val="11"/>
      <color indexed="8"/>
      <name val="Calibri"/>
      <family val="2"/>
    </font>
    <font>
      <sz val="11"/>
      <color indexed="10"/>
      <name val="Calibri"/>
      <family val="2"/>
    </font>
    <font>
      <sz val="11"/>
      <color theme="1"/>
      <name val="Calibri"/>
      <family val="2"/>
      <scheme val="minor"/>
    </font>
    <font>
      <b/>
      <sz val="11"/>
      <color theme="0"/>
      <name val="Calibri"/>
      <family val="2"/>
      <scheme val="minor"/>
    </font>
    <font>
      <sz val="11"/>
      <color theme="0"/>
      <name val="Calibri"/>
      <family val="2"/>
      <scheme val="minor"/>
    </font>
    <font>
      <b/>
      <sz val="11"/>
      <name val="Calibri"/>
      <family val="2"/>
      <scheme val="minor"/>
    </font>
    <font>
      <sz val="11"/>
      <name val="Calibri"/>
      <family val="2"/>
      <scheme val="minor"/>
    </font>
    <font>
      <sz val="11"/>
      <color theme="1" tint="4.9989318521683403E-2"/>
      <name val="Calibri"/>
      <family val="2"/>
      <scheme val="minor"/>
    </font>
    <font>
      <b/>
      <sz val="11"/>
      <color indexed="8"/>
      <name val="Calibri"/>
      <family val="2"/>
      <scheme val="minor"/>
    </font>
    <font>
      <sz val="11"/>
      <color indexed="8"/>
      <name val="Calibri"/>
      <family val="2"/>
      <scheme val="minor"/>
    </font>
    <font>
      <u/>
      <sz val="11"/>
      <color theme="10"/>
      <name val="Calibri"/>
      <family val="2"/>
      <scheme val="minor"/>
    </font>
    <font>
      <sz val="12"/>
      <color theme="1"/>
      <name val="Calibri"/>
      <family val="2"/>
      <scheme val="minor"/>
    </font>
    <font>
      <b/>
      <sz val="11"/>
      <color theme="1"/>
      <name val="Calibri Light"/>
      <family val="1"/>
      <scheme val="major"/>
    </font>
    <font>
      <b/>
      <sz val="16"/>
      <name val="Calibri"/>
      <family val="2"/>
      <scheme val="minor"/>
    </font>
    <font>
      <b/>
      <sz val="11"/>
      <color rgb="FF000000"/>
      <name val="Aptos"/>
      <family val="2"/>
    </font>
    <font>
      <sz val="11"/>
      <color rgb="FF000000"/>
      <name val="Aptos"/>
      <family val="2"/>
    </font>
    <font>
      <sz val="12"/>
      <color rgb="FF000000"/>
      <name val="Times New Roman"/>
      <family val="1"/>
    </font>
    <font>
      <sz val="10"/>
      <color rgb="FF000000"/>
      <name val="Times New Roman"/>
      <family val="1"/>
    </font>
    <font>
      <sz val="11"/>
      <color rgb="FF000000"/>
      <name val="Times New Roman"/>
      <family val="1"/>
    </font>
    <font>
      <sz val="11"/>
      <color theme="1"/>
      <name val="Arial"/>
      <family val="2"/>
    </font>
    <font>
      <sz val="11"/>
      <color rgb="FF000000"/>
      <name val="Calibri"/>
      <family val="2"/>
      <charset val="204"/>
    </font>
    <font>
      <sz val="10"/>
      <color theme="1"/>
      <name val="Arial"/>
      <family val="2"/>
    </font>
    <font>
      <b/>
      <sz val="12"/>
      <color indexed="9"/>
      <name val="Arial"/>
      <family val="2"/>
    </font>
    <font>
      <sz val="12"/>
      <name val="Arial"/>
      <family val="2"/>
    </font>
    <font>
      <b/>
      <sz val="12"/>
      <name val="Arial"/>
      <family val="2"/>
    </font>
    <font>
      <b/>
      <sz val="12"/>
      <color theme="1"/>
      <name val="Arial"/>
      <family val="2"/>
    </font>
    <font>
      <b/>
      <sz val="11"/>
      <color rgb="FFFFFFFF"/>
      <name val="Book Antiqua"/>
      <family val="1"/>
    </font>
    <font>
      <sz val="10"/>
      <color rgb="FF000000"/>
      <name val="Book Antiqua"/>
      <family val="1"/>
    </font>
    <font>
      <b/>
      <sz val="10"/>
      <color rgb="FF000000"/>
      <name val="Aptos"/>
      <family val="2"/>
    </font>
    <font>
      <sz val="10"/>
      <color rgb="FF000000"/>
      <name val="Aptos"/>
      <family val="2"/>
    </font>
    <font>
      <sz val="10"/>
      <color rgb="FFFFFFFF"/>
      <name val="Aptos"/>
      <family val="2"/>
    </font>
    <font>
      <b/>
      <sz val="9"/>
      <color rgb="FF000000"/>
      <name val="Verdana"/>
      <family val="2"/>
    </font>
    <font>
      <b/>
      <sz val="9"/>
      <color rgb="FF3333CC"/>
      <name val="Verdana"/>
      <family val="2"/>
    </font>
    <font>
      <sz val="9"/>
      <color rgb="FF000000"/>
      <name val="Verdana"/>
      <family val="2"/>
    </font>
    <font>
      <sz val="9"/>
      <color theme="1"/>
      <name val="Verdana"/>
      <family val="2"/>
    </font>
    <font>
      <b/>
      <sz val="12"/>
      <color rgb="FF000000"/>
      <name val="Aptos Narrow"/>
      <family val="2"/>
    </font>
    <font>
      <sz val="10"/>
      <color rgb="FF000000"/>
      <name val="Arial"/>
      <family val="2"/>
    </font>
    <font>
      <sz val="10"/>
      <color rgb="FF000000"/>
      <name val="Aptos Narrow"/>
      <family val="2"/>
    </font>
    <font>
      <sz val="11"/>
      <color rgb="FF000000"/>
      <name val="Aptos Narrow"/>
      <family val="2"/>
    </font>
    <font>
      <b/>
      <sz val="11"/>
      <color theme="4" tint="-0.249977111117893"/>
      <name val="Arial"/>
      <family val="2"/>
    </font>
    <font>
      <sz val="11"/>
      <name val="Calibri"/>
      <family val="2"/>
    </font>
    <font>
      <sz val="11"/>
      <color rgb="FFFF0000"/>
      <name val="Arial"/>
      <family val="2"/>
    </font>
    <font>
      <b/>
      <i/>
      <sz val="11"/>
      <color rgb="FFFF0000"/>
      <name val="Arial"/>
      <family val="2"/>
    </font>
    <font>
      <b/>
      <sz val="16"/>
      <color theme="1"/>
      <name val="Arial"/>
      <family val="2"/>
    </font>
    <font>
      <b/>
      <sz val="16"/>
      <color theme="0"/>
      <name val="Arial"/>
      <family val="2"/>
    </font>
    <font>
      <b/>
      <sz val="11"/>
      <color theme="1"/>
      <name val="Arial"/>
      <family val="2"/>
    </font>
    <font>
      <b/>
      <sz val="11"/>
      <color rgb="FFFF0000"/>
      <name val="Arial"/>
      <family val="2"/>
    </font>
    <font>
      <b/>
      <sz val="11"/>
      <name val="Arial"/>
      <family val="2"/>
    </font>
    <font>
      <sz val="11"/>
      <color theme="2"/>
      <name val="Arial"/>
      <family val="2"/>
    </font>
    <font>
      <sz val="11"/>
      <color theme="4" tint="-0.249977111117893"/>
      <name val="Arial"/>
      <family val="2"/>
    </font>
    <font>
      <sz val="11"/>
      <color theme="0" tint="-0.14999847407452621"/>
      <name val="Arial"/>
      <family val="2"/>
    </font>
    <font>
      <b/>
      <sz val="11"/>
      <color theme="0" tint="-0.14999847407452621"/>
      <name val="Arial"/>
      <family val="2"/>
    </font>
    <font>
      <b/>
      <sz val="11"/>
      <color theme="1"/>
      <name val="Calibri"/>
      <family val="2"/>
    </font>
    <font>
      <sz val="11"/>
      <color theme="1"/>
      <name val="Calibri"/>
      <family val="2"/>
    </font>
    <font>
      <sz val="11"/>
      <color rgb="FFFF0000"/>
      <name val="Calibri"/>
      <family val="2"/>
      <scheme val="minor"/>
    </font>
    <font>
      <b/>
      <sz val="14"/>
      <color theme="4" tint="-0.249977111117893"/>
      <name val="Calibri"/>
      <family val="2"/>
      <scheme val="minor"/>
    </font>
    <font>
      <b/>
      <sz val="11"/>
      <color theme="4"/>
      <name val="Calibri"/>
      <family val="2"/>
      <scheme val="minor"/>
    </font>
    <font>
      <sz val="10"/>
      <color rgb="FFFF0000"/>
      <name val="Calibri"/>
      <family val="2"/>
      <scheme val="minor"/>
    </font>
    <font>
      <b/>
      <sz val="10"/>
      <color theme="0"/>
      <name val="Calibri"/>
      <family val="2"/>
      <scheme val="minor"/>
    </font>
    <font>
      <b/>
      <sz val="10"/>
      <color rgb="FF0070C0"/>
      <name val="Calibri"/>
      <family val="2"/>
      <scheme val="minor"/>
    </font>
    <font>
      <sz val="10"/>
      <color theme="1"/>
      <name val="Calibri"/>
      <family val="2"/>
      <scheme val="minor"/>
    </font>
    <font>
      <b/>
      <sz val="10"/>
      <color theme="1"/>
      <name val="Calibri"/>
      <family val="2"/>
      <scheme val="minor"/>
    </font>
    <font>
      <sz val="10"/>
      <color rgb="FF0000FF"/>
      <name val="Calibri"/>
      <family val="2"/>
      <scheme val="minor"/>
    </font>
    <font>
      <sz val="10"/>
      <color rgb="FF000000"/>
      <name val="Calibri"/>
      <family val="2"/>
      <scheme val="minor"/>
    </font>
    <font>
      <sz val="10"/>
      <color rgb="FF313335"/>
      <name val="Roboto"/>
    </font>
    <font>
      <sz val="8"/>
      <color rgb="FF000000"/>
      <name val="Times New Roman"/>
      <family val="1"/>
    </font>
    <font>
      <b/>
      <sz val="8"/>
      <color rgb="FF000000"/>
      <name val="Times New Roman"/>
      <family val="1"/>
    </font>
    <font>
      <b/>
      <sz val="11"/>
      <name val="Calibri"/>
      <family val="2"/>
    </font>
    <font>
      <b/>
      <sz val="9"/>
      <color rgb="FF000000"/>
      <name val="Arial"/>
      <family val="2"/>
    </font>
    <font>
      <sz val="9"/>
      <color rgb="FF000000"/>
      <name val="Arial"/>
      <family val="2"/>
    </font>
    <font>
      <sz val="11"/>
      <color rgb="FF000000"/>
      <name val="Calibri"/>
      <family val="2"/>
    </font>
    <font>
      <b/>
      <sz val="11"/>
      <color rgb="FF000000"/>
      <name val="Calibri"/>
      <family val="2"/>
    </font>
    <font>
      <b/>
      <sz val="12"/>
      <color theme="0"/>
      <name val="Arial"/>
      <family val="2"/>
    </font>
    <font>
      <sz val="11"/>
      <color theme="0" tint="-0.249977111117893"/>
      <name val="Calibri"/>
      <family val="2"/>
      <scheme val="minor"/>
    </font>
    <font>
      <b/>
      <sz val="11"/>
      <color theme="0" tint="-0.249977111117893"/>
      <name val="Calibri"/>
      <family val="2"/>
      <scheme val="minor"/>
    </font>
  </fonts>
  <fills count="68">
    <fill>
      <patternFill patternType="none"/>
    </fill>
    <fill>
      <patternFill patternType="gray125"/>
    </fill>
    <fill>
      <patternFill patternType="solid">
        <fgColor theme="7"/>
        <bgColor indexed="64"/>
      </patternFill>
    </fill>
    <fill>
      <patternFill patternType="solid">
        <fgColor theme="4" tint="-0.249977111117893"/>
        <bgColor indexed="64"/>
      </patternFill>
    </fill>
    <fill>
      <patternFill patternType="solid">
        <fgColor indexed="9"/>
      </patternFill>
    </fill>
    <fill>
      <patternFill patternType="solid">
        <fgColor indexed="47"/>
      </patternFill>
    </fill>
    <fill>
      <patternFill patternType="solid">
        <fgColor indexed="26"/>
      </patternFill>
    </fill>
    <fill>
      <patternFill patternType="solid">
        <fgColor indexed="27"/>
      </patternFill>
    </fill>
    <fill>
      <patternFill patternType="solid">
        <fgColor indexed="22"/>
      </patternFill>
    </fill>
    <fill>
      <patternFill patternType="solid">
        <fgColor indexed="29"/>
      </patternFill>
    </fill>
    <fill>
      <patternFill patternType="solid">
        <fgColor indexed="43"/>
      </patternFill>
    </fill>
    <fill>
      <patternFill patternType="solid">
        <fgColor indexed="44"/>
      </patternFill>
    </fill>
    <fill>
      <patternFill patternType="solid">
        <fgColor indexed="49"/>
      </patternFill>
    </fill>
    <fill>
      <patternFill patternType="solid">
        <fgColor indexed="10"/>
      </patternFill>
    </fill>
    <fill>
      <patternFill patternType="solid">
        <fgColor indexed="19"/>
      </patternFill>
    </fill>
    <fill>
      <patternFill patternType="solid">
        <fgColor indexed="54"/>
      </patternFill>
    </fill>
    <fill>
      <patternFill patternType="solid">
        <fgColor indexed="53"/>
      </patternFill>
    </fill>
    <fill>
      <patternFill patternType="solid">
        <fgColor indexed="45"/>
      </patternFill>
    </fill>
    <fill>
      <patternFill patternType="solid">
        <fgColor indexed="55"/>
      </patternFill>
    </fill>
    <fill>
      <patternFill patternType="solid">
        <fgColor indexed="42"/>
      </patternFill>
    </fill>
    <fill>
      <patternFill patternType="solid">
        <fgColor theme="8" tint="-0.249977111117893"/>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0"/>
        <bgColor indexed="64"/>
      </patternFill>
    </fill>
    <fill>
      <patternFill patternType="solid">
        <fgColor indexed="9"/>
        <bgColor indexed="64"/>
      </patternFill>
    </fill>
    <fill>
      <patternFill patternType="solid">
        <fgColor indexed="22"/>
        <bgColor indexed="64"/>
      </patternFill>
    </fill>
    <fill>
      <patternFill patternType="solid">
        <fgColor indexed="27"/>
        <bgColor indexed="64"/>
      </patternFill>
    </fill>
    <fill>
      <patternFill patternType="solid">
        <fgColor indexed="47"/>
        <bgColor indexed="64"/>
      </patternFill>
    </fill>
    <fill>
      <patternFill patternType="solid">
        <fgColor indexed="43"/>
        <bgColor indexed="64"/>
      </patternFill>
    </fill>
    <fill>
      <patternFill patternType="solid">
        <fgColor indexed="44"/>
        <bgColor indexed="64"/>
      </patternFill>
    </fill>
    <fill>
      <patternFill patternType="solid">
        <fgColor indexed="55"/>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rgb="FFD0D0D0"/>
        <bgColor indexed="64"/>
      </patternFill>
    </fill>
    <fill>
      <patternFill patternType="solid">
        <fgColor rgb="FFCFCFCF"/>
      </patternFill>
    </fill>
    <fill>
      <patternFill patternType="solid">
        <fgColor rgb="FFD1D1D1"/>
      </patternFill>
    </fill>
    <fill>
      <patternFill patternType="solid">
        <fgColor theme="7" tint="0.59999389629810485"/>
        <bgColor indexed="64"/>
      </patternFill>
    </fill>
    <fill>
      <patternFill patternType="solid">
        <fgColor rgb="FFFFFF00"/>
        <bgColor indexed="64"/>
      </patternFill>
    </fill>
    <fill>
      <patternFill patternType="solid">
        <fgColor theme="9" tint="0.39997558519241921"/>
        <bgColor indexed="64"/>
      </patternFill>
    </fill>
    <fill>
      <patternFill patternType="solid">
        <fgColor rgb="FF00B0F0"/>
        <bgColor indexed="64"/>
      </patternFill>
    </fill>
    <fill>
      <patternFill patternType="solid">
        <fgColor indexed="23"/>
        <bgColor indexed="23"/>
      </patternFill>
    </fill>
    <fill>
      <patternFill patternType="solid">
        <fgColor rgb="FFF0F0F0"/>
      </patternFill>
    </fill>
    <fill>
      <patternFill patternType="solid">
        <fgColor rgb="FF002060"/>
        <bgColor indexed="64"/>
      </patternFill>
    </fill>
    <fill>
      <patternFill patternType="solid">
        <fgColor rgb="FFFFC000"/>
        <bgColor indexed="64"/>
      </patternFill>
    </fill>
    <fill>
      <patternFill patternType="solid">
        <fgColor rgb="FFC4D79B"/>
        <bgColor indexed="64"/>
      </patternFill>
    </fill>
    <fill>
      <patternFill patternType="solid">
        <fgColor rgb="FFC1F0C8"/>
        <bgColor indexed="64"/>
      </patternFill>
    </fill>
    <fill>
      <patternFill patternType="solid">
        <fgColor rgb="FFF7F6CC"/>
        <bgColor indexed="64"/>
      </patternFill>
    </fill>
    <fill>
      <patternFill patternType="solid">
        <fgColor rgb="FFFCE4D6"/>
        <bgColor indexed="64"/>
      </patternFill>
    </fill>
    <fill>
      <patternFill patternType="solid">
        <fgColor rgb="FFA4C2F4"/>
        <bgColor indexed="64"/>
      </patternFill>
    </fill>
    <fill>
      <patternFill patternType="solid">
        <fgColor rgb="FFD1D1D1"/>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rgb="FF5593ED"/>
        <bgColor indexed="64"/>
      </patternFill>
    </fill>
    <fill>
      <patternFill patternType="solid">
        <fgColor rgb="FF0070C0"/>
        <bgColor indexed="64"/>
      </patternFill>
    </fill>
    <fill>
      <patternFill patternType="solid">
        <fgColor theme="4" tint="-0.499984740745262"/>
        <bgColor indexed="64"/>
      </patternFill>
    </fill>
    <fill>
      <patternFill patternType="solid">
        <fgColor theme="2"/>
        <bgColor indexed="64"/>
      </patternFill>
    </fill>
    <fill>
      <patternFill patternType="solid">
        <fgColor theme="1" tint="0.249977111117893"/>
        <bgColor indexed="64"/>
      </patternFill>
    </fill>
    <fill>
      <patternFill patternType="solid">
        <fgColor rgb="FFFF0000"/>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8"/>
        <bgColor indexed="64"/>
      </patternFill>
    </fill>
    <fill>
      <patternFill patternType="solid">
        <fgColor theme="8" tint="-0.499984740745262"/>
        <bgColor indexed="64"/>
      </patternFill>
    </fill>
    <fill>
      <patternFill patternType="solid">
        <fgColor theme="9"/>
        <bgColor indexed="64"/>
      </patternFill>
    </fill>
    <fill>
      <patternFill patternType="solid">
        <fgColor rgb="FF969696"/>
        <bgColor indexed="64"/>
      </patternFill>
    </fill>
    <fill>
      <patternFill patternType="solid">
        <fgColor theme="9" tint="0.59999389629810485"/>
        <bgColor indexed="64"/>
      </patternFill>
    </fill>
  </fills>
  <borders count="118">
    <border>
      <left/>
      <right/>
      <top/>
      <bottom/>
      <diagonal/>
    </border>
    <border>
      <left style="thin">
        <color indexed="64"/>
      </left>
      <right style="thin">
        <color indexed="64"/>
      </right>
      <top style="thin">
        <color indexed="64"/>
      </top>
      <bottom style="thin">
        <color indexed="64"/>
      </bottom>
      <diagonal/>
    </border>
    <border diagonalUp="1" diagonalDown="1">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22"/>
      </left>
      <right style="medium">
        <color indexed="22"/>
      </right>
      <top style="medium">
        <color indexed="22"/>
      </top>
      <bottom style="medium">
        <color indexed="2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indexed="64"/>
      </left>
      <right style="thin">
        <color indexed="64"/>
      </right>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indexed="8"/>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thin">
        <color rgb="FF000000"/>
      </bottom>
      <diagonal/>
    </border>
    <border>
      <left style="medium">
        <color indexed="64"/>
      </left>
      <right style="thin">
        <color theme="2" tint="-9.9978637043366805E-2"/>
      </right>
      <top style="thin">
        <color theme="2" tint="-9.9978637043366805E-2"/>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top style="thin">
        <color theme="2" tint="-9.9978637043366805E-2"/>
      </top>
      <bottom style="thin">
        <color theme="2" tint="-9.9978637043366805E-2"/>
      </bottom>
      <diagonal/>
    </border>
    <border>
      <left style="medium">
        <color indexed="64"/>
      </left>
      <right/>
      <top style="thin">
        <color theme="2" tint="-9.9978637043366805E-2"/>
      </top>
      <bottom/>
      <diagonal/>
    </border>
    <border>
      <left style="thin">
        <color theme="2" tint="-9.9978637043366805E-2"/>
      </left>
      <right style="thin">
        <color theme="2" tint="-9.9978637043366805E-2"/>
      </right>
      <top style="thin">
        <color theme="2" tint="-9.9978637043366805E-2"/>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thin">
        <color theme="2" tint="-9.9978637043366805E-2"/>
      </right>
      <top style="medium">
        <color indexed="64"/>
      </top>
      <bottom style="medium">
        <color indexed="64"/>
      </bottom>
      <diagonal/>
    </border>
    <border>
      <left style="thin">
        <color theme="2" tint="-9.9978637043366805E-2"/>
      </left>
      <right style="thin">
        <color theme="2" tint="-9.9978637043366805E-2"/>
      </right>
      <top style="medium">
        <color indexed="64"/>
      </top>
      <bottom style="medium">
        <color indexed="64"/>
      </bottom>
      <diagonal/>
    </border>
    <border>
      <left style="thin">
        <color theme="2" tint="-9.9978637043366805E-2"/>
      </left>
      <right style="medium">
        <color indexed="64"/>
      </right>
      <top style="medium">
        <color indexed="64"/>
      </top>
      <bottom style="medium">
        <color indexed="64"/>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medium">
        <color indexed="64"/>
      </right>
      <top style="thin">
        <color theme="0" tint="-0.14996795556505021"/>
      </top>
      <bottom style="thin">
        <color theme="0" tint="-0.14996795556505021"/>
      </bottom>
      <diagonal/>
    </border>
    <border>
      <left/>
      <right style="thin">
        <color theme="2" tint="-9.9978637043366805E-2"/>
      </right>
      <top style="thin">
        <color theme="2" tint="-9.9978637043366805E-2"/>
      </top>
      <bottom style="thin">
        <color theme="2" tint="-9.9978637043366805E-2"/>
      </bottom>
      <diagonal/>
    </border>
    <border>
      <left/>
      <right style="thin">
        <color theme="2" tint="-9.9978637043366805E-2"/>
      </right>
      <top style="thin">
        <color theme="2" tint="-9.9978637043366805E-2"/>
      </top>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medium">
        <color indexed="64"/>
      </right>
      <top style="thin">
        <color theme="0" tint="-0.14996795556505021"/>
      </top>
      <bottom/>
      <diagonal/>
    </border>
    <border>
      <left style="medium">
        <color indexed="64"/>
      </left>
      <right style="thin">
        <color theme="0" tint="-0.14993743705557422"/>
      </right>
      <top/>
      <bottom style="medium">
        <color indexed="64"/>
      </bottom>
      <diagonal/>
    </border>
    <border>
      <left style="thin">
        <color theme="0" tint="-0.14993743705557422"/>
      </left>
      <right/>
      <top style="medium">
        <color indexed="64"/>
      </top>
      <bottom style="medium">
        <color indexed="64"/>
      </bottom>
      <diagonal/>
    </border>
    <border>
      <left/>
      <right/>
      <top style="medium">
        <color indexed="64"/>
      </top>
      <bottom style="medium">
        <color indexed="64"/>
      </bottom>
      <diagonal/>
    </border>
    <border>
      <left/>
      <right style="thin">
        <color theme="0" tint="-0.14993743705557422"/>
      </right>
      <top style="medium">
        <color indexed="64"/>
      </top>
      <bottom style="medium">
        <color indexed="64"/>
      </bottom>
      <diagonal/>
    </border>
    <border>
      <left style="thin">
        <color theme="0" tint="-0.14993743705557422"/>
      </left>
      <right style="thin">
        <color theme="0" tint="-0.14993743705557422"/>
      </right>
      <top/>
      <bottom style="medium">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thin">
        <color rgb="FF000000"/>
      </top>
      <bottom/>
      <diagonal/>
    </border>
    <border>
      <left style="medium">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thin">
        <color theme="2" tint="-9.9978637043366805E-2"/>
      </left>
      <right/>
      <top style="medium">
        <color indexed="64"/>
      </top>
      <bottom style="medium">
        <color indexed="64"/>
      </bottom>
      <diagonal/>
    </border>
    <border>
      <left style="medium">
        <color indexed="64"/>
      </left>
      <right style="thin">
        <color theme="2" tint="-9.9978637043366805E-2"/>
      </right>
      <top style="medium">
        <color indexed="64"/>
      </top>
      <bottom/>
      <diagonal/>
    </border>
    <border>
      <left style="thin">
        <color theme="2" tint="-9.9978637043366805E-2"/>
      </left>
      <right style="thin">
        <color theme="2" tint="-9.9978637043366805E-2"/>
      </right>
      <top style="medium">
        <color indexed="64"/>
      </top>
      <bottom/>
      <diagonal/>
    </border>
    <border>
      <left style="thin">
        <color theme="2" tint="-9.9978637043366805E-2"/>
      </left>
      <right style="medium">
        <color indexed="64"/>
      </right>
      <top style="medium">
        <color indexed="64"/>
      </top>
      <bottom/>
      <diagonal/>
    </border>
    <border>
      <left style="medium">
        <color indexed="64"/>
      </left>
      <right style="thin">
        <color theme="2" tint="-9.9978637043366805E-2"/>
      </right>
      <top style="medium">
        <color indexed="64"/>
      </top>
      <bottom style="thin">
        <color theme="2" tint="-9.9978637043366805E-2"/>
      </bottom>
      <diagonal/>
    </border>
    <border>
      <left style="thin">
        <color theme="2" tint="-9.9978637043366805E-2"/>
      </left>
      <right style="thin">
        <color theme="2" tint="-9.9978637043366805E-2"/>
      </right>
      <top style="medium">
        <color indexed="64"/>
      </top>
      <bottom style="thin">
        <color theme="2" tint="-9.9978637043366805E-2"/>
      </bottom>
      <diagonal/>
    </border>
    <border>
      <left style="thin">
        <color theme="2" tint="-9.9978637043366805E-2"/>
      </left>
      <right/>
      <top style="medium">
        <color indexed="64"/>
      </top>
      <bottom/>
      <diagonal/>
    </border>
    <border>
      <left style="medium">
        <color indexed="64"/>
      </left>
      <right style="thin">
        <color theme="2" tint="-9.9978637043366805E-2"/>
      </right>
      <top style="thin">
        <color theme="2" tint="-9.9978637043366805E-2"/>
      </top>
      <bottom style="medium">
        <color indexed="64"/>
      </bottom>
      <diagonal/>
    </border>
    <border>
      <left style="thin">
        <color theme="2" tint="-9.9978637043366805E-2"/>
      </left>
      <right style="thin">
        <color theme="2" tint="-9.9978637043366805E-2"/>
      </right>
      <top style="thin">
        <color theme="2" tint="-9.9978637043366805E-2"/>
      </top>
      <bottom style="medium">
        <color indexed="64"/>
      </bottom>
      <diagonal/>
    </border>
    <border>
      <left style="thin">
        <color theme="2" tint="-9.9978637043366805E-2"/>
      </left>
      <right style="thin">
        <color theme="2" tint="-9.9978637043366805E-2"/>
      </right>
      <top/>
      <bottom style="medium">
        <color indexed="64"/>
      </bottom>
      <diagonal/>
    </border>
    <border>
      <left style="thin">
        <color theme="2" tint="-9.9978637043366805E-2"/>
      </left>
      <right/>
      <top/>
      <bottom style="medium">
        <color indexed="64"/>
      </bottom>
      <diagonal/>
    </border>
    <border>
      <left style="thin">
        <color theme="2" tint="-9.9978637043366805E-2"/>
      </left>
      <right style="medium">
        <color indexed="64"/>
      </right>
      <top/>
      <bottom style="medium">
        <color indexed="64"/>
      </bottom>
      <diagonal/>
    </border>
    <border>
      <left/>
      <right style="thin">
        <color theme="0" tint="-0.14996795556505021"/>
      </right>
      <top/>
      <bottom style="thin">
        <color theme="0" tint="-0.14996795556505021"/>
      </bottom>
      <diagonal/>
    </border>
    <border>
      <left style="thin">
        <color theme="2" tint="-9.9978637043366805E-2"/>
      </left>
      <right style="thin">
        <color theme="2" tint="-9.9978637043366805E-2"/>
      </right>
      <top/>
      <bottom style="thin">
        <color theme="2" tint="-9.9978637043366805E-2"/>
      </bottom>
      <diagonal/>
    </border>
    <border>
      <left style="thin">
        <color theme="0" tint="-0.14996795556505021"/>
      </left>
      <right style="medium">
        <color indexed="64"/>
      </right>
      <top/>
      <bottom style="thin">
        <color theme="0" tint="-0.14996795556505021"/>
      </bottom>
      <diagonal/>
    </border>
    <border>
      <left style="thin">
        <color theme="2" tint="-9.9978637043366805E-2"/>
      </left>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0.249977111117893"/>
      </top>
      <bottom style="thin">
        <color theme="2" tint="-9.9978637043366805E-2"/>
      </bottom>
      <diagonal/>
    </border>
    <border>
      <left style="thin">
        <color theme="2" tint="-9.9978637043366805E-2"/>
      </left>
      <right style="thin">
        <color theme="2" tint="-9.9978637043366805E-2"/>
      </right>
      <top/>
      <bottom/>
      <diagonal/>
    </border>
    <border>
      <left style="medium">
        <color indexed="64"/>
      </left>
      <right style="thin">
        <color theme="0" tint="-0.14993743705557422"/>
      </right>
      <top style="medium">
        <color indexed="64"/>
      </top>
      <bottom style="medium">
        <color indexed="64"/>
      </bottom>
      <diagonal/>
    </border>
    <border>
      <left style="thin">
        <color theme="0" tint="-0.14993743705557422"/>
      </left>
      <right style="thin">
        <color theme="0" tint="-0.14993743705557422"/>
      </right>
      <top style="medium">
        <color indexed="64"/>
      </top>
      <bottom style="medium">
        <color indexed="64"/>
      </bottom>
      <diagonal/>
    </border>
    <border>
      <left style="thin">
        <color theme="0" tint="-0.14993743705557422"/>
      </left>
      <right style="medium">
        <color indexed="64"/>
      </right>
      <top style="medium">
        <color indexed="64"/>
      </top>
      <bottom style="medium">
        <color indexed="64"/>
      </bottom>
      <diagonal/>
    </border>
    <border>
      <left style="medium">
        <color indexed="64"/>
      </left>
      <right style="thin">
        <color theme="0" tint="-0.14993743705557422"/>
      </right>
      <top/>
      <bottom/>
      <diagonal/>
    </border>
    <border>
      <left style="thin">
        <color theme="0" tint="-0.14993743705557422"/>
      </left>
      <right style="thin">
        <color theme="0" tint="-0.14993743705557422"/>
      </right>
      <top/>
      <bottom/>
      <diagonal/>
    </border>
    <border>
      <left style="thin">
        <color theme="0" tint="-0.14993743705557422"/>
      </left>
      <right style="medium">
        <color indexed="64"/>
      </right>
      <top/>
      <bottom/>
      <diagonal/>
    </border>
    <border>
      <left style="thin">
        <color theme="0" tint="-0.14993743705557422"/>
      </left>
      <right style="medium">
        <color indexed="64"/>
      </right>
      <top/>
      <bottom style="medium">
        <color indexed="64"/>
      </bottom>
      <diagonal/>
    </border>
    <border>
      <left/>
      <right/>
      <top style="medium">
        <color rgb="FF000000"/>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top/>
      <bottom style="medium">
        <color indexed="64"/>
      </bottom>
      <diagonal/>
    </border>
    <border>
      <left style="medium">
        <color rgb="FF000000"/>
      </left>
      <right style="medium">
        <color rgb="FF000000"/>
      </right>
      <top style="medium">
        <color rgb="FF000000"/>
      </top>
      <bottom/>
      <diagonal/>
    </border>
    <border>
      <left/>
      <right/>
      <top/>
      <bottom style="thin">
        <color theme="0" tint="-0.34998626667073579"/>
      </bottom>
      <diagonal/>
    </border>
    <border>
      <left/>
      <right style="medium">
        <color indexed="64"/>
      </right>
      <top/>
      <bottom/>
      <diagonal/>
    </border>
    <border>
      <left style="medium">
        <color indexed="64"/>
      </left>
      <right/>
      <top/>
      <bottom/>
      <diagonal/>
    </border>
    <border>
      <left style="thin">
        <color auto="1"/>
      </left>
      <right/>
      <top/>
      <bottom style="thin">
        <color auto="1"/>
      </bottom>
      <diagonal/>
    </border>
    <border>
      <left/>
      <right/>
      <top/>
      <bottom style="thin">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76">
    <xf numFmtId="0" fontId="0" fillId="0" borderId="0"/>
    <xf numFmtId="0" fontId="3" fillId="0" borderId="0"/>
    <xf numFmtId="0" fontId="11" fillId="0" borderId="2" quotePrefix="1">
      <alignment horizontal="justify" vertical="justify" textRotation="127" wrapText="1" justifyLastLine="1"/>
      <protection hidden="1"/>
    </xf>
    <xf numFmtId="0" fontId="5" fillId="0" borderId="0"/>
    <xf numFmtId="0" fontId="3" fillId="0" borderId="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4" borderId="0" applyNumberFormat="0" applyBorder="0" applyAlignment="0" applyProtection="0"/>
    <xf numFmtId="0" fontId="6" fillId="7" borderId="0" applyNumberFormat="0" applyBorder="0" applyAlignment="0" applyProtection="0"/>
    <xf numFmtId="0" fontId="6" fillId="5"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6" fillId="5"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8" borderId="0" applyNumberFormat="0" applyBorder="0" applyAlignment="0" applyProtection="0"/>
    <xf numFmtId="0" fontId="7" fillId="12" borderId="0" applyNumberFormat="0" applyBorder="0" applyAlignment="0" applyProtection="0"/>
    <xf numFmtId="0" fontId="7" fillId="5"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2" borderId="0" applyNumberFormat="0" applyBorder="0" applyAlignment="0" applyProtection="0"/>
    <xf numFmtId="0" fontId="7" fillId="16" borderId="0" applyNumberFormat="0" applyBorder="0" applyAlignment="0" applyProtection="0"/>
    <xf numFmtId="0" fontId="8" fillId="17" borderId="0" applyNumberFormat="0" applyBorder="0" applyAlignment="0" applyProtection="0"/>
    <xf numFmtId="0" fontId="9" fillId="4" borderId="3" applyNumberFormat="0" applyAlignment="0" applyProtection="0"/>
    <xf numFmtId="0" fontId="10" fillId="18" borderId="4" applyNumberFormat="0" applyAlignment="0" applyProtection="0"/>
    <xf numFmtId="165" fontId="11" fillId="0" borderId="0" applyFill="0" applyBorder="0" applyAlignment="0" applyProtection="0"/>
    <xf numFmtId="165" fontId="11" fillId="0" borderId="0" applyFont="0" applyFill="0" applyBorder="0" applyAlignment="0" applyProtection="0"/>
    <xf numFmtId="164" fontId="11" fillId="0" borderId="0" applyFill="0" applyBorder="0" applyAlignment="0" applyProtection="0"/>
    <xf numFmtId="164" fontId="11" fillId="0" borderId="0" applyFont="0" applyFill="0" applyBorder="0" applyAlignment="0" applyProtection="0"/>
    <xf numFmtId="0" fontId="12" fillId="0" borderId="0" applyNumberFormat="0" applyFill="0" applyBorder="0" applyAlignment="0" applyProtection="0"/>
    <xf numFmtId="0" fontId="13" fillId="19" borderId="0" applyNumberFormat="0" applyBorder="0" applyAlignment="0" applyProtection="0"/>
    <xf numFmtId="0" fontId="14" fillId="1" borderId="0">
      <alignment horizontal="left" vertical="center"/>
    </xf>
    <xf numFmtId="0" fontId="15" fillId="0" borderId="5" applyNumberFormat="0" applyFill="0" applyAlignment="0" applyProtection="0"/>
    <xf numFmtId="0" fontId="16" fillId="0" borderId="6" applyNumberFormat="0" applyFill="0" applyAlignment="0" applyProtection="0"/>
    <xf numFmtId="0" fontId="17" fillId="0" borderId="7" applyNumberFormat="0" applyFill="0" applyAlignment="0" applyProtection="0"/>
    <xf numFmtId="0" fontId="17" fillId="0" borderId="0" applyNumberFormat="0" applyFill="0" applyBorder="0" applyAlignment="0" applyProtection="0"/>
    <xf numFmtId="0" fontId="18" fillId="5" borderId="3" applyNumberFormat="0" applyAlignment="0" applyProtection="0"/>
    <xf numFmtId="0" fontId="19" fillId="0" borderId="8" applyNumberFormat="0" applyFill="0" applyAlignment="0" applyProtection="0"/>
    <xf numFmtId="0" fontId="20" fillId="10" borderId="0" applyNumberFormat="0" applyBorder="0" applyAlignment="0" applyProtection="0"/>
    <xf numFmtId="0" fontId="6" fillId="0" borderId="0"/>
    <xf numFmtId="0" fontId="6" fillId="0" borderId="0"/>
    <xf numFmtId="0" fontId="6" fillId="0" borderId="0"/>
    <xf numFmtId="0" fontId="11" fillId="0" borderId="0" applyNumberFormat="0" applyFill="0" applyBorder="0" applyAlignment="0" applyProtection="0"/>
    <xf numFmtId="0" fontId="11" fillId="0" borderId="0" applyNumberFormat="0" applyFill="0" applyBorder="0" applyAlignment="0" applyProtection="0"/>
    <xf numFmtId="0" fontId="11" fillId="6" borderId="9" applyNumberFormat="0" applyFont="0" applyAlignment="0" applyProtection="0"/>
    <xf numFmtId="0" fontId="6" fillId="6" borderId="9" applyNumberFormat="0" applyFont="0" applyAlignment="0" applyProtection="0"/>
    <xf numFmtId="0" fontId="6" fillId="6" borderId="9" applyNumberFormat="0" applyFont="0" applyAlignment="0" applyProtection="0"/>
    <xf numFmtId="0" fontId="6" fillId="6" borderId="9" applyNumberFormat="0" applyFont="0" applyAlignment="0" applyProtection="0"/>
    <xf numFmtId="0" fontId="21" fillId="4" borderId="10" applyNumberFormat="0" applyAlignment="0" applyProtection="0"/>
    <xf numFmtId="9" fontId="11" fillId="0" borderId="0" applyFill="0" applyBorder="0" applyAlignment="0" applyProtection="0"/>
    <xf numFmtId="9" fontId="11" fillId="0" borderId="0" applyFont="0" applyFill="0" applyBorder="0" applyAlignment="0" applyProtection="0"/>
    <xf numFmtId="0" fontId="4" fillId="0" borderId="0"/>
    <xf numFmtId="0" fontId="11" fillId="0" borderId="0"/>
    <xf numFmtId="0" fontId="11" fillId="0" borderId="0"/>
    <xf numFmtId="0" fontId="22" fillId="0" borderId="0" applyNumberFormat="0" applyFill="0" applyBorder="0" applyAlignment="0" applyProtection="0"/>
    <xf numFmtId="0" fontId="23" fillId="0" borderId="11" applyNumberFormat="0" applyFill="0" applyAlignment="0" applyProtection="0"/>
    <xf numFmtId="0" fontId="24" fillId="0" borderId="0" applyNumberFormat="0" applyFill="0" applyBorder="0" applyAlignment="0" applyProtection="0"/>
    <xf numFmtId="0" fontId="11" fillId="0" borderId="0"/>
    <xf numFmtId="165" fontId="25" fillId="0" borderId="0" applyFont="0" applyFill="0" applyBorder="0" applyAlignment="0" applyProtection="0"/>
    <xf numFmtId="165" fontId="3" fillId="0" borderId="0" applyFont="0" applyFill="0" applyBorder="0" applyAlignment="0" applyProtection="0"/>
    <xf numFmtId="0" fontId="33" fillId="0" borderId="0" applyNumberFormat="0" applyFill="0" applyBorder="0" applyAlignment="0" applyProtection="0"/>
    <xf numFmtId="43" fontId="25" fillId="0" borderId="0" applyFont="0" applyFill="0" applyBorder="0" applyAlignment="0" applyProtection="0"/>
    <xf numFmtId="0" fontId="43" fillId="0" borderId="0"/>
    <xf numFmtId="44" fontId="25" fillId="0" borderId="0" applyFont="0" applyFill="0" applyBorder="0" applyAlignment="0" applyProtection="0"/>
    <xf numFmtId="9" fontId="25" fillId="0" borderId="0" applyFont="0" applyFill="0" applyBorder="0" applyAlignment="0" applyProtection="0"/>
    <xf numFmtId="43" fontId="25" fillId="0" borderId="0" applyFont="0" applyFill="0" applyBorder="0" applyAlignment="0" applyProtection="0"/>
    <xf numFmtId="0" fontId="25" fillId="0" borderId="0"/>
    <xf numFmtId="165" fontId="25" fillId="0" borderId="0" applyFont="0" applyFill="0" applyBorder="0" applyAlignment="0" applyProtection="0"/>
    <xf numFmtId="9" fontId="25" fillId="0" borderId="0" applyFont="0" applyFill="0" applyBorder="0" applyAlignment="0" applyProtection="0"/>
  </cellStyleXfs>
  <cellXfs count="624">
    <xf numFmtId="0" fontId="0" fillId="0" borderId="0" xfId="0"/>
    <xf numFmtId="0" fontId="0" fillId="0" borderId="0" xfId="0" applyAlignment="1">
      <alignment wrapText="1"/>
    </xf>
    <xf numFmtId="0" fontId="0" fillId="0" borderId="1" xfId="0" applyBorder="1" applyAlignment="1">
      <alignment wrapText="1"/>
    </xf>
    <xf numFmtId="0" fontId="2" fillId="0" borderId="1" xfId="0" applyFont="1" applyBorder="1" applyAlignment="1">
      <alignment vertical="center" wrapText="1"/>
    </xf>
    <xf numFmtId="0" fontId="0" fillId="0" borderId="1" xfId="0" applyBorder="1" applyAlignment="1">
      <alignment vertical="center" wrapText="1"/>
    </xf>
    <xf numFmtId="0" fontId="0" fillId="0" borderId="1" xfId="0" applyBorder="1"/>
    <xf numFmtId="0" fontId="30" fillId="0" borderId="1" xfId="4" applyFont="1" applyBorder="1" applyAlignment="1">
      <alignment horizontal="left" vertical="top" wrapText="1"/>
    </xf>
    <xf numFmtId="0" fontId="1" fillId="21" borderId="1" xfId="0" applyFont="1" applyFill="1" applyBorder="1" applyAlignment="1">
      <alignment horizontal="left" vertical="center" wrapText="1"/>
    </xf>
    <xf numFmtId="0" fontId="28" fillId="21" borderId="1" xfId="0" applyFont="1" applyFill="1" applyBorder="1" applyAlignment="1">
      <alignment vertical="center" wrapText="1"/>
    </xf>
    <xf numFmtId="0" fontId="1" fillId="21" borderId="1" xfId="0" applyFont="1" applyFill="1" applyBorder="1" applyAlignment="1">
      <alignment vertical="center" wrapText="1"/>
    </xf>
    <xf numFmtId="0" fontId="0" fillId="3" borderId="1" xfId="0" applyFill="1" applyBorder="1" applyAlignment="1">
      <alignment wrapText="1"/>
    </xf>
    <xf numFmtId="0" fontId="1" fillId="3" borderId="1" xfId="0" applyFont="1" applyFill="1" applyBorder="1" applyAlignment="1">
      <alignment wrapText="1"/>
    </xf>
    <xf numFmtId="0" fontId="1" fillId="21" borderId="1" xfId="0" applyFont="1" applyFill="1" applyBorder="1" applyAlignment="1">
      <alignment horizontal="center" vertical="center" wrapText="1"/>
    </xf>
    <xf numFmtId="0" fontId="26" fillId="20" borderId="1" xfId="0" applyFont="1" applyFill="1" applyBorder="1" applyAlignment="1">
      <alignment wrapText="1"/>
    </xf>
    <xf numFmtId="0" fontId="27" fillId="20" borderId="1" xfId="0" applyFont="1" applyFill="1" applyBorder="1" applyAlignment="1">
      <alignment wrapText="1"/>
    </xf>
    <xf numFmtId="0" fontId="26" fillId="20" borderId="1" xfId="4" applyFont="1" applyFill="1" applyBorder="1" applyAlignment="1">
      <alignment horizontal="left" vertical="top" wrapText="1"/>
    </xf>
    <xf numFmtId="0" fontId="28" fillId="2" borderId="1" xfId="0" applyFont="1" applyFill="1" applyBorder="1" applyAlignment="1">
      <alignment vertical="center" wrapText="1"/>
    </xf>
    <xf numFmtId="0" fontId="1" fillId="2" borderId="1" xfId="0" applyFont="1" applyFill="1" applyBorder="1" applyAlignment="1">
      <alignment vertical="center" wrapText="1"/>
    </xf>
    <xf numFmtId="0" fontId="0" fillId="0" borderId="0" xfId="0" applyAlignment="1">
      <alignment vertical="center" wrapText="1"/>
    </xf>
    <xf numFmtId="0" fontId="28" fillId="21" borderId="1" xfId="4" applyFont="1" applyFill="1" applyBorder="1" applyAlignment="1">
      <alignment horizontal="left" vertical="center" wrapText="1"/>
    </xf>
    <xf numFmtId="0" fontId="1" fillId="22" borderId="1" xfId="0" applyFont="1" applyFill="1" applyBorder="1" applyAlignment="1">
      <alignment vertical="center" wrapText="1"/>
    </xf>
    <xf numFmtId="0" fontId="28" fillId="0" borderId="1" xfId="0" applyFont="1" applyBorder="1" applyAlignment="1">
      <alignment vertical="center" wrapText="1"/>
    </xf>
    <xf numFmtId="165" fontId="0" fillId="0" borderId="1" xfId="65" applyFont="1" applyBorder="1"/>
    <xf numFmtId="0" fontId="28" fillId="0" borderId="1" xfId="0" applyFont="1" applyBorder="1" applyAlignment="1">
      <alignment horizontal="center" vertical="center" wrapText="1"/>
    </xf>
    <xf numFmtId="0" fontId="0" fillId="0" borderId="0" xfId="0" applyAlignment="1">
      <alignment horizontal="center"/>
    </xf>
    <xf numFmtId="0" fontId="1" fillId="23" borderId="1" xfId="0" applyFont="1" applyFill="1" applyBorder="1" applyAlignment="1">
      <alignment horizontal="center" vertical="center" wrapText="1"/>
    </xf>
    <xf numFmtId="0" fontId="1" fillId="23" borderId="1" xfId="0" applyFont="1" applyFill="1" applyBorder="1" applyAlignment="1">
      <alignment horizontal="center"/>
    </xf>
    <xf numFmtId="0" fontId="1" fillId="0" borderId="0" xfId="0" applyFont="1" applyAlignment="1">
      <alignment horizontal="center" vertical="center" wrapText="1"/>
    </xf>
    <xf numFmtId="0" fontId="1" fillId="23" borderId="1" xfId="0" applyFont="1" applyFill="1" applyBorder="1" applyAlignment="1">
      <alignment vertical="center" wrapText="1"/>
    </xf>
    <xf numFmtId="0" fontId="31" fillId="25" borderId="0" xfId="0" applyFont="1" applyFill="1"/>
    <xf numFmtId="0" fontId="31" fillId="26" borderId="0" xfId="0" applyFont="1" applyFill="1" applyAlignment="1">
      <alignment horizontal="center"/>
    </xf>
    <xf numFmtId="0" fontId="31" fillId="0" borderId="0" xfId="0" applyFont="1" applyAlignment="1">
      <alignment horizontal="left"/>
    </xf>
    <xf numFmtId="0" fontId="31" fillId="0" borderId="0" xfId="0" applyFont="1"/>
    <xf numFmtId="0" fontId="31" fillId="26" borderId="0" xfId="0" applyFont="1" applyFill="1"/>
    <xf numFmtId="0" fontId="31" fillId="26" borderId="0" xfId="0" applyFont="1" applyFill="1" applyAlignment="1">
      <alignment horizontal="left"/>
    </xf>
    <xf numFmtId="9" fontId="28" fillId="27" borderId="16" xfId="0" applyNumberFormat="1" applyFont="1" applyFill="1" applyBorder="1"/>
    <xf numFmtId="9" fontId="28" fillId="28" borderId="16" xfId="0" applyNumberFormat="1" applyFont="1" applyFill="1" applyBorder="1"/>
    <xf numFmtId="9" fontId="28" fillId="29" borderId="16" xfId="0" applyNumberFormat="1" applyFont="1" applyFill="1" applyBorder="1"/>
    <xf numFmtId="166" fontId="28" fillId="26" borderId="0" xfId="0" applyNumberFormat="1" applyFont="1" applyFill="1"/>
    <xf numFmtId="168" fontId="0" fillId="0" borderId="0" xfId="0" applyNumberFormat="1" applyAlignment="1">
      <alignment horizontal="center" vertical="center"/>
    </xf>
    <xf numFmtId="0" fontId="31" fillId="30" borderId="17" xfId="0" applyFont="1" applyFill="1" applyBorder="1" applyAlignment="1">
      <alignment horizontal="center" vertical="center" wrapText="1"/>
    </xf>
    <xf numFmtId="0" fontId="31" fillId="31" borderId="17" xfId="0" applyFont="1" applyFill="1" applyBorder="1" applyAlignment="1">
      <alignment horizontal="center" vertical="center" wrapText="1"/>
    </xf>
    <xf numFmtId="0" fontId="31" fillId="32" borderId="17" xfId="0" applyFont="1" applyFill="1" applyBorder="1" applyAlignment="1">
      <alignment horizontal="center" vertical="center" wrapText="1"/>
    </xf>
    <xf numFmtId="0" fontId="29" fillId="25" borderId="17" xfId="0" applyFont="1" applyFill="1" applyBorder="1" applyAlignment="1">
      <alignment horizontal="center" vertical="center"/>
    </xf>
    <xf numFmtId="168" fontId="0" fillId="0" borderId="17" xfId="0" applyNumberFormat="1" applyBorder="1" applyAlignment="1">
      <alignment horizontal="center" vertical="center"/>
    </xf>
    <xf numFmtId="0" fontId="1" fillId="0" borderId="0" xfId="0" applyFont="1" applyAlignment="1">
      <alignment vertical="center" wrapText="1"/>
    </xf>
    <xf numFmtId="0" fontId="33" fillId="0" borderId="0" xfId="67" applyAlignment="1">
      <alignment vertical="center" wrapText="1"/>
    </xf>
    <xf numFmtId="0" fontId="1" fillId="34" borderId="17" xfId="0" applyFont="1" applyFill="1" applyBorder="1" applyAlignment="1">
      <alignment horizontal="left"/>
    </xf>
    <xf numFmtId="168" fontId="31" fillId="26" borderId="0" xfId="0" applyNumberFormat="1" applyFont="1" applyFill="1"/>
    <xf numFmtId="167" fontId="31" fillId="0" borderId="0" xfId="0" applyNumberFormat="1" applyFont="1"/>
    <xf numFmtId="168" fontId="0" fillId="0" borderId="21" xfId="0" applyNumberFormat="1" applyBorder="1" applyAlignment="1">
      <alignment horizontal="center" vertical="center"/>
    </xf>
    <xf numFmtId="0" fontId="34" fillId="0" borderId="0" xfId="0" applyFont="1"/>
    <xf numFmtId="0" fontId="34" fillId="0" borderId="0" xfId="0" applyFont="1" applyAlignment="1">
      <alignment horizontal="center"/>
    </xf>
    <xf numFmtId="0" fontId="29" fillId="0" borderId="17" xfId="0" applyFont="1" applyBorder="1" applyAlignment="1">
      <alignment horizontal="center" vertical="center"/>
    </xf>
    <xf numFmtId="167" fontId="32" fillId="0" borderId="17" xfId="0" applyNumberFormat="1" applyFont="1" applyBorder="1" applyAlignment="1">
      <alignment vertical="center"/>
    </xf>
    <xf numFmtId="0" fontId="31" fillId="0" borderId="0" xfId="0" applyFont="1" applyAlignment="1">
      <alignment horizontal="center"/>
    </xf>
    <xf numFmtId="0" fontId="1" fillId="0" borderId="0" xfId="0" applyFont="1"/>
    <xf numFmtId="0" fontId="1" fillId="0" borderId="0" xfId="0" applyFont="1" applyAlignment="1">
      <alignment horizontal="left" vertical="center"/>
    </xf>
    <xf numFmtId="167" fontId="32" fillId="33" borderId="0" xfId="0" applyNumberFormat="1" applyFont="1" applyFill="1" applyAlignment="1">
      <alignment vertical="center"/>
    </xf>
    <xf numFmtId="0" fontId="23" fillId="8" borderId="1" xfId="0" applyFont="1" applyFill="1" applyBorder="1" applyAlignment="1">
      <alignment horizontal="left" vertical="center"/>
    </xf>
    <xf numFmtId="165" fontId="0" fillId="0" borderId="0" xfId="0" applyNumberFormat="1"/>
    <xf numFmtId="165" fontId="0" fillId="0" borderId="1" xfId="0" applyNumberFormat="1" applyBorder="1"/>
    <xf numFmtId="165" fontId="1" fillId="0" borderId="1" xfId="0" applyNumberFormat="1" applyFont="1" applyBorder="1"/>
    <xf numFmtId="165" fontId="1" fillId="0" borderId="0" xfId="0" applyNumberFormat="1" applyFont="1"/>
    <xf numFmtId="0" fontId="6" fillId="0" borderId="1" xfId="0" applyFont="1" applyBorder="1" applyAlignment="1">
      <alignment horizontal="left" vertical="center"/>
    </xf>
    <xf numFmtId="0" fontId="6" fillId="0" borderId="0" xfId="0" applyFont="1" applyAlignment="1">
      <alignment horizontal="left" vertical="center"/>
    </xf>
    <xf numFmtId="0" fontId="23" fillId="0" borderId="0" xfId="0" applyFont="1" applyAlignment="1">
      <alignment horizontal="left" vertical="center"/>
    </xf>
    <xf numFmtId="0" fontId="37" fillId="36" borderId="1" xfId="0" applyFont="1" applyFill="1" applyBorder="1" applyAlignment="1">
      <alignment horizontal="center" vertical="center"/>
    </xf>
    <xf numFmtId="0" fontId="38" fillId="0" borderId="1" xfId="0" applyFont="1" applyBorder="1" applyAlignment="1">
      <alignment horizontal="right" vertical="center"/>
    </xf>
    <xf numFmtId="169" fontId="32" fillId="25" borderId="17" xfId="0" applyNumberFormat="1" applyFont="1" applyFill="1" applyBorder="1" applyAlignment="1">
      <alignment vertical="center"/>
    </xf>
    <xf numFmtId="169" fontId="31" fillId="25" borderId="17" xfId="0" applyNumberFormat="1" applyFont="1" applyFill="1" applyBorder="1" applyAlignment="1">
      <alignment vertical="center"/>
    </xf>
    <xf numFmtId="0" fontId="29" fillId="25" borderId="18" xfId="0" applyFont="1" applyFill="1" applyBorder="1" applyAlignment="1">
      <alignment horizontal="center" vertical="center"/>
    </xf>
    <xf numFmtId="170" fontId="1" fillId="0" borderId="1" xfId="0" applyNumberFormat="1" applyFont="1" applyBorder="1" applyAlignment="1">
      <alignment vertical="center" wrapText="1"/>
    </xf>
    <xf numFmtId="170" fontId="28" fillId="24" borderId="1" xfId="0" applyNumberFormat="1" applyFont="1" applyFill="1" applyBorder="1" applyAlignment="1">
      <alignment vertical="center" wrapText="1"/>
    </xf>
    <xf numFmtId="0" fontId="26" fillId="26" borderId="0" xfId="0" applyFont="1" applyFill="1"/>
    <xf numFmtId="168" fontId="26" fillId="26" borderId="0" xfId="0" applyNumberFormat="1" applyFont="1" applyFill="1"/>
    <xf numFmtId="0" fontId="29" fillId="0" borderId="18" xfId="0" applyFont="1" applyBorder="1" applyAlignment="1">
      <alignment horizontal="center" vertical="center"/>
    </xf>
    <xf numFmtId="169" fontId="32" fillId="0" borderId="17" xfId="0" applyNumberFormat="1" applyFont="1" applyBorder="1" applyAlignment="1">
      <alignment vertical="center"/>
    </xf>
    <xf numFmtId="0" fontId="31" fillId="31" borderId="0" xfId="0" applyFont="1" applyFill="1" applyAlignment="1">
      <alignment horizontal="center" vertical="center" wrapText="1"/>
    </xf>
    <xf numFmtId="0" fontId="31" fillId="32" borderId="0" xfId="0" applyFont="1" applyFill="1" applyAlignment="1">
      <alignment horizontal="center" vertical="center" wrapText="1"/>
    </xf>
    <xf numFmtId="169" fontId="32" fillId="0" borderId="0" xfId="0" applyNumberFormat="1" applyFont="1" applyAlignment="1">
      <alignment vertical="center"/>
    </xf>
    <xf numFmtId="169" fontId="32" fillId="33" borderId="0" xfId="0" applyNumberFormat="1" applyFont="1" applyFill="1" applyAlignment="1">
      <alignment vertical="center"/>
    </xf>
    <xf numFmtId="169" fontId="31" fillId="25" borderId="0" xfId="0" applyNumberFormat="1" applyFont="1" applyFill="1" applyAlignment="1">
      <alignment vertical="center"/>
    </xf>
    <xf numFmtId="167" fontId="32" fillId="0" borderId="0" xfId="0" applyNumberFormat="1" applyFont="1" applyAlignment="1">
      <alignment vertical="center"/>
    </xf>
    <xf numFmtId="0" fontId="23" fillId="8" borderId="23" xfId="0" applyFont="1" applyFill="1" applyBorder="1" applyAlignment="1">
      <alignment horizontal="left" vertical="center"/>
    </xf>
    <xf numFmtId="0" fontId="6" fillId="0" borderId="23" xfId="0" applyFont="1" applyBorder="1" applyAlignment="1">
      <alignment horizontal="left" vertical="center"/>
    </xf>
    <xf numFmtId="0" fontId="39" fillId="37" borderId="24" xfId="0" applyFont="1" applyFill="1" applyBorder="1" applyAlignment="1">
      <alignment horizontal="left" vertical="top" wrapText="1"/>
    </xf>
    <xf numFmtId="0" fontId="39" fillId="0" borderId="24" xfId="0" applyFont="1" applyBorder="1" applyAlignment="1">
      <alignment horizontal="left" vertical="top" wrapText="1"/>
    </xf>
    <xf numFmtId="0" fontId="0" fillId="0" borderId="24" xfId="0" applyBorder="1" applyAlignment="1">
      <alignment horizontal="left" vertical="top"/>
    </xf>
    <xf numFmtId="0" fontId="31" fillId="0" borderId="0" xfId="0" applyFont="1" applyAlignment="1">
      <alignment horizontal="center" vertical="center" wrapText="1"/>
    </xf>
    <xf numFmtId="0" fontId="28" fillId="27" borderId="16" xfId="0" applyFont="1" applyFill="1" applyBorder="1" applyAlignment="1">
      <alignment wrapText="1"/>
    </xf>
    <xf numFmtId="0" fontId="28" fillId="28" borderId="16" xfId="0" applyFont="1" applyFill="1" applyBorder="1" applyAlignment="1">
      <alignment wrapText="1"/>
    </xf>
    <xf numFmtId="0" fontId="28" fillId="29" borderId="16" xfId="0" applyFont="1" applyFill="1" applyBorder="1" applyAlignment="1">
      <alignment wrapText="1"/>
    </xf>
    <xf numFmtId="0" fontId="28" fillId="26" borderId="0" xfId="0" applyFont="1" applyFill="1" applyAlignment="1">
      <alignment wrapText="1"/>
    </xf>
    <xf numFmtId="0" fontId="29" fillId="0" borderId="18" xfId="0" applyFont="1" applyBorder="1" applyAlignment="1">
      <alignment horizontal="left" vertical="center" wrapText="1"/>
    </xf>
    <xf numFmtId="0" fontId="29" fillId="0" borderId="17" xfId="0" applyFont="1" applyBorder="1" applyAlignment="1">
      <alignment horizontal="left" vertical="center" wrapText="1"/>
    </xf>
    <xf numFmtId="0" fontId="29" fillId="25" borderId="18" xfId="0" applyFont="1" applyFill="1" applyBorder="1" applyAlignment="1">
      <alignment horizontal="left" vertical="center" wrapText="1"/>
    </xf>
    <xf numFmtId="0" fontId="40" fillId="38" borderId="24" xfId="0" applyFont="1" applyFill="1" applyBorder="1" applyAlignment="1">
      <alignment horizontal="left" vertical="top" wrapText="1"/>
    </xf>
    <xf numFmtId="0" fontId="40" fillId="38" borderId="24" xfId="0" applyFont="1" applyFill="1" applyBorder="1" applyAlignment="1">
      <alignment horizontal="center" vertical="top" wrapText="1"/>
    </xf>
    <xf numFmtId="0" fontId="40" fillId="0" borderId="24" xfId="0" applyFont="1" applyBorder="1" applyAlignment="1">
      <alignment horizontal="center" vertical="top"/>
    </xf>
    <xf numFmtId="0" fontId="40" fillId="0" borderId="24" xfId="0" applyFont="1" applyBorder="1" applyAlignment="1">
      <alignment horizontal="left" vertical="top"/>
    </xf>
    <xf numFmtId="0" fontId="40" fillId="0" borderId="24" xfId="0" applyFont="1" applyBorder="1" applyAlignment="1">
      <alignment horizontal="center" vertical="top" wrapText="1"/>
    </xf>
    <xf numFmtId="0" fontId="40" fillId="0" borderId="24" xfId="0" applyFont="1" applyBorder="1" applyAlignment="1">
      <alignment horizontal="left" vertical="top" wrapText="1"/>
    </xf>
    <xf numFmtId="0" fontId="42" fillId="0" borderId="27" xfId="0" applyFont="1" applyBorder="1" applyAlignment="1">
      <alignment horizontal="center" vertical="center"/>
    </xf>
    <xf numFmtId="0" fontId="42" fillId="25" borderId="27" xfId="0" applyFont="1" applyFill="1" applyBorder="1" applyAlignment="1">
      <alignment horizontal="center" vertical="center"/>
    </xf>
    <xf numFmtId="0" fontId="42" fillId="25" borderId="27" xfId="46" applyFont="1" applyFill="1" applyBorder="1" applyAlignment="1">
      <alignment horizontal="center" vertical="center"/>
    </xf>
    <xf numFmtId="0" fontId="42" fillId="0" borderId="30" xfId="0" applyFont="1" applyBorder="1" applyAlignment="1">
      <alignment horizontal="center" vertical="center"/>
    </xf>
    <xf numFmtId="0" fontId="42" fillId="0" borderId="31" xfId="0" applyFont="1" applyBorder="1" applyAlignment="1">
      <alignment vertical="center" wrapText="1"/>
    </xf>
    <xf numFmtId="0" fontId="41" fillId="38" borderId="24" xfId="69" applyFont="1" applyFill="1" applyBorder="1" applyAlignment="1">
      <alignment horizontal="left" vertical="top"/>
    </xf>
    <xf numFmtId="0" fontId="41" fillId="38" borderId="24" xfId="69" applyFont="1" applyFill="1" applyBorder="1" applyAlignment="1">
      <alignment horizontal="center" vertical="top"/>
    </xf>
    <xf numFmtId="0" fontId="43" fillId="0" borderId="0" xfId="69"/>
    <xf numFmtId="0" fontId="41" fillId="0" borderId="24" xfId="69" applyFont="1" applyBorder="1" applyAlignment="1">
      <alignment horizontal="left" vertical="top"/>
    </xf>
    <xf numFmtId="0" fontId="41" fillId="0" borderId="24" xfId="69" applyFont="1" applyBorder="1" applyAlignment="1">
      <alignment horizontal="center" vertical="top"/>
    </xf>
    <xf numFmtId="0" fontId="39" fillId="0" borderId="24" xfId="69" applyFont="1" applyBorder="1" applyAlignment="1">
      <alignment horizontal="center" vertical="top"/>
    </xf>
    <xf numFmtId="0" fontId="39" fillId="0" borderId="24" xfId="69" applyFont="1" applyBorder="1" applyAlignment="1">
      <alignment horizontal="left" vertical="top"/>
    </xf>
    <xf numFmtId="0" fontId="1" fillId="0" borderId="32" xfId="0" applyFont="1" applyBorder="1" applyAlignment="1">
      <alignment horizontal="center" vertical="top"/>
    </xf>
    <xf numFmtId="0" fontId="44" fillId="0" borderId="33" xfId="0" applyFont="1" applyBorder="1" applyAlignment="1">
      <alignment wrapText="1"/>
    </xf>
    <xf numFmtId="171" fontId="44" fillId="0" borderId="33" xfId="0" applyNumberFormat="1" applyFont="1" applyBorder="1" applyAlignment="1">
      <alignment wrapText="1"/>
    </xf>
    <xf numFmtId="0" fontId="44" fillId="0" borderId="33" xfId="0" applyFont="1" applyBorder="1" applyAlignment="1">
      <alignment horizontal="right" wrapText="1"/>
    </xf>
    <xf numFmtId="0" fontId="44" fillId="0" borderId="33" xfId="0" applyFont="1" applyBorder="1" applyAlignment="1">
      <alignment vertical="center"/>
    </xf>
    <xf numFmtId="0" fontId="44" fillId="39" borderId="33" xfId="0" applyFont="1" applyFill="1" applyBorder="1" applyAlignment="1">
      <alignment horizontal="right" wrapText="1"/>
    </xf>
    <xf numFmtId="0" fontId="44" fillId="39" borderId="33" xfId="0" applyFont="1" applyFill="1" applyBorder="1" applyAlignment="1">
      <alignment wrapText="1"/>
    </xf>
    <xf numFmtId="171" fontId="44" fillId="39" borderId="33" xfId="0" applyNumberFormat="1" applyFont="1" applyFill="1" applyBorder="1" applyAlignment="1">
      <alignment horizontal="right" wrapText="1"/>
    </xf>
    <xf numFmtId="171" fontId="44" fillId="39" borderId="33" xfId="0" applyNumberFormat="1" applyFont="1" applyFill="1" applyBorder="1" applyAlignment="1">
      <alignment wrapText="1"/>
    </xf>
    <xf numFmtId="0" fontId="44" fillId="39" borderId="33" xfId="0" applyFont="1" applyFill="1" applyBorder="1" applyAlignment="1">
      <alignment vertical="center"/>
    </xf>
    <xf numFmtId="0" fontId="44" fillId="40" borderId="33" xfId="0" applyFont="1" applyFill="1" applyBorder="1" applyAlignment="1">
      <alignment horizontal="right" wrapText="1"/>
    </xf>
    <xf numFmtId="0" fontId="44" fillId="40" borderId="33" xfId="0" applyFont="1" applyFill="1" applyBorder="1" applyAlignment="1">
      <alignment wrapText="1"/>
    </xf>
    <xf numFmtId="171" fontId="44" fillId="40" borderId="33" xfId="0" applyNumberFormat="1" applyFont="1" applyFill="1" applyBorder="1" applyAlignment="1">
      <alignment horizontal="right" wrapText="1"/>
    </xf>
    <xf numFmtId="171" fontId="44" fillId="40" borderId="33" xfId="0" applyNumberFormat="1" applyFont="1" applyFill="1" applyBorder="1" applyAlignment="1">
      <alignment wrapText="1"/>
    </xf>
    <xf numFmtId="0" fontId="44" fillId="40" borderId="33" xfId="0" applyFont="1" applyFill="1" applyBorder="1" applyAlignment="1">
      <alignment vertical="center"/>
    </xf>
    <xf numFmtId="171" fontId="44" fillId="0" borderId="33" xfId="0" applyNumberFormat="1" applyFont="1" applyBorder="1" applyAlignment="1">
      <alignment horizontal="right" wrapText="1"/>
    </xf>
    <xf numFmtId="0" fontId="29" fillId="40" borderId="18" xfId="0" applyFont="1" applyFill="1" applyBorder="1" applyAlignment="1">
      <alignment horizontal="left" vertical="center" wrapText="1"/>
    </xf>
    <xf numFmtId="0" fontId="0" fillId="40" borderId="0" xfId="0" applyFill="1" applyAlignment="1">
      <alignment wrapText="1"/>
    </xf>
    <xf numFmtId="0" fontId="0" fillId="41" borderId="0" xfId="0" applyFill="1" applyAlignment="1">
      <alignment wrapText="1"/>
    </xf>
    <xf numFmtId="0" fontId="0" fillId="42" borderId="0" xfId="0" applyFill="1" applyAlignment="1">
      <alignment wrapText="1"/>
    </xf>
    <xf numFmtId="0" fontId="39" fillId="40" borderId="24" xfId="0" applyFont="1" applyFill="1" applyBorder="1" applyAlignment="1">
      <alignment horizontal="left" vertical="top" wrapText="1"/>
    </xf>
    <xf numFmtId="0" fontId="39" fillId="40" borderId="24" xfId="0" applyFont="1" applyFill="1" applyBorder="1" applyAlignment="1">
      <alignment horizontal="center" vertical="top" wrapText="1"/>
    </xf>
    <xf numFmtId="0" fontId="0" fillId="40" borderId="24" xfId="0" applyFill="1" applyBorder="1" applyAlignment="1">
      <alignment horizontal="left" vertical="top" wrapText="1"/>
    </xf>
    <xf numFmtId="0" fontId="39" fillId="41" borderId="24" xfId="0" applyFont="1" applyFill="1" applyBorder="1" applyAlignment="1">
      <alignment horizontal="center" vertical="top" wrapText="1"/>
    </xf>
    <xf numFmtId="0" fontId="39" fillId="41" borderId="24" xfId="0" applyFont="1" applyFill="1" applyBorder="1" applyAlignment="1">
      <alignment horizontal="left" vertical="top" wrapText="1"/>
    </xf>
    <xf numFmtId="0" fontId="0" fillId="41" borderId="24" xfId="0" applyFill="1" applyBorder="1" applyAlignment="1">
      <alignment horizontal="left" vertical="top" wrapText="1"/>
    </xf>
    <xf numFmtId="0" fontId="39" fillId="42" borderId="24" xfId="0" applyFont="1" applyFill="1" applyBorder="1" applyAlignment="1">
      <alignment horizontal="left" vertical="top" wrapText="1"/>
    </xf>
    <xf numFmtId="0" fontId="39" fillId="42" borderId="24" xfId="0" applyFont="1" applyFill="1" applyBorder="1" applyAlignment="1">
      <alignment horizontal="center" vertical="top" wrapText="1"/>
    </xf>
    <xf numFmtId="0" fontId="0" fillId="42" borderId="24" xfId="0" applyFill="1" applyBorder="1" applyAlignment="1">
      <alignment horizontal="left" vertical="top" wrapText="1"/>
    </xf>
    <xf numFmtId="0" fontId="33" fillId="0" borderId="0" xfId="67"/>
    <xf numFmtId="0" fontId="45" fillId="43" borderId="0" xfId="0" applyFont="1" applyFill="1"/>
    <xf numFmtId="0" fontId="45" fillId="43" borderId="0" xfId="0" applyFont="1" applyFill="1" applyAlignment="1">
      <alignment horizontal="center"/>
    </xf>
    <xf numFmtId="0" fontId="46" fillId="0" borderId="0" xfId="0" applyFont="1" applyAlignment="1">
      <alignment horizontal="center" vertical="center" wrapText="1"/>
    </xf>
    <xf numFmtId="0" fontId="46" fillId="0" borderId="0" xfId="0" applyFont="1" applyAlignment="1">
      <alignment vertical="center" wrapText="1"/>
    </xf>
    <xf numFmtId="0" fontId="47" fillId="40" borderId="0" xfId="0" applyFont="1" applyFill="1" applyAlignment="1">
      <alignment horizontal="left"/>
    </xf>
    <xf numFmtId="0" fontId="47" fillId="40" borderId="0" xfId="0" applyFont="1" applyFill="1" applyAlignment="1">
      <alignment horizontal="center"/>
    </xf>
    <xf numFmtId="172" fontId="47" fillId="40" borderId="0" xfId="0" applyNumberFormat="1" applyFont="1" applyFill="1" applyAlignment="1">
      <alignment horizontal="right"/>
    </xf>
    <xf numFmtId="0" fontId="46" fillId="4" borderId="0" xfId="0" applyFont="1" applyFill="1" applyAlignment="1">
      <alignment horizontal="left"/>
    </xf>
    <xf numFmtId="0" fontId="46" fillId="4" borderId="0" xfId="0" applyFont="1" applyFill="1" applyAlignment="1">
      <alignment horizontal="center"/>
    </xf>
    <xf numFmtId="172" fontId="46" fillId="4" borderId="0" xfId="0" applyNumberFormat="1" applyFont="1" applyFill="1" applyAlignment="1">
      <alignment horizontal="right"/>
    </xf>
    <xf numFmtId="0" fontId="46" fillId="44" borderId="0" xfId="0" applyFont="1" applyFill="1" applyAlignment="1">
      <alignment horizontal="left"/>
    </xf>
    <xf numFmtId="0" fontId="46" fillId="44" borderId="0" xfId="0" applyFont="1" applyFill="1" applyAlignment="1">
      <alignment horizontal="center"/>
    </xf>
    <xf numFmtId="172" fontId="46" fillId="44" borderId="0" xfId="0" applyNumberFormat="1" applyFont="1" applyFill="1" applyAlignment="1">
      <alignment horizontal="right"/>
    </xf>
    <xf numFmtId="0" fontId="46" fillId="40" borderId="0" xfId="0" applyFont="1" applyFill="1" applyAlignment="1">
      <alignment horizontal="left"/>
    </xf>
    <xf numFmtId="0" fontId="46" fillId="40" borderId="0" xfId="0" applyFont="1" applyFill="1" applyAlignment="1">
      <alignment horizontal="center"/>
    </xf>
    <xf numFmtId="0" fontId="47" fillId="44" borderId="0" xfId="0" applyFont="1" applyFill="1" applyAlignment="1">
      <alignment horizontal="left"/>
    </xf>
    <xf numFmtId="0" fontId="47" fillId="4" borderId="0" xfId="0" applyFont="1" applyFill="1" applyAlignment="1">
      <alignment horizontal="left"/>
    </xf>
    <xf numFmtId="0" fontId="45" fillId="43" borderId="32" xfId="0" applyFont="1" applyFill="1" applyBorder="1" applyAlignment="1">
      <alignment horizontal="center"/>
    </xf>
    <xf numFmtId="0" fontId="45" fillId="0" borderId="0" xfId="0" applyFont="1" applyAlignment="1">
      <alignment horizontal="center"/>
    </xf>
    <xf numFmtId="0" fontId="47" fillId="4" borderId="32" xfId="0" applyFont="1" applyFill="1" applyBorder="1" applyAlignment="1">
      <alignment horizontal="left"/>
    </xf>
    <xf numFmtId="0" fontId="0" fillId="0" borderId="34" xfId="0" applyBorder="1"/>
    <xf numFmtId="0" fontId="46" fillId="4" borderId="32" xfId="0" applyFont="1" applyFill="1" applyBorder="1" applyAlignment="1">
      <alignment horizontal="center"/>
    </xf>
    <xf numFmtId="165" fontId="46" fillId="4" borderId="0" xfId="0" applyNumberFormat="1" applyFont="1" applyFill="1" applyAlignment="1">
      <alignment horizontal="left"/>
    </xf>
    <xf numFmtId="165" fontId="46" fillId="4" borderId="0" xfId="65" applyFont="1" applyFill="1" applyAlignment="1">
      <alignment horizontal="left"/>
    </xf>
    <xf numFmtId="0" fontId="51" fillId="48" borderId="35" xfId="0" applyFont="1" applyFill="1" applyBorder="1" applyAlignment="1">
      <alignment horizontal="center" vertical="center" wrapText="1"/>
    </xf>
    <xf numFmtId="0" fontId="51" fillId="48" borderId="36" xfId="0" applyFont="1" applyFill="1" applyBorder="1" applyAlignment="1">
      <alignment horizontal="center" vertical="center" wrapText="1"/>
    </xf>
    <xf numFmtId="0" fontId="52" fillId="49" borderId="37" xfId="0" applyFont="1" applyFill="1" applyBorder="1" applyAlignment="1">
      <alignment horizontal="center" vertical="center" wrapText="1"/>
    </xf>
    <xf numFmtId="0" fontId="52" fillId="0" borderId="38" xfId="0" applyFont="1" applyBorder="1" applyAlignment="1">
      <alignment horizontal="center" vertical="center" wrapText="1"/>
    </xf>
    <xf numFmtId="0" fontId="54" fillId="50" borderId="40" xfId="0" applyFont="1" applyFill="1" applyBorder="1" applyAlignment="1">
      <alignment horizontal="center" vertical="center" wrapText="1"/>
    </xf>
    <xf numFmtId="0" fontId="54" fillId="50" borderId="38" xfId="0" applyFont="1" applyFill="1" applyBorder="1" applyAlignment="1">
      <alignment horizontal="center" vertical="center" wrapText="1"/>
    </xf>
    <xf numFmtId="0" fontId="55" fillId="40" borderId="40" xfId="0" applyFont="1" applyFill="1" applyBorder="1" applyAlignment="1">
      <alignment horizontal="center" vertical="center" wrapText="1"/>
    </xf>
    <xf numFmtId="0" fontId="55" fillId="40" borderId="38" xfId="0" applyFont="1" applyFill="1" applyBorder="1" applyAlignment="1">
      <alignment horizontal="center" vertical="center" wrapText="1"/>
    </xf>
    <xf numFmtId="0" fontId="49" fillId="45" borderId="35" xfId="0" applyFont="1" applyFill="1" applyBorder="1" applyAlignment="1">
      <alignment vertical="center" wrapText="1"/>
    </xf>
    <xf numFmtId="0" fontId="49" fillId="45" borderId="36" xfId="0" applyFont="1" applyFill="1" applyBorder="1" applyAlignment="1">
      <alignment vertical="center" wrapText="1"/>
    </xf>
    <xf numFmtId="0" fontId="50" fillId="0" borderId="37" xfId="0" applyFont="1" applyBorder="1" applyAlignment="1">
      <alignment vertical="center" wrapText="1"/>
    </xf>
    <xf numFmtId="0" fontId="50" fillId="0" borderId="38" xfId="0" applyFont="1" applyBorder="1" applyAlignment="1">
      <alignment vertical="center" wrapText="1"/>
    </xf>
    <xf numFmtId="0" fontId="51" fillId="47" borderId="35" xfId="0" applyFont="1" applyFill="1" applyBorder="1" applyAlignment="1">
      <alignment vertical="center" wrapText="1"/>
    </xf>
    <xf numFmtId="0" fontId="51" fillId="47" borderId="36" xfId="0" applyFont="1" applyFill="1" applyBorder="1" applyAlignment="1">
      <alignment vertical="center" wrapText="1"/>
    </xf>
    <xf numFmtId="0" fontId="52" fillId="0" borderId="37" xfId="0" applyFont="1" applyBorder="1" applyAlignment="1">
      <alignment vertical="center" wrapText="1"/>
    </xf>
    <xf numFmtId="0" fontId="52" fillId="0" borderId="38" xfId="0" applyFont="1" applyBorder="1" applyAlignment="1">
      <alignment vertical="center" wrapText="1"/>
    </xf>
    <xf numFmtId="0" fontId="53" fillId="45" borderId="35" xfId="0" applyFont="1" applyFill="1" applyBorder="1" applyAlignment="1">
      <alignment vertical="center" wrapText="1"/>
    </xf>
    <xf numFmtId="0" fontId="53" fillId="45" borderId="36" xfId="0" applyFont="1" applyFill="1" applyBorder="1" applyAlignment="1">
      <alignment vertical="center" wrapText="1"/>
    </xf>
    <xf numFmtId="0" fontId="56" fillId="0" borderId="37" xfId="0" applyFont="1" applyBorder="1" applyAlignment="1">
      <alignment vertical="center" wrapText="1"/>
    </xf>
    <xf numFmtId="0" fontId="56" fillId="0" borderId="38" xfId="0" applyFont="1" applyBorder="1" applyAlignment="1">
      <alignment vertical="center" wrapText="1"/>
    </xf>
    <xf numFmtId="0" fontId="54" fillId="0" borderId="38" xfId="0" applyFont="1" applyBorder="1" applyAlignment="1">
      <alignment vertical="center" wrapText="1"/>
    </xf>
    <xf numFmtId="169" fontId="50" fillId="46" borderId="38" xfId="70" applyNumberFormat="1" applyFont="1" applyFill="1" applyBorder="1" applyAlignment="1">
      <alignment horizontal="right" vertical="center" wrapText="1"/>
    </xf>
    <xf numFmtId="169" fontId="50" fillId="0" borderId="38" xfId="70" applyNumberFormat="1" applyFont="1" applyBorder="1" applyAlignment="1">
      <alignment vertical="center" wrapText="1"/>
    </xf>
    <xf numFmtId="169" fontId="52" fillId="46" borderId="38" xfId="70" applyNumberFormat="1" applyFont="1" applyFill="1" applyBorder="1" applyAlignment="1">
      <alignment horizontal="right" vertical="center" wrapText="1"/>
    </xf>
    <xf numFmtId="169" fontId="52" fillId="0" borderId="38" xfId="70" applyNumberFormat="1" applyFont="1" applyBorder="1" applyAlignment="1">
      <alignment horizontal="right" vertical="center" wrapText="1"/>
    </xf>
    <xf numFmtId="169" fontId="57" fillId="0" borderId="38" xfId="70" applyNumberFormat="1" applyFont="1" applyBorder="1" applyAlignment="1">
      <alignment horizontal="center" vertical="center" wrapText="1"/>
    </xf>
    <xf numFmtId="169" fontId="55" fillId="40" borderId="38" xfId="0" applyNumberFormat="1" applyFont="1" applyFill="1" applyBorder="1" applyAlignment="1">
      <alignment horizontal="center" vertical="center" wrapText="1"/>
    </xf>
    <xf numFmtId="0" fontId="58" fillId="51" borderId="35" xfId="0" applyFont="1" applyFill="1" applyBorder="1" applyAlignment="1">
      <alignment horizontal="center" vertical="center" wrapText="1"/>
    </xf>
    <xf numFmtId="0" fontId="58" fillId="51" borderId="36" xfId="0" applyFont="1" applyFill="1" applyBorder="1" applyAlignment="1">
      <alignment horizontal="center" vertical="center" wrapText="1"/>
    </xf>
    <xf numFmtId="0" fontId="59" fillId="0" borderId="37" xfId="0" applyFont="1" applyBorder="1" applyAlignment="1">
      <alignment horizontal="center" vertical="center" wrapText="1"/>
    </xf>
    <xf numFmtId="0" fontId="60" fillId="0" borderId="38" xfId="0" applyFont="1" applyBorder="1" applyAlignment="1">
      <alignment horizontal="center" vertical="center" wrapText="1"/>
    </xf>
    <xf numFmtId="0" fontId="59" fillId="0" borderId="38" xfId="0" applyFont="1" applyBorder="1" applyAlignment="1">
      <alignment horizontal="center" vertical="center" wrapText="1"/>
    </xf>
    <xf numFmtId="4" fontId="60" fillId="0" borderId="38" xfId="0" applyNumberFormat="1" applyFont="1" applyBorder="1" applyAlignment="1">
      <alignment horizontal="center" vertical="center" wrapText="1"/>
    </xf>
    <xf numFmtId="0" fontId="61" fillId="0" borderId="38" xfId="0" applyFont="1" applyBorder="1" applyAlignment="1">
      <alignment horizontal="center" vertical="center" wrapText="1"/>
    </xf>
    <xf numFmtId="173" fontId="42" fillId="25" borderId="44" xfId="65" applyNumberFormat="1" applyFont="1" applyFill="1" applyBorder="1" applyAlignment="1">
      <alignment horizontal="center" vertical="center"/>
    </xf>
    <xf numFmtId="0" fontId="42" fillId="25" borderId="28" xfId="0" applyFont="1" applyFill="1" applyBorder="1" applyAlignment="1">
      <alignment vertical="center"/>
    </xf>
    <xf numFmtId="174" fontId="42" fillId="0" borderId="28" xfId="0" applyNumberFormat="1" applyFont="1" applyBorder="1" applyAlignment="1">
      <alignment horizontal="center" vertical="center"/>
    </xf>
    <xf numFmtId="173" fontId="42" fillId="25" borderId="28" xfId="65" applyNumberFormat="1" applyFont="1" applyFill="1" applyBorder="1" applyAlignment="1">
      <alignment horizontal="center" vertical="center"/>
    </xf>
    <xf numFmtId="173" fontId="42" fillId="25" borderId="45" xfId="65" applyNumberFormat="1" applyFont="1" applyFill="1" applyBorder="1" applyAlignment="1">
      <alignment horizontal="center" vertical="center"/>
    </xf>
    <xf numFmtId="173" fontId="42" fillId="25" borderId="46" xfId="65" applyNumberFormat="1" applyFont="1" applyFill="1" applyBorder="1" applyAlignment="1">
      <alignment horizontal="center" vertical="center"/>
    </xf>
    <xf numFmtId="0" fontId="42" fillId="0" borderId="29" xfId="0" applyFont="1" applyBorder="1" applyAlignment="1">
      <alignment vertical="center"/>
    </xf>
    <xf numFmtId="174" fontId="42" fillId="0" borderId="47" xfId="0" applyNumberFormat="1" applyFont="1" applyBorder="1" applyAlignment="1">
      <alignment horizontal="center" vertical="center"/>
    </xf>
    <xf numFmtId="0" fontId="42" fillId="25" borderId="29" xfId="0" applyFont="1" applyFill="1" applyBorder="1" applyAlignment="1">
      <alignment vertical="center"/>
    </xf>
    <xf numFmtId="0" fontId="42" fillId="0" borderId="28" xfId="0" applyFont="1" applyBorder="1" applyAlignment="1">
      <alignment vertical="center"/>
    </xf>
    <xf numFmtId="174" fontId="42" fillId="0" borderId="48" xfId="0" applyNumberFormat="1" applyFont="1" applyBorder="1" applyAlignment="1">
      <alignment horizontal="center" vertical="center"/>
    </xf>
    <xf numFmtId="173" fontId="42" fillId="25" borderId="49" xfId="65" applyNumberFormat="1" applyFont="1" applyFill="1" applyBorder="1" applyAlignment="1">
      <alignment horizontal="center" vertical="center"/>
    </xf>
    <xf numFmtId="173" fontId="42" fillId="25" borderId="50" xfId="65" applyNumberFormat="1" applyFont="1" applyFill="1" applyBorder="1" applyAlignment="1">
      <alignment horizontal="center" vertical="center"/>
    </xf>
    <xf numFmtId="175" fontId="42" fillId="25" borderId="28" xfId="0" applyNumberFormat="1" applyFont="1" applyFill="1" applyBorder="1" applyAlignment="1">
      <alignment horizontal="center" vertical="center"/>
    </xf>
    <xf numFmtId="176" fontId="42" fillId="0" borderId="28" xfId="0" applyNumberFormat="1" applyFont="1" applyBorder="1" applyAlignment="1">
      <alignment horizontal="center" vertical="center"/>
    </xf>
    <xf numFmtId="8" fontId="1" fillId="0" borderId="0" xfId="0" applyNumberFormat="1" applyFont="1" applyAlignment="1">
      <alignment vertical="center" wrapText="1"/>
    </xf>
    <xf numFmtId="9" fontId="0" fillId="0" borderId="0" xfId="0" applyNumberFormat="1"/>
    <xf numFmtId="0" fontId="63" fillId="0" borderId="56" xfId="0" applyFont="1" applyBorder="1" applyAlignment="1">
      <alignment horizontal="center" vertical="center" wrapText="1"/>
    </xf>
    <xf numFmtId="0" fontId="63" fillId="0" borderId="56" xfId="0" applyFont="1" applyBorder="1" applyAlignment="1">
      <alignment horizontal="left" vertical="center" wrapText="1"/>
    </xf>
    <xf numFmtId="0" fontId="63" fillId="0" borderId="56" xfId="0" applyFont="1" applyBorder="1" applyAlignment="1">
      <alignment horizontal="left" vertical="center" wrapText="1" indent="1"/>
    </xf>
    <xf numFmtId="0" fontId="63" fillId="52" borderId="62" xfId="0" applyFont="1" applyFill="1" applyBorder="1" applyAlignment="1">
      <alignment horizontal="left" vertical="center" wrapText="1"/>
    </xf>
    <xf numFmtId="0" fontId="63" fillId="52" borderId="63" xfId="0" applyFont="1" applyFill="1" applyBorder="1" applyAlignment="1">
      <alignment horizontal="center" vertical="center" wrapText="1"/>
    </xf>
    <xf numFmtId="0" fontId="63" fillId="0" borderId="65" xfId="0" applyFont="1" applyBorder="1" applyAlignment="1">
      <alignment horizontal="center" vertical="center" wrapText="1"/>
    </xf>
    <xf numFmtId="0" fontId="63" fillId="0" borderId="65" xfId="0" applyFont="1" applyBorder="1" applyAlignment="1">
      <alignment horizontal="left" vertical="center" wrapText="1"/>
    </xf>
    <xf numFmtId="0" fontId="63" fillId="0" borderId="58" xfId="0" applyFont="1" applyBorder="1" applyAlignment="1">
      <alignment vertical="center" wrapText="1"/>
    </xf>
    <xf numFmtId="0" fontId="63" fillId="0" borderId="59" xfId="0" applyFont="1" applyBorder="1" applyAlignment="1">
      <alignment vertical="center" wrapText="1"/>
    </xf>
    <xf numFmtId="0" fontId="63" fillId="40" borderId="56" xfId="0" applyFont="1" applyFill="1" applyBorder="1" applyAlignment="1">
      <alignment horizontal="left" vertical="center" wrapText="1"/>
    </xf>
    <xf numFmtId="177" fontId="0" fillId="0" borderId="0" xfId="0" applyNumberFormat="1"/>
    <xf numFmtId="178" fontId="31" fillId="0" borderId="0" xfId="0" applyNumberFormat="1" applyFont="1"/>
    <xf numFmtId="0" fontId="29" fillId="53" borderId="18" xfId="0" applyFont="1" applyFill="1" applyBorder="1" applyAlignment="1">
      <alignment horizontal="left" vertical="center" wrapText="1"/>
    </xf>
    <xf numFmtId="0" fontId="29" fillId="54" borderId="18" xfId="0" applyFont="1" applyFill="1" applyBorder="1" applyAlignment="1">
      <alignment horizontal="left" vertical="center" wrapText="1"/>
    </xf>
    <xf numFmtId="168" fontId="0" fillId="54" borderId="21" xfId="0" applyNumberFormat="1" applyFill="1" applyBorder="1" applyAlignment="1">
      <alignment horizontal="center" vertical="center"/>
    </xf>
    <xf numFmtId="169" fontId="32" fillId="54" borderId="17" xfId="0" applyNumberFormat="1" applyFont="1" applyFill="1" applyBorder="1" applyAlignment="1">
      <alignment vertical="center"/>
    </xf>
    <xf numFmtId="0" fontId="60" fillId="0" borderId="0" xfId="0" applyFont="1" applyAlignment="1">
      <alignment horizontal="center" vertical="center" wrapText="1"/>
    </xf>
    <xf numFmtId="169" fontId="31" fillId="0" borderId="0" xfId="0" applyNumberFormat="1" applyFont="1"/>
    <xf numFmtId="169" fontId="63" fillId="0" borderId="56" xfId="0" applyNumberFormat="1" applyFont="1" applyBorder="1" applyAlignment="1">
      <alignment horizontal="left" vertical="center" wrapText="1"/>
    </xf>
    <xf numFmtId="169" fontId="63" fillId="0" borderId="64" xfId="0" applyNumberFormat="1" applyFont="1" applyBorder="1" applyAlignment="1">
      <alignment horizontal="left" vertical="center" wrapText="1"/>
    </xf>
    <xf numFmtId="169" fontId="63" fillId="0" borderId="60" xfId="0" applyNumberFormat="1" applyFont="1" applyBorder="1" applyAlignment="1">
      <alignment vertical="center" wrapText="1"/>
    </xf>
    <xf numFmtId="169" fontId="63" fillId="0" borderId="65" xfId="0" applyNumberFormat="1" applyFont="1" applyBorder="1" applyAlignment="1">
      <alignment horizontal="left" vertical="center" wrapText="1"/>
    </xf>
    <xf numFmtId="0" fontId="64" fillId="25" borderId="0" xfId="0" applyFont="1" applyFill="1" applyAlignment="1">
      <alignment vertical="center"/>
    </xf>
    <xf numFmtId="0" fontId="64" fillId="25" borderId="0" xfId="0" applyFont="1" applyFill="1" applyAlignment="1">
      <alignment horizontal="center" vertical="center"/>
    </xf>
    <xf numFmtId="0" fontId="65" fillId="25" borderId="0" xfId="0" applyFont="1" applyFill="1" applyAlignment="1">
      <alignment horizontal="center" vertical="center"/>
    </xf>
    <xf numFmtId="9" fontId="65" fillId="25" borderId="0" xfId="0" applyNumberFormat="1" applyFont="1" applyFill="1" applyAlignment="1">
      <alignment horizontal="center" vertical="center"/>
    </xf>
    <xf numFmtId="9" fontId="64" fillId="25" borderId="0" xfId="0" applyNumberFormat="1" applyFont="1" applyFill="1" applyAlignment="1">
      <alignment horizontal="center" vertical="center"/>
    </xf>
    <xf numFmtId="0" fontId="66" fillId="25" borderId="0" xfId="0" applyFont="1" applyFill="1" applyAlignment="1">
      <alignment horizontal="center" vertical="center"/>
    </xf>
    <xf numFmtId="0" fontId="66" fillId="56" borderId="0" xfId="0" applyFont="1" applyFill="1" applyAlignment="1">
      <alignment horizontal="center" vertical="center"/>
    </xf>
    <xf numFmtId="0" fontId="68" fillId="25" borderId="0" xfId="0" applyFont="1" applyFill="1" applyAlignment="1">
      <alignment horizontal="center" vertical="center"/>
    </xf>
    <xf numFmtId="179" fontId="69" fillId="0" borderId="41" xfId="0" applyNumberFormat="1" applyFont="1" applyBorder="1" applyAlignment="1">
      <alignment horizontal="center" vertical="center"/>
    </xf>
    <xf numFmtId="179" fontId="69" fillId="0" borderId="42" xfId="0" applyNumberFormat="1" applyFont="1" applyBorder="1" applyAlignment="1">
      <alignment horizontal="center" vertical="center"/>
    </xf>
    <xf numFmtId="0" fontId="69" fillId="0" borderId="69" xfId="0" applyFont="1" applyBorder="1" applyAlignment="1">
      <alignment horizontal="center" vertical="center"/>
    </xf>
    <xf numFmtId="179" fontId="69" fillId="0" borderId="69" xfId="0" applyNumberFormat="1" applyFont="1" applyBorder="1" applyAlignment="1">
      <alignment horizontal="center" vertical="center"/>
    </xf>
    <xf numFmtId="0" fontId="69" fillId="0" borderId="43" xfId="0" applyFont="1" applyBorder="1" applyAlignment="1">
      <alignment horizontal="center" vertical="center"/>
    </xf>
    <xf numFmtId="0" fontId="70" fillId="39" borderId="70" xfId="0" applyFont="1" applyFill="1" applyBorder="1" applyAlignment="1">
      <alignment horizontal="center" vertical="center"/>
    </xf>
    <xf numFmtId="0" fontId="62" fillId="39" borderId="71" xfId="0" applyFont="1" applyFill="1" applyBorder="1" applyAlignment="1">
      <alignment horizontal="center" vertical="center"/>
    </xf>
    <xf numFmtId="0" fontId="70" fillId="39" borderId="71" xfId="0" applyFont="1" applyFill="1" applyBorder="1" applyAlignment="1">
      <alignment horizontal="center" vertical="center"/>
    </xf>
    <xf numFmtId="0" fontId="70" fillId="39" borderId="72" xfId="0" applyFont="1" applyFill="1" applyBorder="1" applyAlignment="1">
      <alignment horizontal="center" vertical="center"/>
    </xf>
    <xf numFmtId="0" fontId="62" fillId="34" borderId="73" xfId="0" applyFont="1" applyFill="1" applyBorder="1" applyAlignment="1">
      <alignment horizontal="center" vertical="center"/>
    </xf>
    <xf numFmtId="0" fontId="62" fillId="34" borderId="74" xfId="0" applyFont="1" applyFill="1" applyBorder="1" applyAlignment="1">
      <alignment horizontal="center" vertical="center"/>
    </xf>
    <xf numFmtId="0" fontId="62" fillId="34" borderId="71" xfId="0" applyFont="1" applyFill="1" applyBorder="1" applyAlignment="1">
      <alignment horizontal="center" vertical="center"/>
    </xf>
    <xf numFmtId="0" fontId="62" fillId="34" borderId="71" xfId="0" applyFont="1" applyFill="1" applyBorder="1" applyAlignment="1">
      <alignment vertical="center"/>
    </xf>
    <xf numFmtId="0" fontId="68" fillId="56" borderId="0" xfId="0" applyFont="1" applyFill="1" applyAlignment="1">
      <alignment horizontal="center" vertical="center"/>
    </xf>
    <xf numFmtId="0" fontId="62" fillId="34" borderId="41" xfId="0" applyFont="1" applyFill="1" applyBorder="1" applyAlignment="1">
      <alignment horizontal="center" vertical="center"/>
    </xf>
    <xf numFmtId="0" fontId="62" fillId="34" borderId="42" xfId="0" applyFont="1" applyFill="1" applyBorder="1" applyAlignment="1">
      <alignment horizontal="left" vertical="center"/>
    </xf>
    <xf numFmtId="0" fontId="62" fillId="34" borderId="42" xfId="0" applyFont="1" applyFill="1" applyBorder="1" applyAlignment="1">
      <alignment horizontal="center" vertical="center"/>
    </xf>
    <xf numFmtId="0" fontId="62" fillId="34" borderId="43" xfId="0" applyFont="1" applyFill="1" applyBorder="1" applyAlignment="1">
      <alignment horizontal="center" vertical="center"/>
    </xf>
    <xf numFmtId="0" fontId="62" fillId="34" borderId="76" xfId="0" applyFont="1" applyFill="1" applyBorder="1" applyAlignment="1">
      <alignment horizontal="center" vertical="center"/>
    </xf>
    <xf numFmtId="0" fontId="62" fillId="34" borderId="77" xfId="0" applyFont="1" applyFill="1" applyBorder="1" applyAlignment="1">
      <alignment horizontal="center" vertical="center"/>
    </xf>
    <xf numFmtId="0" fontId="62" fillId="34" borderId="78" xfId="0" applyFont="1" applyFill="1" applyBorder="1" applyAlignment="1">
      <alignment horizontal="center" vertical="center"/>
    </xf>
    <xf numFmtId="0" fontId="62" fillId="34" borderId="78" xfId="0" applyFont="1" applyFill="1" applyBorder="1" applyAlignment="1">
      <alignment vertical="center"/>
    </xf>
    <xf numFmtId="0" fontId="42" fillId="25" borderId="0" xfId="0" applyFont="1" applyFill="1" applyAlignment="1">
      <alignment vertical="center"/>
    </xf>
    <xf numFmtId="174" fontId="42" fillId="25" borderId="44" xfId="0" applyNumberFormat="1" applyFont="1" applyFill="1" applyBorder="1" applyAlignment="1">
      <alignment horizontal="center" vertical="center"/>
    </xf>
    <xf numFmtId="173" fontId="42" fillId="25" borderId="82" xfId="65" applyNumberFormat="1" applyFont="1" applyFill="1" applyBorder="1" applyAlignment="1">
      <alignment horizontal="center" vertical="center"/>
    </xf>
    <xf numFmtId="173" fontId="42" fillId="25" borderId="83" xfId="65" applyNumberFormat="1" applyFont="1" applyFill="1" applyBorder="1" applyAlignment="1">
      <alignment horizontal="center" vertical="center"/>
    </xf>
    <xf numFmtId="0" fontId="71" fillId="57" borderId="28" xfId="0" applyFont="1" applyFill="1" applyBorder="1" applyAlignment="1">
      <alignment horizontal="center" vertical="center"/>
    </xf>
    <xf numFmtId="0" fontId="71" fillId="57" borderId="84" xfId="0" applyFont="1" applyFill="1" applyBorder="1" applyAlignment="1">
      <alignment horizontal="center" vertical="center"/>
    </xf>
    <xf numFmtId="0" fontId="71" fillId="57" borderId="85" xfId="0" applyFont="1" applyFill="1" applyBorder="1" applyAlignment="1">
      <alignment horizontal="center" vertical="center"/>
    </xf>
    <xf numFmtId="180" fontId="42" fillId="25" borderId="0" xfId="0" applyNumberFormat="1" applyFont="1" applyFill="1" applyAlignment="1">
      <alignment horizontal="center" vertical="center"/>
    </xf>
    <xf numFmtId="0" fontId="42" fillId="25" borderId="0" xfId="0" applyFont="1" applyFill="1" applyAlignment="1">
      <alignment horizontal="center" vertical="center"/>
    </xf>
    <xf numFmtId="0" fontId="42" fillId="0" borderId="0" xfId="0" applyFont="1" applyAlignment="1">
      <alignment vertical="center"/>
    </xf>
    <xf numFmtId="0" fontId="42" fillId="25" borderId="45" xfId="0" applyFont="1" applyFill="1" applyBorder="1" applyAlignment="1">
      <alignment horizontal="left" vertical="center"/>
    </xf>
    <xf numFmtId="181" fontId="42" fillId="25" borderId="28" xfId="0" applyNumberFormat="1" applyFont="1" applyFill="1" applyBorder="1" applyAlignment="1">
      <alignment horizontal="center" vertical="center"/>
    </xf>
    <xf numFmtId="0" fontId="42" fillId="25" borderId="86" xfId="46" applyFont="1" applyFill="1" applyBorder="1" applyAlignment="1">
      <alignment horizontal="left" vertical="center"/>
    </xf>
    <xf numFmtId="174" fontId="42" fillId="0" borderId="86" xfId="0" applyNumberFormat="1" applyFont="1" applyBorder="1" applyAlignment="1">
      <alignment horizontal="center" vertical="center"/>
    </xf>
    <xf numFmtId="173" fontId="42" fillId="25" borderId="86" xfId="65" applyNumberFormat="1" applyFont="1" applyFill="1" applyBorder="1" applyAlignment="1">
      <alignment horizontal="center" vertical="center"/>
    </xf>
    <xf numFmtId="173" fontId="42" fillId="25" borderId="0" xfId="65" applyNumberFormat="1" applyFont="1" applyFill="1" applyBorder="1" applyAlignment="1">
      <alignment horizontal="center" vertical="center"/>
    </xf>
    <xf numFmtId="0" fontId="62" fillId="39" borderId="87" xfId="0" applyFont="1" applyFill="1" applyBorder="1" applyAlignment="1">
      <alignment horizontal="center" vertical="center"/>
    </xf>
    <xf numFmtId="0" fontId="62" fillId="39" borderId="88" xfId="0" applyFont="1" applyFill="1" applyBorder="1" applyAlignment="1">
      <alignment horizontal="center" vertical="center"/>
    </xf>
    <xf numFmtId="0" fontId="62" fillId="39" borderId="89" xfId="0" applyFont="1" applyFill="1" applyBorder="1" applyAlignment="1">
      <alignment horizontal="center" vertical="center"/>
    </xf>
    <xf numFmtId="0" fontId="72" fillId="58" borderId="90" xfId="0" applyFont="1" applyFill="1" applyBorder="1" applyAlignment="1">
      <alignment horizontal="center" vertical="center"/>
    </xf>
    <xf numFmtId="173" fontId="62" fillId="58" borderId="91" xfId="0" applyNumberFormat="1" applyFont="1" applyFill="1" applyBorder="1" applyAlignment="1">
      <alignment vertical="center"/>
    </xf>
    <xf numFmtId="173" fontId="62" fillId="58" borderId="92" xfId="0" applyNumberFormat="1" applyFont="1" applyFill="1" applyBorder="1" applyAlignment="1">
      <alignment vertical="center"/>
    </xf>
    <xf numFmtId="0" fontId="72" fillId="34" borderId="87" xfId="0" applyFont="1" applyFill="1" applyBorder="1" applyAlignment="1">
      <alignment horizontal="center" vertical="center"/>
    </xf>
    <xf numFmtId="173" fontId="62" fillId="34" borderId="88" xfId="0" applyNumberFormat="1" applyFont="1" applyFill="1" applyBorder="1" applyAlignment="1">
      <alignment vertical="center"/>
    </xf>
    <xf numFmtId="173" fontId="62" fillId="34" borderId="89" xfId="0" applyNumberFormat="1" applyFont="1" applyFill="1" applyBorder="1" applyAlignment="1">
      <alignment vertical="center"/>
    </xf>
    <xf numFmtId="167" fontId="73" fillId="59" borderId="51" xfId="0" applyNumberFormat="1" applyFont="1" applyFill="1" applyBorder="1" applyAlignment="1">
      <alignment horizontal="center" vertical="center"/>
    </xf>
    <xf numFmtId="173" fontId="74" fillId="59" borderId="55" xfId="0" applyNumberFormat="1" applyFont="1" applyFill="1" applyBorder="1" applyAlignment="1">
      <alignment vertical="center"/>
    </xf>
    <xf numFmtId="173" fontId="74" fillId="59" borderId="93" xfId="0" applyNumberFormat="1" applyFont="1" applyFill="1" applyBorder="1" applyAlignment="1">
      <alignment vertical="center"/>
    </xf>
    <xf numFmtId="0" fontId="29" fillId="60" borderId="18" xfId="0" applyFont="1" applyFill="1" applyBorder="1" applyAlignment="1">
      <alignment horizontal="left" vertical="center" wrapText="1"/>
    </xf>
    <xf numFmtId="0" fontId="0" fillId="0" borderId="0" xfId="0" applyAlignment="1">
      <alignment vertical="center"/>
    </xf>
    <xf numFmtId="0" fontId="75" fillId="0" borderId="35" xfId="0" applyFont="1" applyBorder="1" applyAlignment="1">
      <alignment horizontal="center" vertical="center" wrapText="1"/>
    </xf>
    <xf numFmtId="0" fontId="75" fillId="0" borderId="36" xfId="0" applyFont="1" applyBorder="1" applyAlignment="1">
      <alignment vertical="center" wrapText="1"/>
    </xf>
    <xf numFmtId="0" fontId="76" fillId="0" borderId="37" xfId="0" applyFont="1" applyBorder="1" applyAlignment="1">
      <alignment horizontal="center" vertical="center" wrapText="1"/>
    </xf>
    <xf numFmtId="0" fontId="76" fillId="0" borderId="38" xfId="0" applyFont="1" applyBorder="1" applyAlignment="1">
      <alignment vertical="center" wrapText="1"/>
    </xf>
    <xf numFmtId="3" fontId="76" fillId="0" borderId="38" xfId="0" applyNumberFormat="1" applyFont="1" applyBorder="1" applyAlignment="1">
      <alignment vertical="center" wrapText="1"/>
    </xf>
    <xf numFmtId="169" fontId="76" fillId="0" borderId="38" xfId="0" applyNumberFormat="1" applyFont="1" applyBorder="1" applyAlignment="1">
      <alignment vertical="center" wrapText="1"/>
    </xf>
    <xf numFmtId="169" fontId="0" fillId="0" borderId="0" xfId="0" applyNumberFormat="1"/>
    <xf numFmtId="0" fontId="63" fillId="0" borderId="94" xfId="0" applyFont="1" applyBorder="1" applyAlignment="1">
      <alignment vertical="center" wrapText="1"/>
    </xf>
    <xf numFmtId="0" fontId="63" fillId="0" borderId="35" xfId="0" applyFont="1" applyBorder="1" applyAlignment="1">
      <alignment horizontal="center" vertical="center" wrapText="1"/>
    </xf>
    <xf numFmtId="0" fontId="32" fillId="26" borderId="0" xfId="0" applyFont="1" applyFill="1"/>
    <xf numFmtId="0" fontId="32" fillId="0" borderId="0" xfId="0" applyFont="1"/>
    <xf numFmtId="2" fontId="32" fillId="0" borderId="0" xfId="0" applyNumberFormat="1" applyFont="1" applyAlignment="1">
      <alignment vertical="center"/>
    </xf>
    <xf numFmtId="4" fontId="0" fillId="0" borderId="0" xfId="0" applyNumberFormat="1"/>
    <xf numFmtId="170" fontId="0" fillId="0" borderId="0" xfId="0" applyNumberFormat="1" applyAlignment="1">
      <alignment horizontal="right" vertical="center" wrapText="1"/>
    </xf>
    <xf numFmtId="182" fontId="0" fillId="0" borderId="0" xfId="0" applyNumberFormat="1"/>
    <xf numFmtId="0" fontId="79" fillId="0" borderId="0" xfId="0" applyFont="1"/>
    <xf numFmtId="0" fontId="1" fillId="61" borderId="35" xfId="0" applyFont="1" applyFill="1" applyBorder="1" applyAlignment="1">
      <alignment horizontal="left" vertical="center" wrapText="1"/>
    </xf>
    <xf numFmtId="170" fontId="1" fillId="61" borderId="95" xfId="0" applyNumberFormat="1" applyFont="1" applyFill="1" applyBorder="1" applyAlignment="1">
      <alignment horizontal="right" vertical="center" wrapText="1"/>
    </xf>
    <xf numFmtId="170" fontId="1" fillId="61" borderId="96" xfId="0" applyNumberFormat="1" applyFont="1" applyFill="1" applyBorder="1" applyAlignment="1">
      <alignment horizontal="center" vertical="center" wrapText="1"/>
    </xf>
    <xf numFmtId="0" fontId="0" fillId="0" borderId="32" xfId="0" applyBorder="1"/>
    <xf numFmtId="0" fontId="1" fillId="0" borderId="97" xfId="0" applyFont="1" applyBorder="1" applyAlignment="1">
      <alignment horizontal="left" vertical="center" wrapText="1"/>
    </xf>
    <xf numFmtId="182" fontId="1" fillId="0" borderId="98" xfId="33" applyNumberFormat="1" applyFont="1" applyFill="1" applyBorder="1" applyAlignment="1">
      <alignment horizontal="right" vertical="center" wrapText="1"/>
    </xf>
    <xf numFmtId="0" fontId="0" fillId="0" borderId="32" xfId="0" applyBorder="1" applyAlignment="1">
      <alignment wrapText="1"/>
    </xf>
    <xf numFmtId="9" fontId="0" fillId="0" borderId="32" xfId="0" applyNumberFormat="1" applyBorder="1"/>
    <xf numFmtId="165" fontId="0" fillId="0" borderId="32" xfId="0" applyNumberFormat="1" applyBorder="1"/>
    <xf numFmtId="0" fontId="0" fillId="0" borderId="97" xfId="0" applyBorder="1" applyAlignment="1">
      <alignment horizontal="left" vertical="center" wrapText="1"/>
    </xf>
    <xf numFmtId="182" fontId="0" fillId="0" borderId="98" xfId="33" applyNumberFormat="1" applyFont="1" applyFill="1" applyBorder="1" applyAlignment="1">
      <alignment horizontal="right" vertical="center" wrapText="1"/>
    </xf>
    <xf numFmtId="9" fontId="0" fillId="0" borderId="99" xfId="71" applyFont="1" applyFill="1" applyBorder="1" applyAlignment="1">
      <alignment horizontal="center" vertical="center" wrapText="1"/>
    </xf>
    <xf numFmtId="0" fontId="25" fillId="0" borderId="32" xfId="0" applyFont="1" applyBorder="1" applyAlignment="1">
      <alignment vertical="center" wrapText="1"/>
    </xf>
    <xf numFmtId="0" fontId="0" fillId="0" borderId="97" xfId="0" applyBorder="1" applyAlignment="1">
      <alignment vertical="center" wrapText="1"/>
    </xf>
    <xf numFmtId="0" fontId="0" fillId="0" borderId="14" xfId="0" applyBorder="1" applyAlignment="1">
      <alignment horizontal="center"/>
    </xf>
    <xf numFmtId="9" fontId="0" fillId="0" borderId="0" xfId="71" applyFont="1" applyFill="1" applyAlignment="1">
      <alignment vertical="center" wrapText="1"/>
    </xf>
    <xf numFmtId="0" fontId="1" fillId="33" borderId="100" xfId="0" applyFont="1" applyFill="1" applyBorder="1" applyAlignment="1">
      <alignment vertical="center" wrapText="1"/>
    </xf>
    <xf numFmtId="182" fontId="1" fillId="33" borderId="101" xfId="33" applyNumberFormat="1" applyFont="1" applyFill="1" applyBorder="1" applyAlignment="1">
      <alignment horizontal="right" vertical="center" wrapText="1"/>
    </xf>
    <xf numFmtId="170" fontId="1" fillId="33" borderId="102" xfId="72" applyNumberFormat="1" applyFont="1" applyFill="1" applyBorder="1" applyAlignment="1">
      <alignment horizontal="right" vertical="center" wrapText="1"/>
    </xf>
    <xf numFmtId="43" fontId="0" fillId="0" borderId="0" xfId="0" applyNumberFormat="1"/>
    <xf numFmtId="170" fontId="1" fillId="0" borderId="99" xfId="0" applyNumberFormat="1" applyFont="1" applyBorder="1" applyAlignment="1">
      <alignment horizontal="right" vertical="center" wrapText="1"/>
    </xf>
    <xf numFmtId="183" fontId="27" fillId="25" borderId="0" xfId="0" applyNumberFormat="1" applyFont="1" applyFill="1" applyAlignment="1">
      <alignment vertical="center" wrapText="1"/>
    </xf>
    <xf numFmtId="182" fontId="0" fillId="62" borderId="98" xfId="33" applyNumberFormat="1" applyFont="1" applyFill="1" applyBorder="1" applyAlignment="1">
      <alignment horizontal="right" vertical="center" wrapText="1"/>
    </xf>
    <xf numFmtId="170" fontId="0" fillId="0" borderId="99" xfId="72" applyNumberFormat="1" applyFont="1" applyFill="1" applyBorder="1" applyAlignment="1">
      <alignment horizontal="right" vertical="center" wrapText="1"/>
    </xf>
    <xf numFmtId="182" fontId="29" fillId="62" borderId="98" xfId="33" applyNumberFormat="1" applyFont="1" applyFill="1" applyBorder="1" applyAlignment="1">
      <alignment horizontal="right" vertical="center" wrapText="1"/>
    </xf>
    <xf numFmtId="184" fontId="0" fillId="40" borderId="0" xfId="71" applyNumberFormat="1" applyFont="1" applyFill="1" applyAlignment="1">
      <alignment vertical="center" wrapText="1"/>
    </xf>
    <xf numFmtId="185" fontId="1" fillId="0" borderId="97" xfId="72" applyNumberFormat="1" applyFont="1" applyFill="1" applyBorder="1" applyAlignment="1">
      <alignment vertical="center" wrapText="1"/>
    </xf>
    <xf numFmtId="170" fontId="1" fillId="0" borderId="99" xfId="72" applyNumberFormat="1" applyFont="1" applyFill="1" applyBorder="1" applyAlignment="1">
      <alignment horizontal="right" vertical="center" wrapText="1"/>
    </xf>
    <xf numFmtId="0" fontId="77" fillId="0" borderId="0" xfId="0" applyFont="1" applyAlignment="1">
      <alignment vertical="center" wrapText="1"/>
    </xf>
    <xf numFmtId="0" fontId="77" fillId="0" borderId="97" xfId="0" applyFont="1" applyBorder="1" applyAlignment="1">
      <alignment vertical="center" wrapText="1"/>
    </xf>
    <xf numFmtId="182" fontId="77" fillId="0" borderId="98" xfId="33" applyNumberFormat="1" applyFont="1" applyFill="1" applyBorder="1" applyAlignment="1">
      <alignment horizontal="right" vertical="center" wrapText="1"/>
    </xf>
    <xf numFmtId="9" fontId="77" fillId="0" borderId="99" xfId="71" applyFont="1" applyFill="1" applyBorder="1" applyAlignment="1">
      <alignment horizontal="right" vertical="center" wrapText="1"/>
    </xf>
    <xf numFmtId="0" fontId="77" fillId="0" borderId="0" xfId="0" applyFont="1"/>
    <xf numFmtId="185" fontId="1" fillId="23" borderId="103" xfId="72" applyNumberFormat="1" applyFont="1" applyFill="1" applyBorder="1" applyAlignment="1">
      <alignment vertical="center" wrapText="1"/>
    </xf>
    <xf numFmtId="182" fontId="1" fillId="23" borderId="104" xfId="33" applyNumberFormat="1" applyFont="1" applyFill="1" applyBorder="1" applyAlignment="1">
      <alignment horizontal="right" vertical="center" wrapText="1"/>
    </xf>
    <xf numFmtId="10" fontId="1" fillId="23" borderId="105" xfId="72" applyNumberFormat="1" applyFont="1" applyFill="1" applyBorder="1" applyAlignment="1">
      <alignment horizontal="right" vertical="center" wrapText="1"/>
    </xf>
    <xf numFmtId="182" fontId="0" fillId="0" borderId="98" xfId="33" applyNumberFormat="1" applyFont="1" applyFill="1" applyBorder="1" applyAlignment="1">
      <alignment vertical="center" wrapText="1"/>
    </xf>
    <xf numFmtId="10" fontId="1" fillId="0" borderId="99" xfId="72" applyNumberFormat="1" applyFont="1" applyFill="1" applyBorder="1" applyAlignment="1">
      <alignment horizontal="right" vertical="center" wrapText="1"/>
    </xf>
    <xf numFmtId="183" fontId="77" fillId="25" borderId="0" xfId="0" applyNumberFormat="1" applyFont="1" applyFill="1" applyAlignment="1">
      <alignment vertical="center" wrapText="1"/>
    </xf>
    <xf numFmtId="0" fontId="1" fillId="23" borderId="103" xfId="0" applyFont="1" applyFill="1" applyBorder="1" applyAlignment="1">
      <alignment vertical="center" wrapText="1"/>
    </xf>
    <xf numFmtId="10" fontId="1" fillId="23" borderId="105" xfId="0" applyNumberFormat="1" applyFont="1" applyFill="1" applyBorder="1" applyAlignment="1">
      <alignment horizontal="right" vertical="center" wrapText="1"/>
    </xf>
    <xf numFmtId="0" fontId="1" fillId="25" borderId="0" xfId="0" applyFont="1" applyFill="1" applyAlignment="1">
      <alignment vertical="center" wrapText="1"/>
    </xf>
    <xf numFmtId="182" fontId="1" fillId="0" borderId="0" xfId="33" applyNumberFormat="1" applyFont="1" applyFill="1" applyBorder="1" applyAlignment="1">
      <alignment horizontal="right" vertical="center" wrapText="1"/>
    </xf>
    <xf numFmtId="10" fontId="1" fillId="0" borderId="0" xfId="0" applyNumberFormat="1" applyFont="1" applyAlignment="1">
      <alignment horizontal="right" vertical="center" wrapText="1"/>
    </xf>
    <xf numFmtId="0" fontId="1" fillId="40" borderId="0" xfId="0" applyFont="1" applyFill="1"/>
    <xf numFmtId="9" fontId="1" fillId="40" borderId="0" xfId="71" applyFont="1" applyFill="1"/>
    <xf numFmtId="9" fontId="1" fillId="40" borderId="0" xfId="0" applyNumberFormat="1" applyFont="1" applyFill="1"/>
    <xf numFmtId="9" fontId="1" fillId="0" borderId="0" xfId="71" applyFont="1" applyFill="1" applyBorder="1" applyAlignment="1">
      <alignment horizontal="right" vertical="center" wrapText="1"/>
    </xf>
    <xf numFmtId="0" fontId="1" fillId="25" borderId="106" xfId="0" applyFont="1" applyFill="1" applyBorder="1" applyAlignment="1">
      <alignment vertical="center" wrapText="1"/>
    </xf>
    <xf numFmtId="10" fontId="1" fillId="0" borderId="106" xfId="0" applyNumberFormat="1" applyFont="1" applyBorder="1" applyAlignment="1">
      <alignment horizontal="right" vertical="center" wrapText="1"/>
    </xf>
    <xf numFmtId="0" fontId="1" fillId="0" borderId="39" xfId="0" applyFont="1" applyBorder="1" applyAlignment="1">
      <alignment horizontal="left" vertical="center" wrapText="1"/>
    </xf>
    <xf numFmtId="9" fontId="1" fillId="0" borderId="39" xfId="71" applyFont="1" applyFill="1" applyBorder="1" applyAlignment="1">
      <alignment horizontal="right" vertical="center" wrapText="1"/>
    </xf>
    <xf numFmtId="0" fontId="1" fillId="0" borderId="37" xfId="0" applyFont="1" applyBorder="1" applyAlignment="1">
      <alignment horizontal="left" vertical="center" wrapText="1"/>
    </xf>
    <xf numFmtId="9" fontId="1" fillId="0" borderId="37" xfId="71" applyFont="1" applyFill="1" applyBorder="1" applyAlignment="1">
      <alignment horizontal="right" vertical="center" wrapText="1"/>
    </xf>
    <xf numFmtId="170" fontId="0" fillId="25" borderId="0" xfId="71" applyNumberFormat="1" applyFont="1" applyFill="1" applyAlignment="1">
      <alignment horizontal="right" vertical="center" wrapText="1"/>
    </xf>
    <xf numFmtId="170" fontId="0" fillId="25" borderId="0" xfId="71" applyNumberFormat="1" applyFont="1" applyFill="1" applyBorder="1" applyAlignment="1">
      <alignment horizontal="right" vertical="center" wrapText="1"/>
    </xf>
    <xf numFmtId="170" fontId="0" fillId="0" borderId="0" xfId="71" applyNumberFormat="1" applyFont="1" applyAlignment="1">
      <alignment horizontal="right" vertical="center" wrapText="1"/>
    </xf>
    <xf numFmtId="170" fontId="0" fillId="0" borderId="0" xfId="71" applyNumberFormat="1" applyFont="1" applyBorder="1" applyAlignment="1">
      <alignment horizontal="right" vertical="center" wrapText="1"/>
    </xf>
    <xf numFmtId="170" fontId="1" fillId="0" borderId="0" xfId="0" applyNumberFormat="1" applyFont="1" applyAlignment="1">
      <alignment horizontal="right" vertical="center" wrapText="1"/>
    </xf>
    <xf numFmtId="169" fontId="31" fillId="26" borderId="0" xfId="0" applyNumberFormat="1" applyFont="1" applyFill="1"/>
    <xf numFmtId="0" fontId="32" fillId="31" borderId="0" xfId="0" applyFont="1" applyFill="1" applyAlignment="1">
      <alignment horizontal="center" vertical="center" wrapText="1"/>
    </xf>
    <xf numFmtId="0" fontId="32" fillId="32" borderId="0" xfId="0" applyFont="1" applyFill="1" applyAlignment="1">
      <alignment horizontal="center" vertical="center" wrapText="1"/>
    </xf>
    <xf numFmtId="169" fontId="32" fillId="26" borderId="0" xfId="0" applyNumberFormat="1" applyFont="1" applyFill="1"/>
    <xf numFmtId="169" fontId="31" fillId="0" borderId="1" xfId="0" applyNumberFormat="1" applyFont="1" applyBorder="1"/>
    <xf numFmtId="169" fontId="31" fillId="25" borderId="1" xfId="0" applyNumberFormat="1" applyFont="1" applyFill="1" applyBorder="1" applyAlignment="1">
      <alignment vertical="center"/>
    </xf>
    <xf numFmtId="169" fontId="28" fillId="0" borderId="0" xfId="0" applyNumberFormat="1" applyFont="1" applyAlignment="1">
      <alignment vertical="center" wrapText="1"/>
    </xf>
    <xf numFmtId="2" fontId="42" fillId="25" borderId="0" xfId="0" applyNumberFormat="1" applyFont="1" applyFill="1" applyAlignment="1">
      <alignment horizontal="center" vertical="center"/>
    </xf>
    <xf numFmtId="2" fontId="42" fillId="25" borderId="0" xfId="0" applyNumberFormat="1" applyFont="1" applyFill="1" applyAlignment="1">
      <alignment vertical="center"/>
    </xf>
    <xf numFmtId="2" fontId="42" fillId="0" borderId="0" xfId="0" applyNumberFormat="1" applyFont="1" applyAlignment="1">
      <alignment vertical="center"/>
    </xf>
    <xf numFmtId="0" fontId="1" fillId="0" borderId="97" xfId="0" applyFont="1" applyBorder="1" applyAlignment="1">
      <alignment vertical="center" wrapText="1"/>
    </xf>
    <xf numFmtId="0" fontId="1" fillId="0" borderId="0" xfId="0" applyFont="1" applyAlignment="1">
      <alignment horizontal="center" vertical="center"/>
    </xf>
    <xf numFmtId="0" fontId="29" fillId="63" borderId="17" xfId="0" applyFont="1" applyFill="1" applyBorder="1" applyAlignment="1">
      <alignment horizontal="center" vertical="center"/>
    </xf>
    <xf numFmtId="169" fontId="63" fillId="0" borderId="107" xfId="0" applyNumberFormat="1" applyFont="1" applyBorder="1" applyAlignment="1">
      <alignment horizontal="left" vertical="center" wrapText="1"/>
    </xf>
    <xf numFmtId="169" fontId="32" fillId="63" borderId="17" xfId="0" applyNumberFormat="1" applyFont="1" applyFill="1" applyBorder="1" applyAlignment="1">
      <alignment vertical="center"/>
    </xf>
    <xf numFmtId="0" fontId="29" fillId="63" borderId="20" xfId="0" applyFont="1" applyFill="1" applyBorder="1" applyAlignment="1">
      <alignment horizontal="center" vertical="center"/>
    </xf>
    <xf numFmtId="0" fontId="29" fillId="25" borderId="108" xfId="0" applyFont="1" applyFill="1" applyBorder="1" applyAlignment="1">
      <alignment horizontal="left" vertical="center" wrapText="1"/>
    </xf>
    <xf numFmtId="169" fontId="0" fillId="0" borderId="0" xfId="0" applyNumberFormat="1" applyAlignment="1">
      <alignment vertical="center"/>
    </xf>
    <xf numFmtId="0" fontId="77" fillId="0" borderId="0" xfId="0" applyFont="1" applyAlignment="1">
      <alignment wrapText="1"/>
    </xf>
    <xf numFmtId="186" fontId="0" fillId="0" borderId="0" xfId="0" applyNumberFormat="1"/>
    <xf numFmtId="168" fontId="0" fillId="25" borderId="21" xfId="0" applyNumberFormat="1" applyFill="1" applyBorder="1" applyAlignment="1">
      <alignment horizontal="center" vertical="center"/>
    </xf>
    <xf numFmtId="169" fontId="32" fillId="25" borderId="0" xfId="0" applyNumberFormat="1" applyFont="1" applyFill="1" applyAlignment="1">
      <alignment vertical="center"/>
    </xf>
    <xf numFmtId="167" fontId="32" fillId="25" borderId="0" xfId="0" applyNumberFormat="1" applyFont="1" applyFill="1" applyAlignment="1">
      <alignment vertical="center"/>
    </xf>
    <xf numFmtId="2" fontId="32" fillId="25" borderId="0" xfId="0" applyNumberFormat="1" applyFont="1" applyFill="1" applyAlignment="1">
      <alignment vertical="center"/>
    </xf>
    <xf numFmtId="169" fontId="32" fillId="25" borderId="0" xfId="0" applyNumberFormat="1" applyFont="1" applyFill="1"/>
    <xf numFmtId="169" fontId="31" fillId="25" borderId="0" xfId="0" applyNumberFormat="1" applyFont="1" applyFill="1"/>
    <xf numFmtId="0" fontId="76" fillId="0" borderId="109" xfId="0" applyFont="1" applyBorder="1" applyAlignment="1">
      <alignment vertical="center" wrapText="1"/>
    </xf>
    <xf numFmtId="0" fontId="76" fillId="40" borderId="37" xfId="0" applyFont="1" applyFill="1" applyBorder="1" applyAlignment="1">
      <alignment horizontal="center" vertical="center" wrapText="1"/>
    </xf>
    <xf numFmtId="0" fontId="76" fillId="40" borderId="38" xfId="0" applyFont="1" applyFill="1" applyBorder="1" applyAlignment="1">
      <alignment vertical="center" wrapText="1"/>
    </xf>
    <xf numFmtId="3" fontId="76" fillId="40" borderId="38" xfId="0" applyNumberFormat="1" applyFont="1" applyFill="1" applyBorder="1" applyAlignment="1">
      <alignment vertical="center" wrapText="1"/>
    </xf>
    <xf numFmtId="169" fontId="76" fillId="40" borderId="38" xfId="0" applyNumberFormat="1" applyFont="1" applyFill="1" applyBorder="1" applyAlignment="1">
      <alignment vertical="center" wrapText="1"/>
    </xf>
    <xf numFmtId="0" fontId="76" fillId="0" borderId="0" xfId="0" applyFont="1" applyAlignment="1">
      <alignment vertical="center" wrapText="1"/>
    </xf>
    <xf numFmtId="0" fontId="42" fillId="0" borderId="110" xfId="0" applyFont="1" applyBorder="1" applyAlignment="1">
      <alignment horizontal="center" vertical="center"/>
    </xf>
    <xf numFmtId="0" fontId="42" fillId="0" borderId="0" xfId="0" applyFont="1" applyAlignment="1">
      <alignment vertical="center" wrapText="1"/>
    </xf>
    <xf numFmtId="174" fontId="42" fillId="0" borderId="0" xfId="0" applyNumberFormat="1" applyFont="1" applyAlignment="1">
      <alignment horizontal="center" vertical="center"/>
    </xf>
    <xf numFmtId="173" fontId="42" fillId="25" borderId="109" xfId="65" applyNumberFormat="1" applyFont="1" applyFill="1" applyBorder="1" applyAlignment="1">
      <alignment horizontal="center" vertical="center"/>
    </xf>
    <xf numFmtId="0" fontId="42" fillId="25" borderId="27" xfId="46" applyFont="1" applyFill="1" applyBorder="1" applyAlignment="1">
      <alignment horizontal="center" vertical="center" wrapText="1"/>
    </xf>
    <xf numFmtId="0" fontId="80" fillId="25" borderId="0" xfId="73" applyFont="1" applyFill="1" applyAlignment="1">
      <alignment horizontal="center"/>
    </xf>
    <xf numFmtId="0" fontId="80" fillId="25" borderId="0" xfId="73" applyFont="1" applyFill="1" applyAlignment="1">
      <alignment vertical="center"/>
    </xf>
    <xf numFmtId="0" fontId="80" fillId="25" borderId="0" xfId="73" applyFont="1" applyFill="1"/>
    <xf numFmtId="0" fontId="80" fillId="25" borderId="0" xfId="73" applyFont="1" applyFill="1" applyAlignment="1">
      <alignment wrapText="1"/>
    </xf>
    <xf numFmtId="10" fontId="80" fillId="25" borderId="0" xfId="73" applyNumberFormat="1" applyFont="1" applyFill="1" applyAlignment="1">
      <alignment wrapText="1"/>
    </xf>
    <xf numFmtId="0" fontId="80" fillId="0" borderId="0" xfId="73" applyFont="1"/>
    <xf numFmtId="0" fontId="82" fillId="23" borderId="1" xfId="73" applyFont="1" applyFill="1" applyBorder="1" applyAlignment="1">
      <alignment horizontal="center" vertical="center"/>
    </xf>
    <xf numFmtId="0" fontId="82" fillId="23" borderId="1" xfId="73" applyFont="1" applyFill="1" applyBorder="1" applyAlignment="1">
      <alignment vertical="center"/>
    </xf>
    <xf numFmtId="0" fontId="82" fillId="23" borderId="1" xfId="73" applyFont="1" applyFill="1" applyBorder="1" applyAlignment="1">
      <alignment horizontal="center" vertical="center" wrapText="1"/>
    </xf>
    <xf numFmtId="0" fontId="83" fillId="25" borderId="0" xfId="73" applyFont="1" applyFill="1"/>
    <xf numFmtId="0" fontId="83" fillId="0" borderId="0" xfId="73" applyFont="1"/>
    <xf numFmtId="0" fontId="84" fillId="25" borderId="1" xfId="73" applyFont="1" applyFill="1" applyBorder="1" applyAlignment="1">
      <alignment horizontal="center" vertical="center" wrapText="1"/>
    </xf>
    <xf numFmtId="0" fontId="83" fillId="25" borderId="1" xfId="73" applyFont="1" applyFill="1" applyBorder="1"/>
    <xf numFmtId="168" fontId="83" fillId="0" borderId="1" xfId="73" applyNumberFormat="1" applyFont="1" applyBorder="1" applyAlignment="1">
      <alignment horizontal="center" vertical="center"/>
    </xf>
    <xf numFmtId="187" fontId="83" fillId="0" borderId="1" xfId="74" applyNumberFormat="1" applyFont="1" applyBorder="1" applyAlignment="1">
      <alignment horizontal="center" vertical="center" wrapText="1"/>
    </xf>
    <xf numFmtId="1" fontId="83" fillId="25" borderId="1" xfId="75" applyNumberFormat="1" applyFont="1" applyFill="1" applyBorder="1" applyAlignment="1">
      <alignment horizontal="center" vertical="center" wrapText="1"/>
    </xf>
    <xf numFmtId="187" fontId="83" fillId="25" borderId="1" xfId="74" applyNumberFormat="1" applyFont="1" applyFill="1" applyBorder="1" applyAlignment="1">
      <alignment horizontal="center" vertical="center" wrapText="1"/>
    </xf>
    <xf numFmtId="171" fontId="83" fillId="0" borderId="1" xfId="73" applyNumberFormat="1" applyFont="1" applyBorder="1" applyAlignment="1">
      <alignment horizontal="center" vertical="center"/>
    </xf>
    <xf numFmtId="175" fontId="83" fillId="0" borderId="1" xfId="73" applyNumberFormat="1" applyFont="1" applyBorder="1" applyAlignment="1">
      <alignment horizontal="center" vertical="center"/>
    </xf>
    <xf numFmtId="187" fontId="82" fillId="23" borderId="1" xfId="73" applyNumberFormat="1" applyFont="1" applyFill="1" applyBorder="1" applyAlignment="1">
      <alignment horizontal="center" vertical="center" wrapText="1"/>
    </xf>
    <xf numFmtId="0" fontId="83" fillId="25" borderId="1" xfId="73" applyFont="1" applyFill="1" applyBorder="1" applyAlignment="1">
      <alignment horizontal="left" vertical="center" wrapText="1"/>
    </xf>
    <xf numFmtId="179" fontId="84" fillId="0" borderId="1" xfId="74" applyNumberFormat="1" applyFont="1" applyBorder="1" applyAlignment="1">
      <alignment horizontal="center" vertical="center" wrapText="1"/>
    </xf>
    <xf numFmtId="167" fontId="84" fillId="0" borderId="1" xfId="74" applyNumberFormat="1" applyFont="1" applyBorder="1" applyAlignment="1">
      <alignment horizontal="center" vertical="center" wrapText="1"/>
    </xf>
    <xf numFmtId="187" fontId="84" fillId="0" borderId="1" xfId="74" applyNumberFormat="1" applyFont="1" applyBorder="1" applyAlignment="1">
      <alignment horizontal="center" vertical="center" wrapText="1"/>
    </xf>
    <xf numFmtId="0" fontId="83" fillId="0" borderId="1" xfId="73" applyFont="1" applyBorder="1" applyAlignment="1">
      <alignment horizontal="center"/>
    </xf>
    <xf numFmtId="0" fontId="86" fillId="0" borderId="1" xfId="0" applyFont="1" applyBorder="1" applyAlignment="1">
      <alignment horizontal="left" vertical="center" wrapText="1"/>
    </xf>
    <xf numFmtId="187" fontId="83" fillId="0" borderId="1" xfId="74" applyNumberFormat="1" applyFont="1" applyFill="1" applyBorder="1" applyAlignment="1">
      <alignment horizontal="center" vertical="center" wrapText="1"/>
    </xf>
    <xf numFmtId="0" fontId="87" fillId="0" borderId="0" xfId="0" applyFont="1"/>
    <xf numFmtId="0" fontId="83" fillId="0" borderId="1" xfId="73" applyFont="1" applyBorder="1" applyAlignment="1">
      <alignment vertical="center"/>
    </xf>
    <xf numFmtId="167" fontId="83" fillId="25" borderId="0" xfId="73" applyNumberFormat="1" applyFont="1" applyFill="1"/>
    <xf numFmtId="0" fontId="83" fillId="25" borderId="1" xfId="73" applyFont="1" applyFill="1" applyBorder="1" applyAlignment="1">
      <alignment vertical="center"/>
    </xf>
    <xf numFmtId="181" fontId="83" fillId="0" borderId="1" xfId="73" applyNumberFormat="1" applyFont="1" applyBorder="1" applyAlignment="1">
      <alignment horizontal="center" vertical="center"/>
    </xf>
    <xf numFmtId="0" fontId="83" fillId="0" borderId="1" xfId="73" applyFont="1" applyBorder="1" applyAlignment="1">
      <alignment horizontal="center" vertical="center"/>
    </xf>
    <xf numFmtId="0" fontId="83" fillId="25" borderId="1" xfId="73" applyFont="1" applyFill="1" applyBorder="1" applyAlignment="1">
      <alignment horizontal="center"/>
    </xf>
    <xf numFmtId="0" fontId="83" fillId="25" borderId="0" xfId="73" applyFont="1" applyFill="1" applyAlignment="1">
      <alignment horizontal="center"/>
    </xf>
    <xf numFmtId="165" fontId="83" fillId="25" borderId="0" xfId="65" applyFont="1" applyFill="1" applyAlignment="1">
      <alignment vertical="center"/>
    </xf>
    <xf numFmtId="0" fontId="83" fillId="25" borderId="0" xfId="73" applyFont="1" applyFill="1" applyAlignment="1">
      <alignment wrapText="1"/>
    </xf>
    <xf numFmtId="0" fontId="83" fillId="25" borderId="0" xfId="73" applyFont="1" applyFill="1" applyAlignment="1">
      <alignment vertical="center"/>
    </xf>
    <xf numFmtId="0" fontId="83" fillId="0" borderId="0" xfId="73" applyFont="1" applyAlignment="1">
      <alignment horizontal="center"/>
    </xf>
    <xf numFmtId="0" fontId="83" fillId="0" borderId="0" xfId="73" applyFont="1" applyAlignment="1">
      <alignment vertical="center"/>
    </xf>
    <xf numFmtId="0" fontId="83" fillId="0" borderId="0" xfId="73" applyFont="1" applyAlignment="1">
      <alignment wrapText="1"/>
    </xf>
    <xf numFmtId="10" fontId="42" fillId="25" borderId="28" xfId="65" applyNumberFormat="1" applyFont="1" applyFill="1" applyBorder="1" applyAlignment="1">
      <alignment horizontal="center" vertical="center"/>
    </xf>
    <xf numFmtId="0" fontId="42" fillId="25" borderId="45" xfId="65" applyNumberFormat="1" applyFont="1" applyFill="1" applyBorder="1" applyAlignment="1">
      <alignment horizontal="center" vertical="center"/>
    </xf>
    <xf numFmtId="0" fontId="42" fillId="25" borderId="49" xfId="65" applyNumberFormat="1" applyFont="1" applyFill="1" applyBorder="1" applyAlignment="1">
      <alignment horizontal="center" vertical="center"/>
    </xf>
    <xf numFmtId="0" fontId="42" fillId="25" borderId="0" xfId="65" applyNumberFormat="1" applyFont="1" applyFill="1" applyBorder="1" applyAlignment="1">
      <alignment horizontal="center" vertical="center"/>
    </xf>
    <xf numFmtId="0" fontId="60" fillId="0" borderId="1" xfId="0" applyFont="1" applyBorder="1" applyAlignment="1">
      <alignment horizontal="center" vertical="center" wrapText="1"/>
    </xf>
    <xf numFmtId="0" fontId="1" fillId="0" borderId="1" xfId="0" applyFont="1" applyBorder="1" applyAlignment="1">
      <alignment vertical="center" wrapText="1"/>
    </xf>
    <xf numFmtId="8" fontId="1" fillId="0" borderId="1" xfId="0" applyNumberFormat="1" applyFont="1" applyBorder="1" applyAlignment="1">
      <alignment vertical="center" wrapText="1"/>
    </xf>
    <xf numFmtId="169" fontId="90" fillId="0" borderId="65" xfId="0" applyNumberFormat="1" applyFont="1" applyBorder="1" applyAlignment="1">
      <alignment horizontal="left" vertical="center" wrapText="1"/>
    </xf>
    <xf numFmtId="169" fontId="63" fillId="65" borderId="56" xfId="0" applyNumberFormat="1" applyFont="1" applyFill="1" applyBorder="1" applyAlignment="1">
      <alignment horizontal="left" vertical="center" wrapText="1"/>
    </xf>
    <xf numFmtId="169" fontId="63" fillId="65" borderId="60" xfId="0" applyNumberFormat="1" applyFont="1" applyFill="1" applyBorder="1" applyAlignment="1">
      <alignment vertical="center" wrapText="1"/>
    </xf>
    <xf numFmtId="177" fontId="0" fillId="65" borderId="0" xfId="0" applyNumberFormat="1" applyFill="1"/>
    <xf numFmtId="169" fontId="63" fillId="65" borderId="107" xfId="0" applyNumberFormat="1" applyFont="1" applyFill="1" applyBorder="1" applyAlignment="1">
      <alignment horizontal="left" vertical="center" wrapText="1"/>
    </xf>
    <xf numFmtId="0" fontId="42" fillId="25" borderId="44" xfId="65" applyNumberFormat="1" applyFont="1" applyFill="1" applyBorder="1" applyAlignment="1">
      <alignment horizontal="center" vertical="center"/>
    </xf>
    <xf numFmtId="0" fontId="31" fillId="0" borderId="17" xfId="0" applyFont="1" applyBorder="1" applyAlignment="1">
      <alignment horizontal="center" vertical="center" wrapText="1"/>
    </xf>
    <xf numFmtId="9" fontId="32" fillId="0" borderId="17" xfId="71" applyFont="1" applyFill="1" applyBorder="1" applyAlignment="1">
      <alignment vertical="center"/>
    </xf>
    <xf numFmtId="0" fontId="29" fillId="0" borderId="20" xfId="0" applyFont="1" applyBorder="1" applyAlignment="1">
      <alignment horizontal="center" vertical="center"/>
    </xf>
    <xf numFmtId="0" fontId="29" fillId="0" borderId="108" xfId="0" applyFont="1" applyBorder="1" applyAlignment="1">
      <alignment horizontal="left" vertical="center" wrapText="1"/>
    </xf>
    <xf numFmtId="169" fontId="31" fillId="0" borderId="17" xfId="0" applyNumberFormat="1" applyFont="1" applyBorder="1" applyAlignment="1">
      <alignment vertical="center"/>
    </xf>
    <xf numFmtId="9" fontId="31" fillId="0" borderId="17" xfId="71" applyFont="1" applyFill="1" applyBorder="1" applyAlignment="1">
      <alignment vertical="center"/>
    </xf>
    <xf numFmtId="9" fontId="31" fillId="0" borderId="17" xfId="71" applyFont="1" applyFill="1" applyBorder="1" applyAlignment="1">
      <alignment horizontal="center" vertical="center" wrapText="1"/>
    </xf>
    <xf numFmtId="0" fontId="63" fillId="0" borderId="107" xfId="0" applyFont="1" applyBorder="1" applyAlignment="1">
      <alignment horizontal="center" vertical="center" wrapText="1"/>
    </xf>
    <xf numFmtId="0" fontId="91" fillId="66" borderId="40" xfId="0" applyFont="1" applyFill="1" applyBorder="1" applyAlignment="1">
      <alignment horizontal="center" vertical="center"/>
    </xf>
    <xf numFmtId="0" fontId="91" fillId="66" borderId="38" xfId="0" applyFont="1" applyFill="1" applyBorder="1" applyAlignment="1">
      <alignment horizontal="center" vertical="center"/>
    </xf>
    <xf numFmtId="0" fontId="91" fillId="0" borderId="37" xfId="0" applyFont="1" applyBorder="1" applyAlignment="1">
      <alignment vertical="center"/>
    </xf>
    <xf numFmtId="0" fontId="91" fillId="0" borderId="38" xfId="0" applyFont="1" applyBorder="1" applyAlignment="1">
      <alignment vertical="center"/>
    </xf>
    <xf numFmtId="0" fontId="92" fillId="0" borderId="38" xfId="0" applyFont="1" applyBorder="1" applyAlignment="1">
      <alignment vertical="center"/>
    </xf>
    <xf numFmtId="0" fontId="92" fillId="0" borderId="38" xfId="0" applyFont="1" applyBorder="1" applyAlignment="1">
      <alignment horizontal="center" vertical="center"/>
    </xf>
    <xf numFmtId="0" fontId="93" fillId="0" borderId="38" xfId="0" applyFont="1" applyBorder="1" applyAlignment="1">
      <alignment vertical="center"/>
    </xf>
    <xf numFmtId="0" fontId="92" fillId="0" borderId="37" xfId="0" applyFont="1" applyBorder="1" applyAlignment="1">
      <alignment vertical="center"/>
    </xf>
    <xf numFmtId="0" fontId="93" fillId="0" borderId="37" xfId="0" applyFont="1" applyBorder="1" applyAlignment="1">
      <alignment vertical="center"/>
    </xf>
    <xf numFmtId="0" fontId="94" fillId="40" borderId="38" xfId="0" applyFont="1" applyFill="1" applyBorder="1" applyAlignment="1">
      <alignment vertical="center"/>
    </xf>
    <xf numFmtId="0" fontId="91" fillId="66" borderId="37" xfId="0" applyFont="1" applyFill="1" applyBorder="1" applyAlignment="1">
      <alignment vertical="center"/>
    </xf>
    <xf numFmtId="169" fontId="93" fillId="0" borderId="38" xfId="0" applyNumberFormat="1" applyFont="1" applyBorder="1" applyAlignment="1">
      <alignment vertical="center"/>
    </xf>
    <xf numFmtId="169" fontId="94" fillId="40" borderId="38" xfId="0" applyNumberFormat="1" applyFont="1" applyFill="1" applyBorder="1" applyAlignment="1">
      <alignment vertical="center"/>
    </xf>
    <xf numFmtId="169" fontId="0" fillId="0" borderId="0" xfId="0" applyNumberFormat="1" applyAlignment="1">
      <alignment wrapText="1"/>
    </xf>
    <xf numFmtId="0" fontId="91" fillId="66" borderId="38" xfId="0" applyFont="1" applyFill="1" applyBorder="1" applyAlignment="1">
      <alignment vertical="center"/>
    </xf>
    <xf numFmtId="0" fontId="91" fillId="66" borderId="38" xfId="0" applyFont="1" applyFill="1" applyBorder="1" applyAlignment="1">
      <alignment horizontal="right" vertical="center"/>
    </xf>
    <xf numFmtId="169" fontId="94" fillId="0" borderId="38" xfId="0" applyNumberFormat="1" applyFont="1" applyBorder="1" applyAlignment="1">
      <alignment vertical="center"/>
    </xf>
    <xf numFmtId="0" fontId="90" fillId="0" borderId="56" xfId="0" applyFont="1" applyBorder="1" applyAlignment="1">
      <alignment horizontal="left" vertical="center" wrapText="1" indent="1"/>
    </xf>
    <xf numFmtId="0" fontId="90" fillId="0" borderId="58" xfId="0" applyFont="1" applyBorder="1" applyAlignment="1">
      <alignment vertical="center" wrapText="1"/>
    </xf>
    <xf numFmtId="9" fontId="0" fillId="0" borderId="0" xfId="0" applyNumberFormat="1" applyAlignment="1">
      <alignment wrapText="1"/>
    </xf>
    <xf numFmtId="0" fontId="95" fillId="60" borderId="0" xfId="0" applyFont="1" applyFill="1" applyAlignment="1">
      <alignment horizontal="left"/>
    </xf>
    <xf numFmtId="0" fontId="95" fillId="60" borderId="0" xfId="0" applyFont="1" applyFill="1" applyAlignment="1">
      <alignment horizontal="center"/>
    </xf>
    <xf numFmtId="172" fontId="95" fillId="60" borderId="0" xfId="0" applyNumberFormat="1" applyFont="1" applyFill="1" applyAlignment="1">
      <alignment horizontal="right"/>
    </xf>
    <xf numFmtId="0" fontId="1" fillId="67" borderId="1" xfId="0" applyFont="1" applyFill="1" applyBorder="1" applyAlignment="1">
      <alignment horizontal="center"/>
    </xf>
    <xf numFmtId="0" fontId="1" fillId="67" borderId="1" xfId="0" applyFont="1" applyFill="1" applyBorder="1" applyAlignment="1">
      <alignment horizontal="center" vertical="center" wrapText="1"/>
    </xf>
    <xf numFmtId="0" fontId="0" fillId="25" borderId="1" xfId="0" applyFill="1" applyBorder="1" applyAlignment="1">
      <alignment horizontal="center" vertical="center"/>
    </xf>
    <xf numFmtId="0" fontId="0" fillId="25" borderId="1" xfId="0" applyFill="1" applyBorder="1" applyAlignment="1">
      <alignment horizontal="center" vertical="center" wrapText="1"/>
    </xf>
    <xf numFmtId="169" fontId="63" fillId="0" borderId="58" xfId="0" applyNumberFormat="1" applyFont="1" applyBorder="1" applyAlignment="1">
      <alignment vertical="center" wrapText="1"/>
    </xf>
    <xf numFmtId="0" fontId="0" fillId="0" borderId="0" xfId="0" applyAlignment="1">
      <alignment horizontal="left"/>
    </xf>
    <xf numFmtId="0" fontId="63" fillId="52" borderId="61" xfId="0" applyFont="1" applyFill="1" applyBorder="1" applyAlignment="1">
      <alignment horizontal="left" vertical="center" wrapText="1"/>
    </xf>
    <xf numFmtId="0" fontId="63" fillId="52" borderId="57" xfId="0" applyFont="1" applyFill="1" applyBorder="1" applyAlignment="1">
      <alignment horizontal="left" vertical="center" wrapText="1"/>
    </xf>
    <xf numFmtId="0" fontId="63" fillId="52" borderId="61" xfId="0" applyFont="1" applyFill="1" applyBorder="1" applyAlignment="1">
      <alignment horizontal="center" vertical="center" wrapText="1"/>
    </xf>
    <xf numFmtId="0" fontId="63" fillId="52" borderId="57" xfId="0" applyFont="1" applyFill="1" applyBorder="1" applyAlignment="1">
      <alignment horizontal="center" vertical="center" wrapText="1"/>
    </xf>
    <xf numFmtId="0" fontId="63" fillId="52" borderId="61" xfId="0" applyFont="1" applyFill="1" applyBorder="1" applyAlignment="1">
      <alignment horizontal="left" vertical="center" wrapText="1" indent="1"/>
    </xf>
    <xf numFmtId="0" fontId="63" fillId="52" borderId="57" xfId="0" applyFont="1" applyFill="1" applyBorder="1" applyAlignment="1">
      <alignment horizontal="left" vertical="center" wrapText="1" indent="1"/>
    </xf>
    <xf numFmtId="0" fontId="1" fillId="0" borderId="0" xfId="0" applyFont="1" applyAlignment="1">
      <alignment horizontal="left" vertical="center"/>
    </xf>
    <xf numFmtId="0" fontId="1" fillId="0" borderId="13" xfId="0" applyFont="1" applyBorder="1" applyAlignment="1">
      <alignment horizontal="center" vertical="center"/>
    </xf>
    <xf numFmtId="0" fontId="1" fillId="0" borderId="15" xfId="0" applyFont="1" applyBorder="1" applyAlignment="1">
      <alignment horizontal="center" vertical="center"/>
    </xf>
    <xf numFmtId="0" fontId="1" fillId="0" borderId="14" xfId="0" applyFont="1" applyBorder="1" applyAlignment="1">
      <alignment horizontal="center" vertical="center"/>
    </xf>
    <xf numFmtId="0" fontId="1" fillId="24" borderId="13" xfId="0" applyFont="1" applyFill="1" applyBorder="1" applyAlignment="1">
      <alignment horizontal="center" vertical="center" wrapText="1"/>
    </xf>
    <xf numFmtId="0" fontId="1" fillId="24" borderId="14" xfId="0" applyFont="1" applyFill="1" applyBorder="1" applyAlignment="1">
      <alignment horizontal="center" vertical="center" wrapText="1"/>
    </xf>
    <xf numFmtId="0" fontId="27" fillId="20" borderId="13" xfId="0" applyFont="1" applyFill="1" applyBorder="1" applyAlignment="1">
      <alignment horizontal="center" wrapText="1"/>
    </xf>
    <xf numFmtId="0" fontId="27" fillId="20" borderId="14" xfId="0" applyFont="1" applyFill="1" applyBorder="1" applyAlignment="1">
      <alignment horizontal="center" wrapText="1"/>
    </xf>
    <xf numFmtId="0" fontId="0" fillId="0" borderId="1" xfId="0" applyBorder="1" applyAlignment="1">
      <alignment horizontal="left" vertical="center" wrapText="1"/>
    </xf>
    <xf numFmtId="0" fontId="1" fillId="0" borderId="1" xfId="0" applyFont="1" applyBorder="1" applyAlignment="1">
      <alignment horizontal="left" vertical="center" wrapText="1"/>
    </xf>
    <xf numFmtId="0" fontId="1" fillId="21" borderId="13" xfId="0" applyFont="1" applyFill="1" applyBorder="1" applyAlignment="1">
      <alignment horizontal="center" vertical="center" wrapText="1"/>
    </xf>
    <xf numFmtId="0" fontId="1" fillId="21" borderId="14" xfId="0" applyFont="1" applyFill="1" applyBorder="1" applyAlignment="1">
      <alignment horizontal="center" vertical="center" wrapText="1"/>
    </xf>
    <xf numFmtId="0" fontId="0" fillId="0" borderId="13" xfId="0" applyBorder="1" applyAlignment="1">
      <alignment horizontal="center" wrapText="1"/>
    </xf>
    <xf numFmtId="0" fontId="0" fillId="0" borderId="14" xfId="0" applyBorder="1" applyAlignment="1">
      <alignment horizontal="center" wrapText="1"/>
    </xf>
    <xf numFmtId="0" fontId="26" fillId="20" borderId="0" xfId="0" applyFont="1" applyFill="1" applyAlignment="1">
      <alignment horizontal="center" wrapText="1"/>
    </xf>
    <xf numFmtId="0" fontId="0" fillId="0" borderId="0" xfId="0" applyAlignment="1">
      <alignment vertical="center" wrapText="1"/>
    </xf>
    <xf numFmtId="0" fontId="1" fillId="0" borderId="0" xfId="0" applyFont="1" applyAlignment="1">
      <alignment vertical="center" wrapText="1"/>
    </xf>
    <xf numFmtId="0" fontId="33" fillId="0" borderId="0" xfId="67" applyAlignment="1">
      <alignment vertical="center" wrapText="1"/>
    </xf>
    <xf numFmtId="0" fontId="41" fillId="0" borderId="24" xfId="69" applyFont="1" applyBorder="1" applyAlignment="1">
      <alignment horizontal="left" vertical="top" wrapText="1"/>
    </xf>
    <xf numFmtId="0" fontId="41" fillId="0" borderId="25" xfId="69" applyFont="1" applyBorder="1" applyAlignment="1">
      <alignment horizontal="left" vertical="top" wrapText="1"/>
    </xf>
    <xf numFmtId="169" fontId="31" fillId="0" borderId="0" xfId="0" applyNumberFormat="1" applyFont="1" applyAlignment="1">
      <alignment horizontal="center"/>
    </xf>
    <xf numFmtId="0" fontId="36" fillId="0" borderId="20" xfId="0" applyFont="1" applyBorder="1" applyAlignment="1">
      <alignment horizontal="center" vertical="center"/>
    </xf>
    <xf numFmtId="0" fontId="36" fillId="0" borderId="22" xfId="0" applyFont="1" applyBorder="1" applyAlignment="1">
      <alignment horizontal="center" vertical="center"/>
    </xf>
    <xf numFmtId="0" fontId="36" fillId="0" borderId="21" xfId="0" applyFont="1" applyBorder="1" applyAlignment="1">
      <alignment horizontal="center" vertical="center"/>
    </xf>
    <xf numFmtId="0" fontId="35" fillId="35" borderId="12" xfId="0" applyFont="1" applyFill="1" applyBorder="1" applyAlignment="1">
      <alignment horizontal="center" vertical="center" wrapText="1"/>
    </xf>
    <xf numFmtId="0" fontId="35" fillId="35" borderId="19" xfId="0" applyFont="1" applyFill="1" applyBorder="1" applyAlignment="1">
      <alignment horizontal="center" vertical="center" wrapText="1"/>
    </xf>
    <xf numFmtId="0" fontId="62" fillId="58" borderId="52" xfId="0" applyFont="1" applyFill="1" applyBorder="1" applyAlignment="1">
      <alignment horizontal="left" vertical="center"/>
    </xf>
    <xf numFmtId="0" fontId="62" fillId="58" borderId="53" xfId="0" applyFont="1" applyFill="1" applyBorder="1" applyAlignment="1">
      <alignment horizontal="left" vertical="center"/>
    </xf>
    <xf numFmtId="0" fontId="62" fillId="58" borderId="54" xfId="0" applyFont="1" applyFill="1" applyBorder="1" applyAlignment="1">
      <alignment horizontal="left" vertical="center"/>
    </xf>
    <xf numFmtId="0" fontId="62" fillId="34" borderId="52" xfId="0" applyFont="1" applyFill="1" applyBorder="1" applyAlignment="1">
      <alignment horizontal="left" vertical="center"/>
    </xf>
    <xf numFmtId="0" fontId="62" fillId="34" borderId="53" xfId="0" applyFont="1" applyFill="1" applyBorder="1" applyAlignment="1">
      <alignment horizontal="left" vertical="center"/>
    </xf>
    <xf numFmtId="0" fontId="62" fillId="34" borderId="54" xfId="0" applyFont="1" applyFill="1" applyBorder="1" applyAlignment="1">
      <alignment horizontal="left" vertical="center"/>
    </xf>
    <xf numFmtId="0" fontId="74" fillId="59" borderId="52" xfId="0" applyFont="1" applyFill="1" applyBorder="1" applyAlignment="1">
      <alignment horizontal="left" vertical="center"/>
    </xf>
    <xf numFmtId="0" fontId="74" fillId="59" borderId="53" xfId="0" applyFont="1" applyFill="1" applyBorder="1" applyAlignment="1">
      <alignment horizontal="left" vertical="center"/>
    </xf>
    <xf numFmtId="0" fontId="74" fillId="59" borderId="54" xfId="0" applyFont="1" applyFill="1" applyBorder="1" applyAlignment="1">
      <alignment horizontal="left" vertical="center"/>
    </xf>
    <xf numFmtId="0" fontId="67" fillId="55" borderId="66" xfId="0" applyFont="1" applyFill="1" applyBorder="1" applyAlignment="1">
      <alignment horizontal="center" vertical="center"/>
    </xf>
    <xf numFmtId="0" fontId="67" fillId="55" borderId="53" xfId="0" applyFont="1" applyFill="1" applyBorder="1" applyAlignment="1">
      <alignment horizontal="center" vertical="center"/>
    </xf>
    <xf numFmtId="0" fontId="67" fillId="55" borderId="36" xfId="0" applyFont="1" applyFill="1" applyBorder="1" applyAlignment="1">
      <alignment horizontal="center" vertical="center"/>
    </xf>
    <xf numFmtId="0" fontId="67" fillId="55" borderId="67" xfId="0" applyFont="1" applyFill="1" applyBorder="1" applyAlignment="1">
      <alignment horizontal="center" vertical="center"/>
    </xf>
    <xf numFmtId="0" fontId="67" fillId="55" borderId="68" xfId="0" applyFont="1" applyFill="1" applyBorder="1" applyAlignment="1">
      <alignment horizontal="center" vertical="center"/>
    </xf>
    <xf numFmtId="0" fontId="67" fillId="55" borderId="40" xfId="0" applyFont="1" applyFill="1" applyBorder="1" applyAlignment="1">
      <alignment horizontal="center" vertical="center"/>
    </xf>
    <xf numFmtId="0" fontId="42" fillId="25" borderId="66" xfId="46" applyFont="1" applyFill="1" applyBorder="1" applyAlignment="1">
      <alignment horizontal="center" vertical="center"/>
    </xf>
    <xf numFmtId="0" fontId="42" fillId="25" borderId="53" xfId="46" applyFont="1" applyFill="1" applyBorder="1" applyAlignment="1">
      <alignment horizontal="center" vertical="center"/>
    </xf>
    <xf numFmtId="0" fontId="42" fillId="25" borderId="36" xfId="46" applyFont="1" applyFill="1" applyBorder="1" applyAlignment="1">
      <alignment horizontal="center" vertical="center"/>
    </xf>
    <xf numFmtId="0" fontId="62" fillId="34" borderId="75" xfId="0" applyFont="1" applyFill="1" applyBorder="1" applyAlignment="1">
      <alignment horizontal="center" vertical="center"/>
    </xf>
    <xf numFmtId="0" fontId="62" fillId="34" borderId="79" xfId="0" applyFont="1" applyFill="1" applyBorder="1" applyAlignment="1">
      <alignment horizontal="center" vertical="center"/>
    </xf>
    <xf numFmtId="0" fontId="62" fillId="34" borderId="72" xfId="0" applyFont="1" applyFill="1" applyBorder="1" applyAlignment="1">
      <alignment horizontal="center" vertical="center"/>
    </xf>
    <xf numFmtId="0" fontId="62" fillId="34" borderId="80" xfId="0" applyFont="1" applyFill="1" applyBorder="1" applyAlignment="1">
      <alignment horizontal="center" vertical="center"/>
    </xf>
    <xf numFmtId="0" fontId="62" fillId="39" borderId="52" xfId="0" applyFont="1" applyFill="1" applyBorder="1" applyAlignment="1">
      <alignment horizontal="center" vertical="center"/>
    </xf>
    <xf numFmtId="0" fontId="62" fillId="39" borderId="53" xfId="0" applyFont="1" applyFill="1" applyBorder="1" applyAlignment="1">
      <alignment horizontal="center" vertical="center"/>
    </xf>
    <xf numFmtId="0" fontId="62" fillId="39" borderId="54" xfId="0" applyFont="1" applyFill="1" applyBorder="1" applyAlignment="1">
      <alignment horizontal="center" vertical="center"/>
    </xf>
    <xf numFmtId="0" fontId="36" fillId="25" borderId="20" xfId="0" applyFont="1" applyFill="1" applyBorder="1" applyAlignment="1">
      <alignment horizontal="center" vertical="center"/>
    </xf>
    <xf numFmtId="0" fontId="36" fillId="25" borderId="22" xfId="0" applyFont="1" applyFill="1" applyBorder="1" applyAlignment="1">
      <alignment horizontal="center" vertical="center"/>
    </xf>
    <xf numFmtId="0" fontId="36" fillId="25" borderId="21" xfId="0" applyFont="1" applyFill="1" applyBorder="1" applyAlignment="1">
      <alignment horizontal="center" vertical="center"/>
    </xf>
    <xf numFmtId="0" fontId="0" fillId="0" borderId="0" xfId="0" applyAlignment="1">
      <alignment horizontal="left"/>
    </xf>
    <xf numFmtId="0" fontId="78" fillId="25" borderId="66" xfId="0" applyFont="1" applyFill="1" applyBorder="1" applyAlignment="1">
      <alignment horizontal="center" vertical="center" wrapText="1"/>
    </xf>
    <xf numFmtId="0" fontId="78" fillId="25" borderId="53" xfId="0" applyFont="1" applyFill="1" applyBorder="1" applyAlignment="1">
      <alignment horizontal="center" vertical="center" wrapText="1"/>
    </xf>
    <xf numFmtId="0" fontId="78" fillId="25" borderId="36" xfId="0" applyFont="1" applyFill="1" applyBorder="1" applyAlignment="1">
      <alignment horizontal="center" vertical="center" wrapText="1"/>
    </xf>
    <xf numFmtId="9" fontId="0" fillId="0" borderId="99" xfId="71" applyFont="1" applyFill="1" applyBorder="1" applyAlignment="1">
      <alignment horizontal="center" vertical="center" wrapText="1"/>
    </xf>
    <xf numFmtId="0" fontId="0" fillId="0" borderId="34" xfId="0" applyBorder="1" applyAlignment="1">
      <alignment horizontal="center"/>
    </xf>
    <xf numFmtId="0" fontId="0" fillId="0" borderId="15" xfId="0" applyBorder="1" applyAlignment="1">
      <alignment horizontal="center"/>
    </xf>
    <xf numFmtId="0" fontId="0" fillId="0" borderId="14" xfId="0" applyBorder="1" applyAlignment="1">
      <alignment horizontal="center"/>
    </xf>
    <xf numFmtId="0" fontId="0" fillId="0" borderId="34" xfId="0" applyBorder="1" applyAlignment="1">
      <alignment horizontal="left"/>
    </xf>
    <xf numFmtId="0" fontId="0" fillId="0" borderId="15" xfId="0" applyBorder="1" applyAlignment="1">
      <alignment horizontal="left"/>
    </xf>
    <xf numFmtId="0" fontId="0" fillId="0" borderId="14" xfId="0" applyBorder="1" applyAlignment="1">
      <alignment horizontal="left"/>
    </xf>
    <xf numFmtId="0" fontId="37" fillId="36" borderId="1" xfId="0" applyFont="1" applyFill="1" applyBorder="1" applyAlignment="1">
      <alignment horizontal="center" vertical="center"/>
    </xf>
    <xf numFmtId="165" fontId="48" fillId="0" borderId="0" xfId="65" applyFont="1" applyFill="1" applyBorder="1" applyAlignment="1">
      <alignment vertical="center"/>
    </xf>
    <xf numFmtId="0" fontId="54" fillId="50" borderId="39" xfId="0" applyFont="1" applyFill="1" applyBorder="1" applyAlignment="1">
      <alignment vertical="center" wrapText="1"/>
    </xf>
    <xf numFmtId="0" fontId="54" fillId="50" borderId="37" xfId="0" applyFont="1" applyFill="1" applyBorder="1" applyAlignment="1">
      <alignment vertical="center" wrapText="1"/>
    </xf>
    <xf numFmtId="0" fontId="0" fillId="0" borderId="0" xfId="0" applyAlignment="1">
      <alignment horizontal="center" wrapText="1"/>
    </xf>
    <xf numFmtId="0" fontId="91" fillId="66" borderId="39" xfId="0" applyFont="1" applyFill="1" applyBorder="1" applyAlignment="1">
      <alignment vertical="center"/>
    </xf>
    <xf numFmtId="0" fontId="91" fillId="66" borderId="37" xfId="0" applyFont="1" applyFill="1" applyBorder="1" applyAlignment="1">
      <alignment vertical="center"/>
    </xf>
    <xf numFmtId="0" fontId="91" fillId="0" borderId="66" xfId="0" applyFont="1" applyBorder="1" applyAlignment="1">
      <alignment vertical="center"/>
    </xf>
    <xf numFmtId="0" fontId="91" fillId="0" borderId="53" xfId="0" applyFont="1" applyBorder="1" applyAlignment="1">
      <alignment vertical="center"/>
    </xf>
    <xf numFmtId="0" fontId="91" fillId="0" borderId="36" xfId="0" applyFont="1" applyBorder="1" applyAlignment="1">
      <alignment vertical="center"/>
    </xf>
    <xf numFmtId="0" fontId="1" fillId="0" borderId="1" xfId="0" applyFont="1" applyBorder="1" applyAlignment="1">
      <alignment vertical="center" wrapText="1"/>
    </xf>
    <xf numFmtId="0" fontId="1" fillId="0" borderId="0" xfId="0" applyFont="1" applyAlignment="1">
      <alignment horizontal="center" wrapText="1"/>
    </xf>
    <xf numFmtId="0" fontId="91" fillId="66" borderId="39" xfId="0" applyFont="1" applyFill="1" applyBorder="1" applyAlignment="1">
      <alignment horizontal="right" vertical="center"/>
    </xf>
    <xf numFmtId="0" fontId="91" fillId="66" borderId="37" xfId="0" applyFont="1" applyFill="1" applyBorder="1" applyAlignment="1">
      <alignment horizontal="right" vertical="center"/>
    </xf>
    <xf numFmtId="0" fontId="91" fillId="66" borderId="39" xfId="0" applyFont="1" applyFill="1" applyBorder="1" applyAlignment="1">
      <alignment horizontal="center" vertical="center"/>
    </xf>
    <xf numFmtId="0" fontId="91" fillId="66" borderId="37" xfId="0" applyFont="1" applyFill="1" applyBorder="1" applyAlignment="1">
      <alignment horizontal="center" vertical="center"/>
    </xf>
    <xf numFmtId="0" fontId="39" fillId="0" borderId="24" xfId="0" applyFont="1" applyBorder="1" applyAlignment="1">
      <alignment horizontal="center" vertical="top"/>
    </xf>
    <xf numFmtId="0" fontId="40" fillId="0" borderId="24" xfId="0" applyFont="1" applyBorder="1" applyAlignment="1">
      <alignment horizontal="left" vertical="top"/>
    </xf>
    <xf numFmtId="0" fontId="40" fillId="0" borderId="25" xfId="0" applyFont="1" applyBorder="1" applyAlignment="1">
      <alignment horizontal="center" vertical="top"/>
    </xf>
    <xf numFmtId="0" fontId="40" fillId="0" borderId="24" xfId="0" applyFont="1" applyBorder="1" applyAlignment="1">
      <alignment horizontal="left" vertical="top" wrapText="1"/>
    </xf>
    <xf numFmtId="0" fontId="0" fillId="0" borderId="26" xfId="0" applyBorder="1" applyAlignment="1">
      <alignment horizontal="left" vertical="top"/>
    </xf>
    <xf numFmtId="0" fontId="0" fillId="0" borderId="24" xfId="0" applyBorder="1" applyAlignment="1">
      <alignment horizontal="left" vertical="top"/>
    </xf>
    <xf numFmtId="0" fontId="0" fillId="0" borderId="25" xfId="0" applyBorder="1" applyAlignment="1">
      <alignment horizontal="left" vertical="top"/>
    </xf>
    <xf numFmtId="0" fontId="81" fillId="64" borderId="111" xfId="73" applyFont="1" applyFill="1" applyBorder="1" applyAlignment="1">
      <alignment horizontal="center" vertical="center"/>
    </xf>
    <xf numFmtId="0" fontId="81" fillId="64" borderId="112" xfId="73" applyFont="1" applyFill="1" applyBorder="1" applyAlignment="1">
      <alignment horizontal="center" vertical="center"/>
    </xf>
    <xf numFmtId="169" fontId="32" fillId="40" borderId="17" xfId="0" applyNumberFormat="1" applyFont="1" applyFill="1" applyBorder="1" applyAlignment="1">
      <alignment vertical="center"/>
    </xf>
    <xf numFmtId="2" fontId="32" fillId="40" borderId="0" xfId="0" applyNumberFormat="1" applyFont="1" applyFill="1" applyAlignment="1">
      <alignment vertical="center"/>
    </xf>
    <xf numFmtId="0" fontId="29" fillId="0" borderId="17" xfId="0" applyFont="1" applyFill="1" applyBorder="1" applyAlignment="1">
      <alignment horizontal="center" vertical="center"/>
    </xf>
    <xf numFmtId="0" fontId="29" fillId="0" borderId="18" xfId="0" applyFont="1" applyFill="1" applyBorder="1" applyAlignment="1">
      <alignment horizontal="center" vertical="center"/>
    </xf>
    <xf numFmtId="0" fontId="29" fillId="0" borderId="18" xfId="0" applyFont="1" applyFill="1" applyBorder="1" applyAlignment="1">
      <alignment horizontal="left" vertical="center" wrapText="1"/>
    </xf>
    <xf numFmtId="168" fontId="0" fillId="0" borderId="21" xfId="0" applyNumberFormat="1" applyFill="1" applyBorder="1" applyAlignment="1">
      <alignment horizontal="center" vertical="center"/>
    </xf>
    <xf numFmtId="169" fontId="32" fillId="0" borderId="17" xfId="0" applyNumberFormat="1" applyFont="1" applyFill="1" applyBorder="1" applyAlignment="1">
      <alignment vertical="center"/>
    </xf>
    <xf numFmtId="169" fontId="32" fillId="0" borderId="0" xfId="0" applyNumberFormat="1" applyFont="1" applyFill="1" applyAlignment="1">
      <alignment vertical="center"/>
    </xf>
    <xf numFmtId="167" fontId="32" fillId="0" borderId="0" xfId="0" applyNumberFormat="1" applyFont="1" applyFill="1" applyAlignment="1">
      <alignment vertical="center"/>
    </xf>
    <xf numFmtId="0" fontId="31" fillId="0" borderId="0" xfId="0" applyFont="1" applyFill="1"/>
    <xf numFmtId="169" fontId="32" fillId="0" borderId="0" xfId="0" applyNumberFormat="1" applyFont="1" applyFill="1"/>
    <xf numFmtId="169" fontId="31" fillId="0" borderId="0" xfId="0" applyNumberFormat="1" applyFont="1" applyFill="1"/>
    <xf numFmtId="9" fontId="42" fillId="25" borderId="81" xfId="71" applyFont="1" applyFill="1" applyBorder="1" applyAlignment="1">
      <alignment horizontal="left" vertical="center" wrapText="1"/>
    </xf>
    <xf numFmtId="2" fontId="68" fillId="25" borderId="0" xfId="0" applyNumberFormat="1" applyFont="1" applyFill="1" applyAlignment="1">
      <alignment vertical="center"/>
    </xf>
    <xf numFmtId="182" fontId="96" fillId="0" borderId="98" xfId="33" applyNumberFormat="1" applyFont="1" applyFill="1" applyBorder="1" applyAlignment="1">
      <alignment horizontal="right" vertical="center" wrapText="1"/>
    </xf>
    <xf numFmtId="0" fontId="97" fillId="0" borderId="97" xfId="0" applyFont="1" applyBorder="1" applyAlignment="1">
      <alignment vertical="center" wrapText="1"/>
    </xf>
    <xf numFmtId="182" fontId="96" fillId="62" borderId="98" xfId="33" applyNumberFormat="1" applyFont="1" applyFill="1" applyBorder="1" applyAlignment="1">
      <alignment horizontal="right" vertical="center" wrapText="1"/>
    </xf>
    <xf numFmtId="182" fontId="1" fillId="0" borderId="113" xfId="33" applyNumberFormat="1" applyFont="1" applyFill="1" applyBorder="1" applyAlignment="1">
      <alignment horizontal="right" vertical="center" wrapText="1"/>
    </xf>
    <xf numFmtId="170" fontId="1" fillId="0" borderId="114" xfId="0" applyNumberFormat="1" applyFont="1" applyBorder="1" applyAlignment="1">
      <alignment horizontal="center" vertical="center" wrapText="1"/>
    </xf>
    <xf numFmtId="0" fontId="96" fillId="0" borderId="97" xfId="0" applyFont="1" applyBorder="1"/>
    <xf numFmtId="0" fontId="1" fillId="33" borderId="115" xfId="0" applyFont="1" applyFill="1" applyBorder="1" applyAlignment="1">
      <alignment vertical="center" wrapText="1"/>
    </xf>
    <xf numFmtId="182" fontId="1" fillId="33" borderId="116" xfId="33" applyNumberFormat="1" applyFont="1" applyFill="1" applyBorder="1" applyAlignment="1">
      <alignment horizontal="right" vertical="center" wrapText="1"/>
    </xf>
    <xf numFmtId="170" fontId="1" fillId="33" borderId="117" xfId="72" applyNumberFormat="1" applyFont="1" applyFill="1" applyBorder="1" applyAlignment="1">
      <alignment horizontal="right" vertical="center" wrapText="1"/>
    </xf>
  </cellXfs>
  <cellStyles count="76">
    <cellStyle name="_Appendix 1 Form B 01 - Commercial Bid Details" xfId="2" xr:uid="{00000000-0005-0000-0000-000000000000}"/>
    <cellStyle name="_Grasim Industries-R0-AFAS-19.01.08" xfId="3" xr:uid="{00000000-0005-0000-0000-000001000000}"/>
    <cellStyle name="0,0_x000d__x000a_NA_x000d__x000a_" xfId="4" xr:uid="{00000000-0005-0000-0000-000002000000}"/>
    <cellStyle name="20% - Accent1 2" xfId="5" xr:uid="{00000000-0005-0000-0000-000003000000}"/>
    <cellStyle name="20% - Accent2 2" xfId="6" xr:uid="{00000000-0005-0000-0000-000004000000}"/>
    <cellStyle name="20% - Accent3 2" xfId="7" xr:uid="{00000000-0005-0000-0000-000005000000}"/>
    <cellStyle name="20% - Accent4 2" xfId="8" xr:uid="{00000000-0005-0000-0000-000006000000}"/>
    <cellStyle name="20% - Accent5 2" xfId="9" xr:uid="{00000000-0005-0000-0000-000007000000}"/>
    <cellStyle name="20% - Accent6 2" xfId="10" xr:uid="{00000000-0005-0000-0000-000008000000}"/>
    <cellStyle name="40% - Accent1 2" xfId="11" xr:uid="{00000000-0005-0000-0000-000009000000}"/>
    <cellStyle name="40% - Accent2 2" xfId="12" xr:uid="{00000000-0005-0000-0000-00000A000000}"/>
    <cellStyle name="40% - Accent3 2" xfId="13" xr:uid="{00000000-0005-0000-0000-00000B000000}"/>
    <cellStyle name="40% - Accent4 2" xfId="14" xr:uid="{00000000-0005-0000-0000-00000C000000}"/>
    <cellStyle name="40% - Accent5 2" xfId="15" xr:uid="{00000000-0005-0000-0000-00000D000000}"/>
    <cellStyle name="40% - Accent6 2" xfId="16" xr:uid="{00000000-0005-0000-0000-00000E000000}"/>
    <cellStyle name="60% - Accent1 2" xfId="17" xr:uid="{00000000-0005-0000-0000-00000F000000}"/>
    <cellStyle name="60% - Accent2 2" xfId="18" xr:uid="{00000000-0005-0000-0000-000010000000}"/>
    <cellStyle name="60% - Accent3 2" xfId="19" xr:uid="{00000000-0005-0000-0000-000011000000}"/>
    <cellStyle name="60% - Accent4 2" xfId="20" xr:uid="{00000000-0005-0000-0000-000012000000}"/>
    <cellStyle name="60% - Accent5 2" xfId="21" xr:uid="{00000000-0005-0000-0000-000013000000}"/>
    <cellStyle name="60% - Accent6 2" xfId="22" xr:uid="{00000000-0005-0000-0000-000014000000}"/>
    <cellStyle name="Accent1 2" xfId="23" xr:uid="{00000000-0005-0000-0000-000015000000}"/>
    <cellStyle name="Accent2 2" xfId="24" xr:uid="{00000000-0005-0000-0000-000016000000}"/>
    <cellStyle name="Accent3 2" xfId="25" xr:uid="{00000000-0005-0000-0000-000017000000}"/>
    <cellStyle name="Accent4 2" xfId="26" xr:uid="{00000000-0005-0000-0000-000018000000}"/>
    <cellStyle name="Accent5 2" xfId="27" xr:uid="{00000000-0005-0000-0000-000019000000}"/>
    <cellStyle name="Accent6 2" xfId="28" xr:uid="{00000000-0005-0000-0000-00001A000000}"/>
    <cellStyle name="Bad 2" xfId="29" xr:uid="{00000000-0005-0000-0000-00001B000000}"/>
    <cellStyle name="Calculation 2" xfId="30" xr:uid="{00000000-0005-0000-0000-00001C000000}"/>
    <cellStyle name="Check Cell 2" xfId="31" xr:uid="{00000000-0005-0000-0000-00001D000000}"/>
    <cellStyle name="Comma" xfId="65" builtinId="3"/>
    <cellStyle name="Comma 2" xfId="32" xr:uid="{00000000-0005-0000-0000-00001F000000}"/>
    <cellStyle name="Comma 2 2" xfId="66" xr:uid="{00000000-0005-0000-0000-000020000000}"/>
    <cellStyle name="Comma 2 3" xfId="74" xr:uid="{118A0A8E-A613-468D-BD85-0BF1A24A71E9}"/>
    <cellStyle name="Comma 3" xfId="33" xr:uid="{00000000-0005-0000-0000-000021000000}"/>
    <cellStyle name="Comma 4" xfId="68" xr:uid="{BFB220E1-32F2-4C97-A5BB-D391AB6BB16C}"/>
    <cellStyle name="Comma 4 2 2" xfId="72" xr:uid="{DEFF7A24-F0A2-4138-87EC-A2725A1DC1B5}"/>
    <cellStyle name="Currency" xfId="70" builtinId="4"/>
    <cellStyle name="Currency 2" xfId="34" xr:uid="{00000000-0005-0000-0000-000022000000}"/>
    <cellStyle name="Currency 3" xfId="35" xr:uid="{00000000-0005-0000-0000-000023000000}"/>
    <cellStyle name="Explanatory Text 2" xfId="36" xr:uid="{00000000-0005-0000-0000-000024000000}"/>
    <cellStyle name="Good 2" xfId="37" xr:uid="{00000000-0005-0000-0000-000025000000}"/>
    <cellStyle name="Header" xfId="38" xr:uid="{00000000-0005-0000-0000-000026000000}"/>
    <cellStyle name="Heading 1 2" xfId="39" xr:uid="{00000000-0005-0000-0000-000027000000}"/>
    <cellStyle name="Heading 2 2" xfId="40" xr:uid="{00000000-0005-0000-0000-000028000000}"/>
    <cellStyle name="Heading 3 2" xfId="41" xr:uid="{00000000-0005-0000-0000-000029000000}"/>
    <cellStyle name="Heading 4 2" xfId="42" xr:uid="{00000000-0005-0000-0000-00002A000000}"/>
    <cellStyle name="Hyperlink" xfId="67" builtinId="8"/>
    <cellStyle name="Input 2" xfId="43" xr:uid="{00000000-0005-0000-0000-00002B000000}"/>
    <cellStyle name="Linked Cell 2" xfId="44" xr:uid="{00000000-0005-0000-0000-00002C000000}"/>
    <cellStyle name="Neutral 2" xfId="45" xr:uid="{00000000-0005-0000-0000-00002D000000}"/>
    <cellStyle name="Normal" xfId="0" builtinId="0"/>
    <cellStyle name="Normal 2" xfId="46" xr:uid="{00000000-0005-0000-0000-00002F000000}"/>
    <cellStyle name="Normal 2 2 2 2 3" xfId="73" xr:uid="{425D0FC3-C8B4-456F-9139-F64BEEB2A09B}"/>
    <cellStyle name="Normal 3" xfId="47" xr:uid="{00000000-0005-0000-0000-000030000000}"/>
    <cellStyle name="Normal 4" xfId="48" xr:uid="{00000000-0005-0000-0000-000031000000}"/>
    <cellStyle name="Normal 5" xfId="49" xr:uid="{00000000-0005-0000-0000-000032000000}"/>
    <cellStyle name="Normal 6" xfId="50" xr:uid="{00000000-0005-0000-0000-000033000000}"/>
    <cellStyle name="Normal 7" xfId="1" xr:uid="{00000000-0005-0000-0000-000034000000}"/>
    <cellStyle name="Normal 8" xfId="64" xr:uid="{00000000-0005-0000-0000-000035000000}"/>
    <cellStyle name="Normal 9" xfId="69" xr:uid="{536726AA-B290-4D20-9F23-D1A42511CFAE}"/>
    <cellStyle name="Note 2" xfId="52" xr:uid="{00000000-0005-0000-0000-000036000000}"/>
    <cellStyle name="Note 3" xfId="53" xr:uid="{00000000-0005-0000-0000-000037000000}"/>
    <cellStyle name="Note 4" xfId="54" xr:uid="{00000000-0005-0000-0000-000038000000}"/>
    <cellStyle name="Note 5" xfId="51" xr:uid="{00000000-0005-0000-0000-000039000000}"/>
    <cellStyle name="Output 2" xfId="55" xr:uid="{00000000-0005-0000-0000-00003A000000}"/>
    <cellStyle name="Percent" xfId="71" builtinId="5"/>
    <cellStyle name="Percent 2" xfId="56" xr:uid="{00000000-0005-0000-0000-00003B000000}"/>
    <cellStyle name="Percent 2 2" xfId="75" xr:uid="{FD1944EC-CA4F-4B41-9A69-A9DE337D5994}"/>
    <cellStyle name="Percent 3" xfId="57" xr:uid="{00000000-0005-0000-0000-00003C000000}"/>
    <cellStyle name="Style 1" xfId="58" xr:uid="{00000000-0005-0000-0000-00003D000000}"/>
    <cellStyle name="Style 1 2" xfId="59" xr:uid="{00000000-0005-0000-0000-00003E000000}"/>
    <cellStyle name="Style 1 3" xfId="60" xr:uid="{00000000-0005-0000-0000-00003F000000}"/>
    <cellStyle name="Title 2" xfId="61" xr:uid="{00000000-0005-0000-0000-000040000000}"/>
    <cellStyle name="Total 2" xfId="62" xr:uid="{00000000-0005-0000-0000-000041000000}"/>
    <cellStyle name="Warning Text 2" xfId="63" xr:uid="{00000000-0005-0000-0000-000042000000}"/>
  </cellStyles>
  <dxfs count="8">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bottom"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63" Type="http://schemas.openxmlformats.org/officeDocument/2006/relationships/externalLink" Target="externalLinks/externalLink36.xml"/><Relationship Id="rId68" Type="http://schemas.openxmlformats.org/officeDocument/2006/relationships/externalLink" Target="externalLinks/externalLink41.xml"/><Relationship Id="rId84" Type="http://schemas.openxmlformats.org/officeDocument/2006/relationships/externalLink" Target="externalLinks/externalLink57.xml"/><Relationship Id="rId89" Type="http://schemas.openxmlformats.org/officeDocument/2006/relationships/externalLink" Target="externalLinks/externalLink62.xml"/><Relationship Id="rId16" Type="http://schemas.openxmlformats.org/officeDocument/2006/relationships/worksheet" Target="worksheets/sheet16.xml"/><Relationship Id="rId107" Type="http://schemas.openxmlformats.org/officeDocument/2006/relationships/calcChain" Target="calcChain.xml"/><Relationship Id="rId11" Type="http://schemas.openxmlformats.org/officeDocument/2006/relationships/worksheet" Target="worksheets/sheet11.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53" Type="http://schemas.openxmlformats.org/officeDocument/2006/relationships/externalLink" Target="externalLinks/externalLink26.xml"/><Relationship Id="rId58" Type="http://schemas.openxmlformats.org/officeDocument/2006/relationships/externalLink" Target="externalLinks/externalLink31.xml"/><Relationship Id="rId74" Type="http://schemas.openxmlformats.org/officeDocument/2006/relationships/externalLink" Target="externalLinks/externalLink47.xml"/><Relationship Id="rId79" Type="http://schemas.openxmlformats.org/officeDocument/2006/relationships/externalLink" Target="externalLinks/externalLink52.xml"/><Relationship Id="rId102" Type="http://schemas.openxmlformats.org/officeDocument/2006/relationships/externalLink" Target="externalLinks/externalLink75.xml"/><Relationship Id="rId5" Type="http://schemas.openxmlformats.org/officeDocument/2006/relationships/worksheet" Target="worksheets/sheet5.xml"/><Relationship Id="rId90" Type="http://schemas.openxmlformats.org/officeDocument/2006/relationships/externalLink" Target="externalLinks/externalLink63.xml"/><Relationship Id="rId95" Type="http://schemas.openxmlformats.org/officeDocument/2006/relationships/externalLink" Target="externalLinks/externalLink68.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64" Type="http://schemas.openxmlformats.org/officeDocument/2006/relationships/externalLink" Target="externalLinks/externalLink37.xml"/><Relationship Id="rId69" Type="http://schemas.openxmlformats.org/officeDocument/2006/relationships/externalLink" Target="externalLinks/externalLink42.xml"/><Relationship Id="rId80" Type="http://schemas.openxmlformats.org/officeDocument/2006/relationships/externalLink" Target="externalLinks/externalLink53.xml"/><Relationship Id="rId85" Type="http://schemas.openxmlformats.org/officeDocument/2006/relationships/externalLink" Target="externalLinks/externalLink58.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59" Type="http://schemas.openxmlformats.org/officeDocument/2006/relationships/externalLink" Target="externalLinks/externalLink32.xml"/><Relationship Id="rId103" Type="http://schemas.openxmlformats.org/officeDocument/2006/relationships/externalLink" Target="externalLinks/externalLink76.xml"/><Relationship Id="rId20" Type="http://schemas.openxmlformats.org/officeDocument/2006/relationships/worksheet" Target="worksheets/sheet20.xml"/><Relationship Id="rId41" Type="http://schemas.openxmlformats.org/officeDocument/2006/relationships/externalLink" Target="externalLinks/externalLink14.xml"/><Relationship Id="rId54" Type="http://schemas.openxmlformats.org/officeDocument/2006/relationships/externalLink" Target="externalLinks/externalLink27.xml"/><Relationship Id="rId62" Type="http://schemas.openxmlformats.org/officeDocument/2006/relationships/externalLink" Target="externalLinks/externalLink35.xml"/><Relationship Id="rId70" Type="http://schemas.openxmlformats.org/officeDocument/2006/relationships/externalLink" Target="externalLinks/externalLink43.xml"/><Relationship Id="rId75" Type="http://schemas.openxmlformats.org/officeDocument/2006/relationships/externalLink" Target="externalLinks/externalLink48.xml"/><Relationship Id="rId83" Type="http://schemas.openxmlformats.org/officeDocument/2006/relationships/externalLink" Target="externalLinks/externalLink56.xml"/><Relationship Id="rId88" Type="http://schemas.openxmlformats.org/officeDocument/2006/relationships/externalLink" Target="externalLinks/externalLink61.xml"/><Relationship Id="rId91" Type="http://schemas.openxmlformats.org/officeDocument/2006/relationships/externalLink" Target="externalLinks/externalLink64.xml"/><Relationship Id="rId96" Type="http://schemas.openxmlformats.org/officeDocument/2006/relationships/externalLink" Target="externalLinks/externalLink6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 Id="rId57" Type="http://schemas.openxmlformats.org/officeDocument/2006/relationships/externalLink" Target="externalLinks/externalLink30.xml"/><Relationship Id="rId106"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externalLink" Target="externalLinks/externalLink25.xml"/><Relationship Id="rId60" Type="http://schemas.openxmlformats.org/officeDocument/2006/relationships/externalLink" Target="externalLinks/externalLink33.xml"/><Relationship Id="rId65" Type="http://schemas.openxmlformats.org/officeDocument/2006/relationships/externalLink" Target="externalLinks/externalLink38.xml"/><Relationship Id="rId73" Type="http://schemas.openxmlformats.org/officeDocument/2006/relationships/externalLink" Target="externalLinks/externalLink46.xml"/><Relationship Id="rId78" Type="http://schemas.openxmlformats.org/officeDocument/2006/relationships/externalLink" Target="externalLinks/externalLink51.xml"/><Relationship Id="rId81" Type="http://schemas.openxmlformats.org/officeDocument/2006/relationships/externalLink" Target="externalLinks/externalLink54.xml"/><Relationship Id="rId86" Type="http://schemas.openxmlformats.org/officeDocument/2006/relationships/externalLink" Target="externalLinks/externalLink59.xml"/><Relationship Id="rId94" Type="http://schemas.openxmlformats.org/officeDocument/2006/relationships/externalLink" Target="externalLinks/externalLink67.xml"/><Relationship Id="rId99" Type="http://schemas.openxmlformats.org/officeDocument/2006/relationships/externalLink" Target="externalLinks/externalLink72.xml"/><Relationship Id="rId101" Type="http://schemas.openxmlformats.org/officeDocument/2006/relationships/externalLink" Target="externalLinks/externalLink7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2.xml"/><Relationship Id="rId34" Type="http://schemas.openxmlformats.org/officeDocument/2006/relationships/externalLink" Target="externalLinks/externalLink7.xml"/><Relationship Id="rId50" Type="http://schemas.openxmlformats.org/officeDocument/2006/relationships/externalLink" Target="externalLinks/externalLink23.xml"/><Relationship Id="rId55" Type="http://schemas.openxmlformats.org/officeDocument/2006/relationships/externalLink" Target="externalLinks/externalLink28.xml"/><Relationship Id="rId76" Type="http://schemas.openxmlformats.org/officeDocument/2006/relationships/externalLink" Target="externalLinks/externalLink49.xml"/><Relationship Id="rId97" Type="http://schemas.openxmlformats.org/officeDocument/2006/relationships/externalLink" Target="externalLinks/externalLink70.xml"/><Relationship Id="rId104"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44.xml"/><Relationship Id="rId92" Type="http://schemas.openxmlformats.org/officeDocument/2006/relationships/externalLink" Target="externalLinks/externalLink65.xml"/><Relationship Id="rId2" Type="http://schemas.openxmlformats.org/officeDocument/2006/relationships/worksheet" Target="worksheets/sheet2.xml"/><Relationship Id="rId29" Type="http://schemas.openxmlformats.org/officeDocument/2006/relationships/externalLink" Target="externalLinks/externalLink2.xml"/><Relationship Id="rId24" Type="http://schemas.openxmlformats.org/officeDocument/2006/relationships/worksheet" Target="worksheets/sheet24.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66" Type="http://schemas.openxmlformats.org/officeDocument/2006/relationships/externalLink" Target="externalLinks/externalLink39.xml"/><Relationship Id="rId87" Type="http://schemas.openxmlformats.org/officeDocument/2006/relationships/externalLink" Target="externalLinks/externalLink60.xml"/><Relationship Id="rId61" Type="http://schemas.openxmlformats.org/officeDocument/2006/relationships/externalLink" Target="externalLinks/externalLink34.xml"/><Relationship Id="rId82" Type="http://schemas.openxmlformats.org/officeDocument/2006/relationships/externalLink" Target="externalLinks/externalLink55.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56" Type="http://schemas.openxmlformats.org/officeDocument/2006/relationships/externalLink" Target="externalLinks/externalLink29.xml"/><Relationship Id="rId77" Type="http://schemas.openxmlformats.org/officeDocument/2006/relationships/externalLink" Target="externalLinks/externalLink50.xml"/><Relationship Id="rId100" Type="http://schemas.openxmlformats.org/officeDocument/2006/relationships/externalLink" Target="externalLinks/externalLink73.xml"/><Relationship Id="rId105"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24.xml"/><Relationship Id="rId72" Type="http://schemas.openxmlformats.org/officeDocument/2006/relationships/externalLink" Target="externalLinks/externalLink45.xml"/><Relationship Id="rId93" Type="http://schemas.openxmlformats.org/officeDocument/2006/relationships/externalLink" Target="externalLinks/externalLink66.xml"/><Relationship Id="rId98" Type="http://schemas.openxmlformats.org/officeDocument/2006/relationships/externalLink" Target="externalLinks/externalLink7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externalLink" Target="externalLinks/externalLink19.xml"/><Relationship Id="rId67" Type="http://schemas.openxmlformats.org/officeDocument/2006/relationships/externalLink" Target="externalLinks/externalLink4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bkumar\Local%20Settings\Temporary%20Internet%20Files\OLKB5\WINDOWS\TEMP\PARANCH\TCRADPR.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Koyali-dehaj-1-10.04.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WINDOWS\Desktop\New%20BS%2031.12.05\BS%2031.12.2005%20F\New%20Folder\RAKESHB\Term%20&amp;%20WC%20loan\int%20on%20term%20loan%2001-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Projects\BOM_Template\Vijay%20Gharpure%20-Documents\Customer%20Specific%20Pricing\Payment%20Gateway\Price%20sheet%20-%20Payment%20Gateway%20-%2023092013.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esdscorp-my.sharepoint.com/Projects/BOM_Template/Vijay%20Gharpure%20-Documents/Customer%20Specific%20Pricing/Payment%20Gateway/Price%20sheet%20-%20Payment%20Gateway%20-%202309201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Deepak%20Nimare\Documents\Cyan\Technical\IT%20Infrastructure\ServerSizing\NewFormat_05-Jan-2020\Omnimesh%20Environment%20Dimensioning%20AAABBBCCCV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10620152\AppData\Local\Microsoft\Windows\Temporary%20Internet%20Files\Content.Outlook\TKU0PEHO\Product%20checklist_SYI.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esdscorp-my.sharepoint.com/Users/10620152/AppData/Local/Microsoft/Windows/Temporary%20Internet%20Files/Content.Outlook/TKU0PEHO/Product%20checklist_SYI.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pankajbadaya\Desktop\temp.xl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MICO_0802200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P:\Finance%20&amp;%20Comercial\MIS\Jagdeepak.Sharma\HP\Butter%20Budget%2009-10%20hp%20option%20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10CED9B\Price%20sheet%20-%20Payment%20Gateway%20-%2023092013.xlsx"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ASR%20Source%20Environment%20Qualifier(Vijay)V5.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tcscomprod-my.sharepoint.com/Renuka/GovtISUPresales/eMigrate/RFP/Users/HP/AppData/Local/Packages/Microsoft.MicrosoftEdge_8wekyb3d8bbwe/TempState/Downloads/V4_BOQ_AllinOne.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Users\pankajbadaya\Desktop\saihous.ele.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MOTOROL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Documents%20and%20Settings\Administrator\Desktop\MDFPL%2006-07\KSS\WINDOWS\Desktop\New%20BS%2031.12.05\BS%2031.12.2005%20F\New%20Folder\RAKESHB\Term%20&amp;%20WC%20loan\int%20on%20term%20loan%2001-0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dcorporation-my.sharepoint.com/Users/am831899/Desktop/Hardware%20Sizing%20V1.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pankajbadaya\Desktop\RATE%20ANALYSIS%20HYDRAULIC%2017-03-2004.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DOCUME~1\ADMINI~1\LOCALS~1\Temp\C.Notes.Data\AMS%20Application%20Assessment%20Evaluation.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Users\202691\AppData\Users\170417\AppData\Local\Temp\notes69E796\Enterprise%20RFP\RFP%20requirements%20for%20Compliances%20V0.1.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Users\nbkuz2d\AppData\Local\Microsoft\Windows\Temporary%20Internet%20Files\Content.Outlook\581ZAIAZ\GWIM%20Int\India\Satish%20GWIM%20India%20BASIL%20separation%20Stage%201%20TI%20costing%20estimate.xlsx"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Offer.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final\DOCUME~1\HARI~1.NAI\LOCALS~1\Temp\Temporary%20Directory%201%20for%20MMBC.zip\Messaging%20Services%20BC%20v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d04d903\exp%20list\mis2002\misfeb2002\MODEL-Site%20Reporting%202002.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Users\bharatsinghrao\Documents\Customers\1CMAS%20Customer\BestSeller\2018\SAP%20Requirement\Cool%20Output%207Aug2018%20Vishal%20Tak\Option1%20Standard%20Services\IC4SAP_BestSeller_2018_Sep_6_IT_Requirements_V0.7.xlsx" TargetMode="External"/></Relationships>
</file>

<file path=xl/externalLinks/_rels/externalLink27.xml.rels><?xml version="1.0" encoding="UTF-8" standalone="yes"?>
<Relationships xmlns="http://schemas.openxmlformats.org/package/2006/relationships"><Relationship Id="rId2" Type="http://schemas.microsoft.com/office/2019/04/relationships/externalLinkLongPath" Target="https://esdscorp-my.sharepoint.com/Users/bharatsinghrao/Documents/Customers/1CMAS%20Customer/BestSeller/2018/SAP%20Requirement/Cool%20Output%207Aug2018%20Vishal%20Tak/Option1%20Standard%20Services/IC4SAP_BestSeller_2018_Sep_6_IT_Requirements_V0.7.xlsx?9D54C6C8" TargetMode="External"/><Relationship Id="rId1" Type="http://schemas.openxmlformats.org/officeDocument/2006/relationships/externalLinkPath" Target="file:///\\9D54C6C8\IC4SAP_BestSeller_2018_Sep_6_IT_Requirements_V0.7.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Users\Neeraj\AppData\Local\Microsoft\Windows\Temporary%20Internet%20Files\Content.Outlook\17D8B9V0\My%20Documents\Price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Documents%20and%20Settings\SP-1\Desktop\hll%20ahus.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idaminfrastructure-my.sharepoint.com/D:/C:/var/folders/jd/8g0h04dx20bgbyzzxr_yx4_00000gn/T/TemporaryItems/notes/Network%20data%20gathering%20template%20v1%2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DOCUME~1\HARI~1.NAI\LOCALS~1\Temp\Temporary%20Directory%201%20for%20MMBC.zip\Messaging%20Services%20BC%20v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C:\Users\am831899\Desktop\Hardware%20Sizing%20V1.3.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Program%20Files\pc_conf\Templates\offer.xlt"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esdscorp-my.sharepoint.com/Program%20Files/pc_conf/Templates/offer.xlt"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IN0P%20Hardware%20Inventory.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esdscorp-my.sharepoint.com/Users/Admin/Desktop/Pending%20Tasks/new%20cost%20sheet/Copy%20of%20IT_Initiative_ROI_Tool-n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Md04d903\exp%20list\My%20Documents\Customers\EDAG\Audit\31.03.2002\Statutory%20Audit\Final%20Accounts\BS-EDAG-2002.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Users\Administrator\Downloads\Cloud%20Hosting%20Format.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esdscorp-my.sharepoint.com/Users/Administrator/Downloads/Cloud%20Hosting%20Format.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lntdatacenter\Integrated%20Security%20Solutions\Documents%20and%20Settings\Sujoy.Majumdar\Local%20Settings\Temporary%20Internet%20Files\Content.Outlook\Z8VT1D9V\Groundwork\Delhi%20Wk\Dashboard%20ver%201.5%20Paste.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C:\pc_conf\Templates\9.7.5\angebot.xlt"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esdscorp-my.sharepoint.com/pc_conf/Templates/9.7.5/angebot.xlt"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wwgpeTool\System\Program\WWGPE.XLS" TargetMode="External"/></Relationships>
</file>

<file path=xl/externalLinks/_rels/externalLink44.xml.rels><?xml version="1.0" encoding="UTF-8" standalone="yes"?>
<Relationships xmlns="http://schemas.openxmlformats.org/package/2006/relationships"><Relationship Id="rId1" Type="http://schemas.microsoft.com/office/2006/relationships/xlExternalLinkPath/xlPathMissing" Target="Template-Design%20Devt%20Estimate.xls" TargetMode="External"/></Relationships>
</file>

<file path=xl/externalLinks/_rels/externalLink45.xml.rels><?xml version="1.0" encoding="UTF-8" standalone="yes"?>
<Relationships xmlns="http://schemas.openxmlformats.org/package/2006/relationships"><Relationship Id="rId1" Type="http://schemas.microsoft.com/office/2006/relationships/xlExternalLinkPath/xlPathMissing" Target="IC-Sales-Forecast-Template1" TargetMode="External"/></Relationships>
</file>

<file path=xl/externalLinks/_rels/externalLink46.xml.rels><?xml version="1.0" encoding="UTF-8" standalone="yes"?>
<Relationships xmlns="http://schemas.openxmlformats.org/package/2006/relationships"><Relationship Id="rId1" Type="http://schemas.microsoft.com/office/2006/relationships/xlExternalLinkPath/xlPathMissing" Target="Elnet-IBMS-IOlistBOQ-5103.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H:\vikas.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C:\Users\Ramesh%20T%20K%20S\AppData\Local\Microsoft\Windows\Temporary%20Internet%20Files\Content.Outlook\46MIJ739\SOF-Cloud_DC1.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C:\Users\I808732\Documents\CRM\PRICING\1.%20GLOBAL%20PRICING\Price%20List\2013%20PL\2013_Q4\Price_List_BSNWBO_2013_4_v10_Direct.xlsm"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Z:\Users\k_merh\AppData\Local\Temp\Rar$DIa0.715\Master_Asset_register_April_2012.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C:\Users\112767\AppData\Local\Temp\notes0558E4\Sizing%20template%20CapacityPlanning_v.3_worksheet_upd_Telenor_0.5_273K.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C:\DOCUME~1\ADMINI~1\LOCALS~1\Temp\notesEA312D\IB-IB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lntdatacenter\Integrated%20Security%20Solutions\Users\mithileshk\AppData\Local\Microsoft\Windows\Temporary%20Internet%20Files\Content.Outlook\T6QWZJWP\SGPGI%20LKO_PFINMW_%20Amend%201%2013.0.13.xlsx"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C:\Documents%20and%20Settings\Administrator\My%20Documents\PriceCalc%20173.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tcscomprod-my.sharepoint.com/Renuka/GovtISUPresales/eMigrate/RFP/Users/gepadmin/Desktop/BOQ_itemrate_turnkey.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C:\Amit%20Kotian\work\IDB\Current%20Clients\Airtel\Airtel%20-%20DMX\5.%20Solution%20Plan\Final%20Clarifications\Submission\Final\Accenture_BoQ%20-%20Core%20Final.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C:\Users\S00903~1\AppData\Local\Temp\Rar$DIa0.131\YOTTA%20SAP%20HANA_0000Hs00903946201912100002_WithDiscount_InternalPrice.xlsx"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PathMissing" Target="poly%20cab-%20Rating%20&amp;%20volt.drop%20dt.18.1.03.xls" TargetMode="External"/></Relationships>
</file>

<file path=xl/externalLinks/_rels/externalLink59.xml.rels><?xml version="1.0" encoding="UTF-8" standalone="yes"?>
<Relationships xmlns="http://schemas.openxmlformats.org/package/2006/relationships"><Relationship Id="rId1" Type="http://schemas.microsoft.com/office/2006/relationships/xlExternalLinkPath/xlPathMissing" Target="cable%20Vdrops.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WINDOWS\Desktop\New%20BS%2031.12.05\BS%2031.12.2005%20F\New%20Folder\RAKESHB\Bank%20&amp;%20Finance\int.income%20MDD%20&amp;%20HO%2001-02.xlw"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C:\Vipul's%20Desktop%20-%2021-2-2013\Vipul%20Work\Mam's%20Work\Maharashtra%20Web%20Enabled%20System%20RFP%2003-08-2016\Maharashtra%20Costing%20Sheet%2030-8-2016.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esdscorp-my.sharepoint.com/Vipul's%20Desktop%20-%2021-2-2013/Vipul%20Work/Mam's%20Work/Maharashtra%20Web%20Enabled%20System%20RFP%2003-08-2016/Maharashtra%20Costing%20Sheet%2030-8-2016.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E-Drive\SNB\Govt\2019-2020\Q3\Smart%20City\Saharanpur\Application%20Sizing\CCN%20Sizing%20V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Documents%20and%20Settings\u13218\My%20Documents\tasks\Copy%20of%20Server%20ConfigurationMatrix.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C:\Users\pankajbadaya\Desktop\SAMPLE.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SBBIBM\Clients\RAKESHB\BS%2031.3.03\consol%20Accts%2030.06-incl%20NBP-23.11.02.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Purav%20backup\Purav\Work\New%20Business\India\Bihar%20Home\Effort%20and%20Cost%20Estimation\Bihar_DOI_SWC_(11-01-2017)_v1.0.xlsm" TargetMode="External"/></Relationships>
</file>

<file path=xl/externalLinks/_rels/externalLink68.xml.rels><?xml version="1.0" encoding="UTF-8" standalone="yes"?>
<Relationships xmlns="http://schemas.openxmlformats.org/package/2006/relationships"><Relationship Id="rId1" Type="http://schemas.microsoft.com/office/2006/relationships/xlExternalLinkPath/xlPathMissing" Target="HYATT.XLS" TargetMode="External"/></Relationships>
</file>

<file path=xl/externalLinks/_rels/externalLink69.xml.rels><?xml version="1.0" encoding="UTF-8" standalone="yes"?>
<Relationships xmlns="http://schemas.openxmlformats.org/package/2006/relationships"><Relationship Id="rId1" Type="http://schemas.microsoft.com/office/2006/relationships/xlExternalLinkPath/xlPathMissing" Target="Worksheet%20in%202231%20MDIL%20ITO%20Final%20Accounts_2004-05_For%20Auditors_250505"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C:\My%20Documents\Cost%20Sheets\Extras\1-Nov-08\Eicher%20-%20Perviou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Users\170158~1.IND\AppData\Local\Temp\notes5A9B84\ASP_Sizing_v0.3%20Apr11_2017.xlsx"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Md04d903\exp%20list\windows\TEMP\ASR%20newversion.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C:\WINDOWS\Desktop\New%20BS%2031.12.05\BS%2031.12.2005%20F\New%20Folder\RAKESHB\Bank%20&amp;%20Finance\int.income%20MDD%20&amp;%20HO%2001-02.xlw" TargetMode="External"/></Relationships>
</file>

<file path=xl/externalLinks/_rels/externalLink74.xml.rels><?xml version="1.0" encoding="UTF-8" standalone="yes"?>
<Relationships xmlns="http://schemas.openxmlformats.org/package/2006/relationships"><Relationship Id="rId1" Type="http://schemas.microsoft.com/office/2006/relationships/xlExternalLinkPath/xlPathMissing" Target="xSeries306" TargetMode="External"/></Relationships>
</file>

<file path=xl/externalLinks/_rels/externalLink75.xml.rels><?xml version="1.0" encoding="UTF-8" standalone="yes"?>
<Relationships xmlns="http://schemas.openxmlformats.org/package/2006/relationships"><Relationship Id="rId1" Type="http://schemas.microsoft.com/office/2006/relationships/xlExternalLinkPath/xlPathMissing" Target="Worksheet%20in%20%20%20Final%20set%20formatted%20by%20us" TargetMode="External"/></Relationships>
</file>

<file path=xl/externalLinks/_rels/externalLink76.xml.rels><?xml version="1.0" encoding="UTF-8" standalone="yes"?>
<Relationships xmlns="http://schemas.openxmlformats.org/package/2006/relationships"><Relationship Id="rId2" Type="http://schemas.openxmlformats.org/officeDocument/2006/relationships/externalLinkPath" Target="https://esdscorp-my.sharepoint.com/personal/akshay_karandikar_esds_co_in/Documents/SA%20Akshay%20Karandikar/Reference/BFSI%20commercial.xlsx" TargetMode="External"/><Relationship Id="rId1" Type="http://schemas.openxmlformats.org/officeDocument/2006/relationships/externalLinkPath" Target="https://esdscorp-my.sharepoint.com/personal/akshay_karandikar_esds_co_in/Documents/SA%20Akshay%20Karandikar/Reference/BFSI%20commerci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iginating Station"/>
      <sheetName val="Attended Station"/>
      <sheetName val="Repeater Station"/>
      <sheetName val="Terminal Station"/>
      <sheetName val="BASIS"/>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tions"/>
      <sheetName val="KOYALI"/>
      <sheetName val="DAHEJ"/>
      <sheetName val="SCC-DAHEJ"/>
      <sheetName val="SCADA - Block Valve-1"/>
      <sheetName val="SCADA(MCC-SCC)-Koyali"/>
      <sheetName val="OFC-TEL"/>
      <sheetName val="BASIS"/>
      <sheetName val="SCADA_MCC_SCC__Koyali"/>
      <sheetName val="#REF!"/>
      <sheetName val="#REF"/>
    </sheet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v 02"/>
      <sheetName val="12% loan"/>
      <sheetName val="consolidated"/>
      <sheetName val="consolisated -ff "/>
      <sheetName val="12% loan (Ff)"/>
      <sheetName val="2001-02"/>
      <sheetName val="Junr02 Accts"/>
      <sheetName val="User Demand"/>
      <sheetName val="Azure Mapping Summary"/>
      <sheetName val=" Azure Resource Calc"/>
      <sheetName val="Security"/>
      <sheetName val="Cloud4C Services"/>
      <sheetName val="3yr RI Estimates"/>
      <sheetName val="1yr RI Estimates"/>
      <sheetName val="Commercials"/>
      <sheetName val="Summary"/>
      <sheetName val="DR_Landscape"/>
    </sheetNames>
    <sheetDataSet>
      <sheetData sheetId="0"/>
      <sheetData sheetId="1"/>
      <sheetData sheetId="2"/>
      <sheetData sheetId="3"/>
      <sheetData sheetId="4"/>
      <sheetData sheetId="5"/>
      <sheetData sheetId="6"/>
      <sheetData sheetId="7" refreshError="1"/>
      <sheetData sheetId="8" refreshError="1"/>
      <sheetData sheetId="9"/>
      <sheetData sheetId="10"/>
      <sheetData sheetId="11"/>
      <sheetData sheetId="12"/>
      <sheetData sheetId="13"/>
      <sheetData sheetId="14"/>
      <sheetData sheetId="15"/>
      <sheetData sheetId="1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C"/>
      <sheetName val="DR"/>
      <sheetName val="Priyesh"/>
      <sheetName val="Sachin"/>
      <sheetName val="Terms and conditions"/>
      <sheetName val="Hardware"/>
      <sheetName val="Cisco"/>
    </sheetNames>
    <sheetDataSet>
      <sheetData sheetId="0"/>
      <sheetData sheetId="1"/>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C"/>
      <sheetName val="DR"/>
      <sheetName val="Priyesh"/>
      <sheetName val="Sachin"/>
      <sheetName val="Terms and conditions"/>
      <sheetName val="Hardware"/>
      <sheetName val="Cisco"/>
    </sheetNames>
    <sheetDataSet>
      <sheetData sheetId="0"/>
      <sheetData sheetId="1"/>
      <sheetData sheetId="2"/>
      <sheetData sheetId="3"/>
      <sheetData sheetId="4"/>
      <sheetData sheetId="5"/>
      <sheetData sheetId="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Project Configuration"/>
      <sheetName val="Reference Data"/>
      <sheetName val="Calculations"/>
      <sheetName val="Reference Design"/>
      <sheetName val="Assumptions"/>
    </sheetNames>
    <sheetDataSet>
      <sheetData sheetId="0"/>
      <sheetData sheetId="1">
        <row r="7">
          <cell r="H7">
            <v>780665</v>
          </cell>
        </row>
        <row r="9">
          <cell r="H9">
            <v>193</v>
          </cell>
        </row>
        <row r="11">
          <cell r="H11">
            <v>45</v>
          </cell>
        </row>
        <row r="15">
          <cell r="H15">
            <v>1</v>
          </cell>
        </row>
        <row r="17">
          <cell r="H17" t="b">
            <v>1</v>
          </cell>
        </row>
        <row r="19">
          <cell r="H19">
            <v>1</v>
          </cell>
        </row>
        <row r="21">
          <cell r="H21" t="b">
            <v>1</v>
          </cell>
        </row>
        <row r="23">
          <cell r="H23" t="b">
            <v>0</v>
          </cell>
        </row>
      </sheetData>
      <sheetData sheetId="2"/>
      <sheetData sheetId="3">
        <row r="16">
          <cell r="H16" t="str">
            <v>Ubuntu 20.04</v>
          </cell>
        </row>
        <row r="32">
          <cell r="H32">
            <v>8</v>
          </cell>
        </row>
        <row r="36">
          <cell r="H36">
            <v>9</v>
          </cell>
        </row>
        <row r="40">
          <cell r="H40">
            <v>1</v>
          </cell>
        </row>
        <row r="42">
          <cell r="H42">
            <v>2</v>
          </cell>
        </row>
        <row r="52">
          <cell r="H52" t="b">
            <v>1</v>
          </cell>
        </row>
        <row r="83">
          <cell r="H83">
            <v>16</v>
          </cell>
        </row>
        <row r="94">
          <cell r="H94">
            <v>16</v>
          </cell>
        </row>
        <row r="114">
          <cell r="H114">
            <v>287</v>
          </cell>
        </row>
        <row r="131">
          <cell r="H131">
            <v>3000</v>
          </cell>
        </row>
        <row r="132">
          <cell r="H132">
            <v>16</v>
          </cell>
        </row>
        <row r="146">
          <cell r="H146">
            <v>116</v>
          </cell>
        </row>
        <row r="156">
          <cell r="H156">
            <v>304</v>
          </cell>
        </row>
        <row r="175">
          <cell r="H175">
            <v>10237</v>
          </cell>
        </row>
        <row r="191">
          <cell r="H191">
            <v>26659</v>
          </cell>
        </row>
        <row r="199">
          <cell r="H199">
            <v>576</v>
          </cell>
        </row>
      </sheetData>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Sheet2"/>
      <sheetName val="Sheet1"/>
      <sheetName val="Disk Analysis"/>
    </sheetNames>
    <sheetDataSet>
      <sheetData sheetId="0"/>
      <sheetData sheetId="1">
        <row r="1">
          <cell r="A1" t="str">
            <v>Y</v>
          </cell>
        </row>
        <row r="2">
          <cell r="A2" t="str">
            <v>N</v>
          </cell>
        </row>
      </sheetData>
      <sheetData sheetId="2" refreshError="1"/>
      <sheetData sheetId="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Sheet2"/>
      <sheetName val="Sheet1"/>
      <sheetName val="Disk Analysis"/>
    </sheetNames>
    <sheetDataSet>
      <sheetData sheetId="0"/>
      <sheetData sheetId="1">
        <row r="1">
          <cell r="A1" t="str">
            <v>Y</v>
          </cell>
        </row>
        <row r="2">
          <cell r="A2" t="str">
            <v>N</v>
          </cell>
        </row>
      </sheetData>
      <sheetData sheetId="2" refreshError="1"/>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 lightconc_II"/>
      <sheetName val="Office"/>
      <sheetName val="PRECAST-conc-II"/>
      <sheetName val="Miscellaneous-civil"/>
      <sheetName val="basic"/>
      <sheetName val="GN-ST-10"/>
      <sheetName val="Friends"/>
      <sheetName val="College Details"/>
      <sheetName val="Personal "/>
      <sheetName val="CF-det"/>
      <sheetName val="Cleaning &amp; Grubbing"/>
      <sheetName val="GN_ST_10"/>
      <sheetName val="IHC"/>
      <sheetName val="bhilai"/>
      <sheetName val="jidal dam"/>
      <sheetName val="delo"/>
      <sheetName val="fran temp"/>
      <sheetName val="gagan"/>
      <sheetName val="hsbc"/>
      <sheetName val="jeedi"/>
      <sheetName val="kona swit"/>
      <sheetName val="template (8)"/>
      <sheetName val="template (9)"/>
      <sheetName val="OVER HEADS"/>
      <sheetName val="Cover Sheet"/>
      <sheetName val="BOQ REV A"/>
      <sheetName val="BOQ"/>
      <sheetName val="PTB (IO)"/>
      <sheetName val="BMS "/>
      <sheetName val="SPT vs PHI"/>
      <sheetName val="TBAL9697 -group wise  sdpl"/>
      <sheetName val="PIPING"/>
      <sheetName val="八幡"/>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REF!"/>
      <sheetName val="Boq Block A"/>
      <sheetName val="PRECAST_lightconc-II"/>
      <sheetName val="PRECAST_lightconc_II"/>
      <sheetName val="College_Details"/>
      <sheetName val="Personal_"/>
      <sheetName val="Cleaning_&amp;_Grubbing"/>
      <sheetName val="jidal_dam"/>
      <sheetName val="fran_temp"/>
      <sheetName val="kona_swit"/>
      <sheetName val="template_(8)"/>
      <sheetName val="template_(9)"/>
      <sheetName val="OVER_HEADS"/>
      <sheetName val="Cover_Sheet"/>
      <sheetName val="BOQ_REV_A"/>
      <sheetName val="PTB_(IO)"/>
      <sheetName val="BMS_"/>
      <sheetName val="SPT_vs_PHI"/>
      <sheetName val="TBAL9697_-group_wise__sdpl"/>
      <sheetName val="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concrete"/>
      <sheetName val="beam-reinft-IIInd floor"/>
      <sheetName val="Headings"/>
      <sheetName val="SITE OVERHEADS"/>
      <sheetName val="labour coeff"/>
      <sheetName val="Site Dev BOQ"/>
      <sheetName val="Sheet3"/>
      <sheetName val="VCH-SLC"/>
      <sheetName val="Supplier"/>
      <sheetName val="SILICATE"/>
      <sheetName val="Costing Upto Mar'11 (2)"/>
      <sheetName val="Tender Summary"/>
      <sheetName val="Expenditure plan"/>
      <sheetName val="ORDER BOOKING"/>
      <sheetName val="Design"/>
      <sheetName val="zone-8"/>
      <sheetName val="MHNO_LEV"/>
      <sheetName val="M-Book for Conc"/>
      <sheetName val="M-Book for FW"/>
      <sheetName val="upa"/>
      <sheetName val="p&amp;m"/>
      <sheetName val="Fee Rate Summary"/>
      <sheetName val="Civil Boq"/>
      <sheetName val="master"/>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List"/>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BOQ_Direct_selling cost"/>
      <sheetName val="Meas.-Hotel Part"/>
      <sheetName val="scurve calc (2)"/>
      <sheetName val="factors"/>
      <sheetName val="Data"/>
      <sheetName val="Lead"/>
      <sheetName val="22.12.2011"/>
      <sheetName val="BOQ (2)"/>
      <sheetName val="Sheet2"/>
      <sheetName val="dBase"/>
      <sheetName val="Contract Night Staff"/>
      <sheetName val="Contract Day Staff"/>
      <sheetName val="Day Shift"/>
      <sheetName val="Night Shift"/>
      <sheetName val="Direct cost shed A-2 "/>
      <sheetName val="Build-up"/>
      <sheetName val="2gii"/>
      <sheetName val="final abstract"/>
      <sheetName val="INPUT SHEET"/>
      <sheetName val="DataInput"/>
      <sheetName val="DataInput-1"/>
      <sheetName val="DI Rate Analysis"/>
      <sheetName val="Economic RisingMain  Ph-I"/>
      <sheetName val="beam-reinft"/>
      <sheetName val="inWords"/>
      <sheetName val="Fill this out first..."/>
      <sheetName val="Detail"/>
      <sheetName val="Meas__Hotel Part"/>
      <sheetName val="Cost Index"/>
      <sheetName val=" 09.07.10 M顅ᎆ뤀ᨇ԰_x0000_缀_x0000_"/>
      <sheetName val="Fin. Assumpt. - Sensitivities"/>
      <sheetName val="Bill 1"/>
      <sheetName val="Bill 2"/>
      <sheetName val="Bill 3"/>
      <sheetName val="Bill 4"/>
      <sheetName val="Bill 5"/>
      <sheetName val="Bill 6"/>
      <sheetName val="Bill 7"/>
      <sheetName val="IO List"/>
      <sheetName val="공장별판관비배부"/>
      <sheetName val="temp"/>
      <sheetName val="GBW"/>
      <sheetName val="St.co.91.5lvl"/>
      <sheetName val="cash in flow Summary JV "/>
      <sheetName val="water prop."/>
      <sheetName val="Material "/>
      <sheetName val="GR.slab-reinft"/>
      <sheetName val="MN T.B."/>
      <sheetName val="BS8007"/>
      <sheetName val="Ave.wtd.rates"/>
      <sheetName val="Labour &amp; Plant"/>
      <sheetName val="Cashflow projection"/>
      <sheetName val="Item- Compact"/>
      <sheetName val="PA- Consutant "/>
      <sheetName val="Assumptions"/>
      <sheetName val="Civil Works"/>
      <sheetName val="Sales &amp; Prod"/>
      <sheetName val="TBAL9697 _group wise  sdpl"/>
      <sheetName val="Intake"/>
      <sheetName val="SP Break Up"/>
      <sheetName val="HEAD"/>
      <sheetName val="Labour productivity"/>
      <sheetName val="Costing"/>
      <sheetName val=" 09.07.10 M顅ᎆ뤀ᨇ԰?缀?"/>
      <sheetName val="HVAC"/>
      <sheetName val="Staff Acco."/>
      <sheetName val="estm_mech"/>
      <sheetName val="F20 Risk Analysis"/>
      <sheetName val="Change Order Log"/>
      <sheetName val="lookups"/>
      <sheetName val="ref"/>
      <sheetName val="Bin"/>
      <sheetName val="2000 MOR"/>
      <sheetName val="1.Civil-RA"/>
      <sheetName val="08.07.10헾】_x0005__x0000__x0000__x0000__x0000_ꎋ"/>
      <sheetName val="3cd Annexure"/>
      <sheetName val="col-reinft1"/>
      <sheetName val="08.07.10헾】_x0005_????ꎋ"/>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_23_07_10_N_SHIFT_MECH-FAB"/>
      <sheetName val="_23_07_10_N_SHIFT_MECH-TANK"/>
      <sheetName val="_23_07_10_RS_&amp;_SECURITY"/>
      <sheetName val="23_07_10_CIVIL_WET"/>
      <sheetName val="_23_07_10_CIVIL"/>
      <sheetName val="_23_07_10_MECH-FAB"/>
      <sheetName val="box-12"/>
      <sheetName val="Labour"/>
      <sheetName val="T-P1, FINISHES WORKING "/>
      <sheetName val="Assumption &amp; Exclusion"/>
      <sheetName val="querries"/>
      <sheetName val="dlvoid"/>
      <sheetName val="FT-05-02IsoBOM"/>
      <sheetName val="CT"/>
      <sheetName val="PT"/>
      <sheetName val="Project Details.."/>
      <sheetName val=" _x000a_¢_x0002_&amp;_x0000__x0000__x0000_ú5#_x0000__x0000__x0000__x0000__x0000__x0000__x0000_"/>
      <sheetName val=""/>
      <sheetName val="AOR"/>
      <sheetName val="Rate Analysis"/>
      <sheetName val="analysis"/>
      <sheetName val="Voucher"/>
      <sheetName val="Rate analysis- BOQ 1 "/>
      <sheetName val="Driveway Beams"/>
      <sheetName val="BHANDUP"/>
      <sheetName val="_23_07_10_MECH-TANK"/>
      <sheetName val="_22_07_10_N_SHIFT_MECH-FAB"/>
      <sheetName val="_22_07_10_N_SHIFT_MECH-TANK"/>
      <sheetName val="_22_07_10_RS_&amp;_SECURITY"/>
      <sheetName val="22_07_10_CIVIL_WET"/>
      <sheetName val="_22_07_10_CIVIL"/>
      <sheetName val="_22_07_10_MECH-FAB"/>
      <sheetName val="Prelims Breakup"/>
      <sheetName val="B3-B4-B5-B6"/>
      <sheetName val="PRELIM5"/>
      <sheetName val="gen"/>
      <sheetName val="Prelims_Breakup"/>
      <sheetName val="wordsdata"/>
      <sheetName val="_22_07_10_MECH-TANK"/>
      <sheetName val="_21_07_10_N_SHIFT_MECH-FAB"/>
      <sheetName val="Eqpmnt Plng"/>
      <sheetName val="Makro1"/>
      <sheetName val="DI_Rate_Analysis"/>
      <sheetName val="Economic_RisingMain__Ph-I"/>
      <sheetName val="RA-markate"/>
      <sheetName val="External Doors"/>
      <sheetName val="T&amp;M"/>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COST"/>
      <sheetName val="x-items"/>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Theo Cons-June'10"/>
      <sheetName val="CABLERET"/>
      <sheetName val="AutoOpen Stub Data"/>
      <sheetName val="Admin"/>
      <sheetName val="sheeet7"/>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Background"/>
      <sheetName val="Cat A Change Control"/>
      <sheetName val="run"/>
      <sheetName val=" _x000a_¢_x0002_&amp;???ú5#???????"/>
      <sheetName val="Assumption Inputs"/>
      <sheetName val="Pacakges split"/>
      <sheetName val="L+M"/>
      <sheetName val="Phase 1"/>
      <sheetName val="DEINKING(ANNEX 1)"/>
      <sheetName val="Variables"/>
      <sheetName val="LABOUR RATE"/>
      <sheetName val="Material Rate"/>
      <sheetName val="Final"/>
      <sheetName val="Summary-Price_New"/>
      <sheetName val="AN-2K"/>
      <sheetName val="Switch V16"/>
      <sheetName val="Grade Slab -1"/>
      <sheetName val="Grade Slab -2"/>
      <sheetName val="Grade slab-3"/>
      <sheetName val="Grade slab -4"/>
      <sheetName val="Grade slab -5"/>
      <sheetName val="Grade slab -6"/>
      <sheetName val="ACS(1)"/>
      <sheetName val="FAS-C(4)"/>
      <sheetName val="CCTV(old)"/>
      <sheetName val="Cover"/>
      <sheetName val="Data Sheet"/>
      <sheetName val="COLUMN"/>
      <sheetName val="Deduction of assets"/>
      <sheetName val="AFAS "/>
      <sheetName val="RDS &amp; WLD"/>
      <sheetName val="PA System"/>
      <sheetName val="ACC"/>
      <sheetName val="CCTV"/>
      <sheetName val="Server &amp; PAC Room"/>
      <sheetName val="BMS"/>
      <sheetName val="HVAC BOQ"/>
      <sheetName val="08.07.10헾】_x0005_????菈_x0013_"/>
      <sheetName val="08.07.10헾】_x0005__x0000__x0000"/>
      <sheetName val="08.07.10헾】_x0005_____ꎋ"/>
      <sheetName val="Summary WG"/>
      <sheetName val="Debits as on 12.04.08"/>
      <sheetName val="detail'02"/>
      <sheetName val="Cal"/>
      <sheetName val="Code"/>
      <sheetName val="환율"/>
      <sheetName val="08.07.10헾】_x0005_"/>
      <sheetName val="Wire"/>
      <sheetName val="InputPO_Del"/>
      <sheetName val="Factor Sheet"/>
      <sheetName val="pol-60"/>
      <sheetName val="STAFFSCHED "/>
      <sheetName val="India F&amp;S Template"/>
      <sheetName val=" bus bay"/>
      <sheetName val="doq-10"/>
      <sheetName val="doq-I"/>
      <sheetName val="doq 4"/>
      <sheetName val="doq 2"/>
      <sheetName val="d-safe specs"/>
      <sheetName val="  ¢_x0002_&amp;_x0000__x0000__x0000_ú5#_x0000__x0000__x0000__x0000__x0000__x0000__x0000_"/>
      <sheetName val="  ¢_x0002_&amp;???ú5#???????"/>
      <sheetName val="PIPELINE"/>
      <sheetName val="CIVIL"/>
      <sheetName val="Quote Sheet"/>
      <sheetName val="PROCTOR"/>
      <sheetName val="FORM7"/>
      <sheetName val="STRIP Sizing"/>
      <sheetName val="Design basis-C"/>
      <sheetName val="[temp.xls]14.07.10@_x0000__x0003_&amp;_x0000__x0000__x0000_Ò:"/>
      <sheetName val=" _x000a_¢_x0002_&amp;"/>
      <sheetName val="14.07.10@"/>
      <sheetName val="14.07.10Á_x000c__x0003_&amp;"/>
      <sheetName val="  ¢_x0002_&amp;"/>
      <sheetName val="[temp.xls]14.07.10@"/>
      <sheetName val="FitOutConfCentre"/>
      <sheetName val="eq"/>
      <sheetName val="BOQ_Direct_selling_cost"/>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08.07.10헾】_x0005_??_x0005__x0000__x0000_"/>
      <sheetName val="14.07.10 CIVIL W ["/>
      <sheetName val="14.07.10@^\_x0001_&amp;_x0000__x0000__x0000__x0012_8"/>
      <sheetName val="_x0000__x0000__x0000__x0000__x0000__x0000__x0000_Ü5)_x0000__x001e_bÝ/_x0012_8)_x0000__x0012_6)_x0000_&amp;_x0000__x0000__x0000_&amp;_x0000__x0000__x0000_"/>
      <sheetName val="08.07.10헾】_x0005_??壀&quot;夌&quot;"/>
      <sheetName val="Cost Basis"/>
      <sheetName val="08.07.10헾】_x0005_??헾⿂_x0005__x0000_"/>
      <sheetName val="08.07.10헾】_x0005_????懇"/>
      <sheetName val="08.07.10헾】_x0005_??ꮸ⽚_x0005__x0000_"/>
      <sheetName val="08.07.10헾】_x0005_??丵⼽_x0005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08.07.10헾】_x0005_????癠'"/>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scurve_calc_(2)"/>
      <sheetName val="Contract_Night_Staff"/>
      <sheetName val="Contract_Day_Staff"/>
      <sheetName val="Day_Shift"/>
      <sheetName val="Night_Shift"/>
      <sheetName val="Direct_cost_shed_A-2_"/>
      <sheetName val="Fee_Rate_Summary"/>
      <sheetName val="Civil_Boq"/>
      <sheetName val="22_12_20111"/>
      <sheetName val="BOQ_(2)1"/>
      <sheetName val="INPUT_SHEET"/>
      <sheetName val="final_abstract"/>
      <sheetName val="Meas__Hotel_Part"/>
      <sheetName val="Ave_wtd_rates"/>
      <sheetName val="Material_"/>
      <sheetName val="Labour_&amp;_Plant"/>
      <sheetName val="Cashflow_projection"/>
      <sheetName val="_09_07_10_M顅ᎆ뤀ᨇ԰缀"/>
      <sheetName val="Item-_Compact"/>
      <sheetName val="St_co_91_5lvl"/>
      <sheetName val="Fill_this_out_first___"/>
      <sheetName val="cash_in_flow_Summary_JV_"/>
      <sheetName val="water_prop_"/>
      <sheetName val="GR_slab-reinft"/>
      <sheetName val="Cost_Index"/>
      <sheetName val="Sales_&amp;_Prod"/>
      <sheetName val="IO_List"/>
      <sheetName val="Staff_Acco_"/>
      <sheetName val="08_07_10헾】ꎋ"/>
      <sheetName val="PA-_Consutant_"/>
      <sheetName val="3cd_Annexure"/>
      <sheetName val="DI_Rate_Analysis1"/>
      <sheetName val="Economic_RisingMain__Ph-I1"/>
      <sheetName val="Civil_Works"/>
      <sheetName val="TBAL9697__group_wise__sdpl"/>
      <sheetName val="MN_T_B_"/>
      <sheetName val="SP_Break_Up"/>
      <sheetName val="Labour_productivity"/>
      <sheetName val="_09_07_10_M顅ᎆ뤀ᨇ԰?缀?"/>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Project_Details_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Blr hire"/>
      <sheetName val="PRECAST-conc-AI"/>
      <sheetName val="Miscellan%ous_x0008_civil"/>
      <sheetName val="b`sic"/>
      <sheetName val="PRECAST lig(tconc_II"/>
      <sheetName val="Sqn_Abs"/>
      <sheetName val="calcul"/>
    </sheetNames>
    <sheetDataSet>
      <sheetData sheetId="0" refreshError="1">
        <row r="19">
          <cell r="J19">
            <v>1.0499999999999999E-3</v>
          </cell>
          <cell r="K19">
            <v>1.3500000000000001E-3</v>
          </cell>
        </row>
        <row r="20">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row r="19">
          <cell r="J19">
            <v>1.0499999999999999E-3</v>
          </cell>
        </row>
      </sheetData>
      <sheetData sheetId="737">
        <row r="19">
          <cell r="J19">
            <v>1.0499999999999999E-3</v>
          </cell>
        </row>
      </sheetData>
      <sheetData sheetId="738">
        <row r="19">
          <cell r="J19">
            <v>1.0499999999999999E-3</v>
          </cell>
        </row>
      </sheetData>
      <sheetData sheetId="739">
        <row r="19">
          <cell r="J19">
            <v>1.0499999999999999E-3</v>
          </cell>
        </row>
      </sheetData>
      <sheetData sheetId="740">
        <row r="19">
          <cell r="J19">
            <v>1.0499999999999999E-3</v>
          </cell>
        </row>
      </sheetData>
      <sheetData sheetId="741"/>
      <sheetData sheetId="742"/>
      <sheetData sheetId="743"/>
      <sheetData sheetId="744"/>
      <sheetData sheetId="745"/>
      <sheetData sheetId="746"/>
      <sheetData sheetId="747">
        <row r="19">
          <cell r="J19">
            <v>1.0499999999999999E-3</v>
          </cell>
        </row>
      </sheetData>
      <sheetData sheetId="748"/>
      <sheetData sheetId="749">
        <row r="19">
          <cell r="J19">
            <v>1.0499999999999999E-3</v>
          </cell>
        </row>
      </sheetData>
      <sheetData sheetId="750">
        <row r="19">
          <cell r="J19">
            <v>1.0499999999999999E-3</v>
          </cell>
        </row>
      </sheetData>
      <sheetData sheetId="751">
        <row r="19">
          <cell r="J19">
            <v>1.0499999999999999E-3</v>
          </cell>
        </row>
      </sheetData>
      <sheetData sheetId="752">
        <row r="19">
          <cell r="J19">
            <v>1.0499999999999999E-3</v>
          </cell>
        </row>
      </sheetData>
      <sheetData sheetId="753">
        <row r="19">
          <cell r="J19">
            <v>1.0499999999999999E-3</v>
          </cell>
        </row>
      </sheetData>
      <sheetData sheetId="754"/>
      <sheetData sheetId="755"/>
      <sheetData sheetId="756"/>
      <sheetData sheetId="757"/>
      <sheetData sheetId="758">
        <row r="19">
          <cell r="J19">
            <v>1.0499999999999999E-3</v>
          </cell>
        </row>
      </sheetData>
      <sheetData sheetId="759"/>
      <sheetData sheetId="760">
        <row r="19">
          <cell r="J19">
            <v>1.0499999999999999E-3</v>
          </cell>
        </row>
      </sheetData>
      <sheetData sheetId="761">
        <row r="19">
          <cell r="J19">
            <v>1.0499999999999999E-3</v>
          </cell>
        </row>
      </sheetData>
      <sheetData sheetId="762">
        <row r="19">
          <cell r="J19">
            <v>1.0499999999999999E-3</v>
          </cell>
        </row>
      </sheetData>
      <sheetData sheetId="763">
        <row r="19">
          <cell r="J19">
            <v>1.0499999999999999E-3</v>
          </cell>
        </row>
      </sheetData>
      <sheetData sheetId="764"/>
      <sheetData sheetId="765"/>
      <sheetData sheetId="766"/>
      <sheetData sheetId="767"/>
      <sheetData sheetId="768"/>
      <sheetData sheetId="769"/>
      <sheetData sheetId="770"/>
      <sheetData sheetId="771">
        <row r="19">
          <cell r="J19">
            <v>1.0499999999999999E-3</v>
          </cell>
        </row>
      </sheetData>
      <sheetData sheetId="772"/>
      <sheetData sheetId="773">
        <row r="19">
          <cell r="J19">
            <v>1.0499999999999999E-3</v>
          </cell>
        </row>
      </sheetData>
      <sheetData sheetId="774">
        <row r="19">
          <cell r="J19">
            <v>1.0499999999999999E-3</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iculars"/>
      <sheetName val="Summary"/>
      <sheetName val="Yearwise Brk up - NPV"/>
      <sheetName val="Cashflow"/>
      <sheetName val="Labour"/>
      <sheetName val="Cisco"/>
      <sheetName val="IBM T&amp;L"/>
      <sheetName val="OEM HW-SW-SVS"/>
      <sheetName val="CostDetail Report"/>
      <sheetName val="BlankSheet 2"/>
      <sheetName val="Guide"/>
      <sheetName val="Labels"/>
      <sheetName val="Data"/>
      <sheetName val="Yearwise_Brk_up_-_NPV"/>
      <sheetName val="IBM_T&amp;L"/>
      <sheetName val="OEM_HW-SW-SVS"/>
      <sheetName val="CostDetail_Report"/>
      <sheetName val="BlankSheet_2"/>
      <sheetName val="ACS(1)"/>
      <sheetName val="FAS-C(4)"/>
      <sheetName val="CCTV(old)"/>
      <sheetName val="Lead"/>
      <sheetName val="Boq"/>
      <sheetName val="Quote Sheet"/>
      <sheetName val="Works - Quote Sheet"/>
      <sheetName val="factors"/>
      <sheetName val="IO LIST"/>
      <sheetName val="INDIGINEOUS ITEMS "/>
      <sheetName val="BURDEN"/>
      <sheetName val="Costing"/>
      <sheetName val="Civil Works"/>
      <sheetName val="TBAL9697 -group wise  sdpl"/>
      <sheetName val="Headings"/>
      <sheetName val="Basement Budget"/>
    </sheetNames>
    <sheetDataSet>
      <sheetData sheetId="0">
        <row r="3">
          <cell r="E3" t="str">
            <v>Band 3</v>
          </cell>
        </row>
      </sheetData>
      <sheetData sheetId="1"/>
      <sheetData sheetId="2"/>
      <sheetData sheetId="3"/>
      <sheetData sheetId="4"/>
      <sheetData sheetId="5"/>
      <sheetData sheetId="6"/>
      <sheetData sheetId="7"/>
      <sheetData sheetId="8"/>
      <sheetData sheetId="9"/>
      <sheetData sheetId="10"/>
      <sheetData sheetId="11" refreshError="1">
        <row r="3">
          <cell r="E3" t="str">
            <v>Band 3</v>
          </cell>
        </row>
        <row r="4">
          <cell r="E4" t="str">
            <v>Band 4</v>
          </cell>
        </row>
        <row r="5">
          <cell r="E5" t="str">
            <v>Band 5</v>
          </cell>
        </row>
        <row r="6">
          <cell r="E6" t="str">
            <v>Band 6</v>
          </cell>
        </row>
        <row r="7">
          <cell r="A7" t="str">
            <v>Sr</v>
          </cell>
          <cell r="E7" t="str">
            <v>Band 7</v>
          </cell>
        </row>
        <row r="8">
          <cell r="A8" t="str">
            <v>Med</v>
          </cell>
          <cell r="E8" t="str">
            <v>Band 8</v>
          </cell>
        </row>
        <row r="9">
          <cell r="A9" t="str">
            <v>Jr</v>
          </cell>
          <cell r="E9" t="str">
            <v>Band 9</v>
          </cell>
        </row>
        <row r="12">
          <cell r="A12" t="str">
            <v>IBM - FM</v>
          </cell>
          <cell r="C12" t="str">
            <v>FTH - ITS</v>
          </cell>
        </row>
        <row r="13">
          <cell r="A13" t="str">
            <v>IBM - ITS</v>
          </cell>
          <cell r="C13" t="str">
            <v>FTH - SO</v>
          </cell>
        </row>
        <row r="28">
          <cell r="F28" t="str">
            <v xml:space="preserve">24*7 Coverage </v>
          </cell>
        </row>
        <row r="29">
          <cell r="F29" t="str">
            <v>Monday to Saturday Cov</v>
          </cell>
        </row>
        <row r="30">
          <cell r="F30" t="str">
            <v xml:space="preserve">Standard Coverage </v>
          </cell>
        </row>
      </sheetData>
      <sheetData sheetId="12" refreshError="1"/>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ynamix Purchases Oct to Dec"/>
      <sheetName val="for Paul"/>
      <sheetName val="Fixed cost Split"/>
      <sheetName val="Volume 09-10"/>
      <sheetName val="Sheet1 (2)"/>
      <sheetName val="costing north for 09-10"/>
      <sheetName val="Budgeted COGS Split"/>
      <sheetName val="Region wise vol split"/>
      <sheetName val="Budgeted COGS"/>
      <sheetName val=" Costing North for outlook "/>
      <sheetName val="Outlook COGS Working"/>
      <sheetName val="Dynamix Purchases"/>
      <sheetName val="Butter(Aug-Dec 08)"/>
      <sheetName val="April to July 08"/>
      <sheetName val="Table Butter (3)"/>
      <sheetName val="butter Realisation Aur to Dec"/>
      <sheetName val="Sheet6"/>
      <sheetName val="butter Real Aug to Dec"/>
      <sheetName val="Sheet2"/>
      <sheetName val="Sheet3"/>
      <sheetName val="KE30 jan09"/>
      <sheetName val="Sheet8"/>
      <sheetName val="Sheet4"/>
      <sheetName val="Jan realisation"/>
      <sheetName val="Sheet5"/>
      <sheetName val="Realisation loss"/>
      <sheetName val="vol 09-10"/>
      <sheetName val="Table Butter"/>
      <sheetName val="Sheet1"/>
      <sheetName val="Sheet7"/>
      <sheetName val="realisation"/>
      <sheetName val="Pri Frt Butter &amp; Cheese"/>
      <sheetName val="Var dist"/>
      <sheetName val="Pri Frt Butter &amp; Cheese 05.02"/>
      <sheetName val="Sheet1 (3)"/>
      <sheetName val="Locationwise COGS"/>
      <sheetName val="Budgeted COGS Split (2)"/>
      <sheetName val="Rev vol"/>
      <sheetName val="Location&amp;channel wise"/>
      <sheetName val="sourcing plan RG 040209"/>
      <sheetName val="Final Cont sheet"/>
      <sheetName val="summary"/>
      <sheetName val="(NO EDIT) Dropdown list source"/>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C"/>
      <sheetName val="DR"/>
      <sheetName val="Priyesh"/>
      <sheetName val="Sachin"/>
      <sheetName val="Terms and conditions"/>
      <sheetName val="Hardware"/>
      <sheetName val="Cisco"/>
    </sheetNames>
    <sheetDataSet>
      <sheetData sheetId="0"/>
      <sheetData sheetId="1"/>
      <sheetData sheetId="2"/>
      <sheetData sheetId="3"/>
      <sheetData sheetId="4"/>
      <sheetData sheetId="5"/>
      <sheetData sheetId="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 Information"/>
      <sheetName val="Primary Site Information"/>
      <sheetName val="Detailed Server Information"/>
      <sheetName val="Queries"/>
      <sheetName val="Reference"/>
      <sheetName val="consolidated"/>
    </sheetNames>
    <sheetDataSet>
      <sheetData sheetId="0">
        <row r="2">
          <cell r="B2" t="str">
            <v>64-bit</v>
          </cell>
        </row>
      </sheetData>
      <sheetData sheetId="1"/>
      <sheetData sheetId="2"/>
      <sheetData sheetId="3"/>
      <sheetData sheetId="4">
        <row r="2">
          <cell r="B2" t="str">
            <v>64-bit</v>
          </cell>
          <cell r="C2" t="str">
            <v>Physical</v>
          </cell>
          <cell r="E2" t="str">
            <v>ESXi 5.0 or later</v>
          </cell>
          <cell r="F2" t="str">
            <v>Internal/External DAS</v>
          </cell>
        </row>
        <row r="3">
          <cell r="C3" t="str">
            <v>Virtual</v>
          </cell>
          <cell r="F3" t="str">
            <v>FC</v>
          </cell>
        </row>
        <row r="4">
          <cell r="F4" t="str">
            <v>iSCSI</v>
          </cell>
        </row>
        <row r="5">
          <cell r="F5" t="str">
            <v>Virtual Disk/VMDK</v>
          </cell>
        </row>
        <row r="6">
          <cell r="F6" t="str">
            <v>VMDK &amp; RDM</v>
          </cell>
        </row>
        <row r="7">
          <cell r="F7" t="str">
            <v>VMDK &amp; iSCSI Pass-through</v>
          </cell>
        </row>
      </sheetData>
      <sheetData sheetId="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ff Acco."/>
      <sheetName val="Staff Acco_"/>
      <sheetName val="Sheet1"/>
      <sheetName val="HT"/>
      <sheetName val="Tel  "/>
      <sheetName val="Ext.light"/>
      <sheetName val="Control"/>
      <sheetName val="4 Annex 1 Basic rate"/>
      <sheetName val="DETAILED  BOQ"/>
      <sheetName val="TBAL9697 -group wise  sdpl"/>
      <sheetName val="Design"/>
      <sheetName val="FT-05-02IsoBOM"/>
      <sheetName val="Detail In Door Stad"/>
      <sheetName val="Project Details.."/>
      <sheetName val="p&amp;m"/>
      <sheetName val="Build-up"/>
      <sheetName val="strain"/>
      <sheetName val="factors"/>
      <sheetName val="Detail P&amp;L"/>
      <sheetName val="Assumption Sheet"/>
      <sheetName val="scurve calc (2)"/>
      <sheetName val="Load Details(B2)"/>
      <sheetName val="refer"/>
      <sheetName val="RCC,Ret. Wall"/>
      <sheetName val="APPENDIX B-1"/>
      <sheetName val="Bill 3.1"/>
      <sheetName val="COLUMN"/>
      <sheetName val="SCHEDULE OF RATES"/>
      <sheetName val="CFLOW"/>
      <sheetName val="Legal Risk Analysis"/>
      <sheetName val="PRECAST lightconc-II"/>
      <sheetName val="Gujrat"/>
      <sheetName val="CABLE"/>
      <sheetName val="number"/>
      <sheetName val="BOQ"/>
      <sheetName val="2gii"/>
      <sheetName val="analysis"/>
      <sheetName val="GR.slab-reinft"/>
      <sheetName val="Bill 3 - Site Works"/>
      <sheetName val="schedule1"/>
      <sheetName val="Precalculation"/>
      <sheetName val="Fill this out first..."/>
      <sheetName val="Sheet3"/>
      <sheetName val="Cable data"/>
      <sheetName val="Table"/>
      <sheetName val="Material "/>
      <sheetName val="basic-data"/>
      <sheetName val="mem-property"/>
      <sheetName val="FORM7"/>
      <sheetName val="SPT vs PHI"/>
      <sheetName val="Civil Works"/>
      <sheetName val="ANAL"/>
      <sheetName val="Staff_Acco_"/>
      <sheetName val="Tel__"/>
      <sheetName val="Ext_light"/>
      <sheetName val="Staff_Acco_1"/>
      <sheetName val="3MLKQ"/>
      <sheetName val="DETAILED__BOQ"/>
      <sheetName val="4_Annex_1_Basic_rate"/>
      <sheetName val="Cable_data"/>
      <sheetName val="4-Int- ele(RA)"/>
      <sheetName val="INDIGINEOUS ITEMS "/>
      <sheetName val="sumary"/>
      <sheetName val="Rate Analysis"/>
      <sheetName val="Xenon(R2)"/>
      <sheetName val="Boq Block A"/>
      <sheetName val="estimate"/>
      <sheetName val="Basement Budget"/>
      <sheetName val="SCHEDULE (3)"/>
      <sheetName val="Database"/>
      <sheetName val="schedule nos"/>
      <sheetName val="INPUT-DATA"/>
      <sheetName val="BTB"/>
      <sheetName val="cf"/>
      <sheetName val="orders"/>
      <sheetName val="SITE OVERHEADS"/>
      <sheetName val="IO List"/>
      <sheetName val="S1BOQ"/>
      <sheetName val="Input"/>
      <sheetName val="Activity"/>
      <sheetName val="Crew"/>
      <sheetName val="Piping"/>
      <sheetName val="Pipe Supports"/>
      <sheetName val="BOQ (2)"/>
      <sheetName val="#REF"/>
      <sheetName val="RA-markate"/>
      <sheetName val="Asia Revised 10-1-07"/>
      <sheetName val="All Capital Plan P+L 10-1-07"/>
      <sheetName val="CP08 (2)"/>
      <sheetName val="Planning File 10-1-07"/>
      <sheetName val="std"/>
      <sheetName val="BLOCK-A (MEA.SHEET)"/>
      <sheetName val="Break up Sheet"/>
      <sheetName val="Sqn_Abs_G_6_ "/>
      <sheetName val="WO_Abs _G_2_ 6 DUs"/>
      <sheetName val="Air_Abs_G_6_ 23 DUs"/>
      <sheetName val="Box- Girder"/>
      <sheetName val="Parameter"/>
      <sheetName val="1_Project_Profile"/>
      <sheetName val="Detail 1A"/>
      <sheetName val="2004"/>
      <sheetName val="Costing"/>
      <sheetName val="banilad"/>
      <sheetName val="Mactan"/>
      <sheetName val="Mandaue"/>
      <sheetName val="labour coeff"/>
      <sheetName val="Works - Quote Sheet"/>
      <sheetName val="Bed Class"/>
      <sheetName val="Cd"/>
      <sheetName val="DLC lookups"/>
      <sheetName val="Gen Info"/>
      <sheetName val="Indirect expenses"/>
      <sheetName val="CCTV_EST1"/>
      <sheetName val="Quote Sheet"/>
      <sheetName val="Mat_Cost"/>
      <sheetName val="Cost_Any."/>
      <sheetName val="LIST OF MAKES"/>
      <sheetName val="Detail"/>
      <sheetName val="BLK2"/>
      <sheetName val="BLK3"/>
      <sheetName val="E &amp; R"/>
      <sheetName val="radar"/>
      <sheetName val="UG"/>
      <sheetName val="Headings"/>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Sheet2"/>
      <sheetName val="Lease rents"/>
      <sheetName val="jobhist"/>
      <sheetName val="Cover"/>
      <sheetName val="Pile cap"/>
      <sheetName val="ABB"/>
      <sheetName val="GE"/>
      <sheetName val="DATA"/>
      <sheetName val="DTF Summary"/>
      <sheetName val="SPILL OVER"/>
      <sheetName val="s"/>
      <sheetName val="Loads"/>
      <sheetName val="GF Columns"/>
      <sheetName val="사진"/>
      <sheetName val="Intro."/>
      <sheetName val="Cable-data"/>
      <sheetName val="Summary"/>
      <sheetName val="ACS(1)"/>
      <sheetName val="FAS-C(4)"/>
      <sheetName val="Mat.Cost"/>
      <sheetName val="Form 6"/>
      <sheetName val="BOQ_Direct_selling cost"/>
      <sheetName val="#REF!"/>
      <sheetName val="VCH-SLC"/>
      <sheetName val="Supplier"/>
      <sheetName val="WWR"/>
      <sheetName val="UNP-NCW "/>
      <sheetName val="Brand"/>
      <sheetName val="PackSize"/>
      <sheetName val="PackagingType"/>
      <sheetName val="Plant"/>
      <sheetName val="ProductHierarchy"/>
      <sheetName val="PurchGroup"/>
      <sheetName val="Sub-brand"/>
      <sheetName val="UOM"/>
      <sheetName val="Variant"/>
      <sheetName val="Rate"/>
      <sheetName val="Codes"/>
      <sheetName val="BHANDUP"/>
      <sheetName val="macros"/>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arm"/>
      <sheetName val="sample"/>
      <sheetName val="acs"/>
      <sheetName val="cctv"/>
      <sheetName val="CCTV_EST"/>
      <sheetName val="ACS+IAS_EST"/>
      <sheetName val="CCTV_EST1"/>
      <sheetName val="ACS_EST"/>
      <sheetName val="IAS_EST"/>
      <sheetName val="acs (3)"/>
      <sheetName val="acs (4)"/>
      <sheetName val="Summary (5)"/>
      <sheetName val="cctv (3)"/>
      <sheetName val="cctv (4)"/>
      <sheetName val="Summary (3)"/>
      <sheetName val="Summary (4)"/>
      <sheetName val="acs (2)"/>
      <sheetName val="cctv (2)"/>
      <sheetName val="cctv_3"/>
      <sheetName val="Makes"/>
      <sheetName val="Summary"/>
      <sheetName val="Summary (2)"/>
      <sheetName val="acs_(3)"/>
      <sheetName val="acs_(4)"/>
      <sheetName val="Summary_(5)"/>
      <sheetName val="cctv_(3)"/>
      <sheetName val="cctv_(4)"/>
      <sheetName val="Summary_(3)"/>
      <sheetName val="Summary_(4)"/>
      <sheetName val="acs_(2)"/>
      <sheetName val="cctv_(2)"/>
      <sheetName val="Summary_(2)"/>
      <sheetName val="Works - Quote Sheet"/>
      <sheetName val="Staff Acco."/>
      <sheetName val="PRSH"/>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v 02"/>
      <sheetName val="12% loan"/>
      <sheetName val="consolidated"/>
      <sheetName val="consolisated -ff "/>
      <sheetName val="12% loan (Ff)"/>
      <sheetName val="2001-02"/>
      <sheetName val="Junr02 Accts"/>
      <sheetName val="User Demand"/>
      <sheetName val="Azure Mapping Summary"/>
      <sheetName val=" Azure Resource Calc"/>
      <sheetName val="Security"/>
      <sheetName val="Cloud4C Services"/>
      <sheetName val="3yr RI Estimates"/>
      <sheetName val="1yr RI Estimates"/>
      <sheetName val="Commercials"/>
      <sheetName val="Summary"/>
      <sheetName val="Volume 09-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C on Cloud"/>
      <sheetName val="SAP Sizing_Option2"/>
      <sheetName val="DC on Prem"/>
      <sheetName val="DR"/>
      <sheetName val="T&amp;D on cloud"/>
      <sheetName val="T&amp;D on premise"/>
      <sheetName val="Consolidated BOQ"/>
      <sheetName val="App Stack"/>
      <sheetName val="OEMs"/>
      <sheetName val="Inputs"/>
      <sheetName val="Left DC"/>
      <sheetName val="Left T&amp;D"/>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91">
          <cell r="A91" t="str">
            <v>MAS Oracle</v>
          </cell>
          <cell r="D91">
            <v>1</v>
          </cell>
          <cell r="H91" t="str">
            <v>Block</v>
          </cell>
          <cell r="L91" t="str">
            <v>Vmware</v>
          </cell>
          <cell r="Q91" t="str">
            <v>Active-Active</v>
          </cell>
          <cell r="R91" t="str">
            <v>App Level</v>
          </cell>
        </row>
        <row r="92">
          <cell r="D92">
            <v>2</v>
          </cell>
          <cell r="H92" t="str">
            <v>File NFS</v>
          </cell>
          <cell r="L92" t="str">
            <v>HyperV</v>
          </cell>
          <cell r="Q92" t="str">
            <v>Active-Passive</v>
          </cell>
          <cell r="R92" t="str">
            <v>DB Level</v>
          </cell>
        </row>
        <row r="93">
          <cell r="D93">
            <v>3</v>
          </cell>
          <cell r="H93" t="str">
            <v>File CIFS</v>
          </cell>
          <cell r="L93" t="str">
            <v>RHEV</v>
          </cell>
          <cell r="Q93" t="str">
            <v>No</v>
          </cell>
          <cell r="R93" t="str">
            <v>Load Balancer</v>
          </cell>
        </row>
        <row r="94">
          <cell r="D94">
            <v>4</v>
          </cell>
          <cell r="H94" t="str">
            <v>Object</v>
          </cell>
          <cell r="L94" t="str">
            <v>OVM</v>
          </cell>
          <cell r="R94" t="str">
            <v>Hypervisor Level</v>
          </cell>
        </row>
        <row r="95">
          <cell r="D95">
            <v>5</v>
          </cell>
          <cell r="L95" t="str">
            <v>Any</v>
          </cell>
          <cell r="R95" t="str">
            <v>3rd Party</v>
          </cell>
        </row>
        <row r="96">
          <cell r="D96">
            <v>6</v>
          </cell>
        </row>
        <row r="97">
          <cell r="D97">
            <v>7</v>
          </cell>
        </row>
        <row r="98">
          <cell r="D98">
            <v>8</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vil Work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Assessment"/>
      <sheetName val="Projects"/>
      <sheetName val="Backlog"/>
      <sheetName val="Controls"/>
      <sheetName val="Development Environment"/>
      <sheetName val="Instructions"/>
    </sheetNames>
    <sheetDataSet>
      <sheetData sheetId="0" refreshError="1"/>
      <sheetData sheetId="1" refreshError="1"/>
      <sheetData sheetId="2" refreshError="1"/>
      <sheetData sheetId="3" refreshError="1"/>
      <sheetData sheetId="4" refreshError="1">
        <row r="3">
          <cell r="B3">
            <v>500</v>
          </cell>
          <cell r="C3">
            <v>1</v>
          </cell>
        </row>
        <row r="4">
          <cell r="B4">
            <v>5000</v>
          </cell>
          <cell r="C4">
            <v>2</v>
          </cell>
        </row>
        <row r="5">
          <cell r="B5">
            <v>10000</v>
          </cell>
          <cell r="C5">
            <v>3</v>
          </cell>
        </row>
        <row r="6">
          <cell r="B6">
            <v>50000</v>
          </cell>
          <cell r="C6">
            <v>4</v>
          </cell>
        </row>
        <row r="7">
          <cell r="B7">
            <v>1000000</v>
          </cell>
          <cell r="C7">
            <v>5</v>
          </cell>
        </row>
        <row r="10">
          <cell r="B10">
            <v>10</v>
          </cell>
          <cell r="C10">
            <v>1</v>
          </cell>
        </row>
        <row r="11">
          <cell r="B11">
            <v>25</v>
          </cell>
          <cell r="C11">
            <v>2</v>
          </cell>
        </row>
        <row r="12">
          <cell r="B12">
            <v>50</v>
          </cell>
          <cell r="C12">
            <v>3</v>
          </cell>
        </row>
        <row r="13">
          <cell r="B13">
            <v>100</v>
          </cell>
          <cell r="C13">
            <v>4</v>
          </cell>
        </row>
        <row r="14">
          <cell r="B14">
            <v>300</v>
          </cell>
          <cell r="C14">
            <v>5</v>
          </cell>
        </row>
        <row r="17">
          <cell r="B17">
            <v>10</v>
          </cell>
          <cell r="C17">
            <v>1</v>
          </cell>
        </row>
        <row r="18">
          <cell r="B18">
            <v>25</v>
          </cell>
          <cell r="C18">
            <v>2</v>
          </cell>
        </row>
        <row r="19">
          <cell r="B19">
            <v>50</v>
          </cell>
          <cell r="C19">
            <v>3</v>
          </cell>
        </row>
        <row r="20">
          <cell r="B20">
            <v>100</v>
          </cell>
          <cell r="C20">
            <v>4</v>
          </cell>
        </row>
        <row r="21">
          <cell r="B21">
            <v>300</v>
          </cell>
          <cell r="C21">
            <v>5</v>
          </cell>
        </row>
        <row r="24">
          <cell r="B24">
            <v>20</v>
          </cell>
        </row>
        <row r="25">
          <cell r="B25">
            <v>50</v>
          </cell>
        </row>
        <row r="26">
          <cell r="B26">
            <v>100</v>
          </cell>
        </row>
        <row r="27">
          <cell r="B27">
            <v>200</v>
          </cell>
        </row>
        <row r="28">
          <cell r="B28">
            <v>600</v>
          </cell>
        </row>
        <row r="31">
          <cell r="B31">
            <v>20</v>
          </cell>
          <cell r="C31">
            <v>1</v>
          </cell>
        </row>
        <row r="32">
          <cell r="B32">
            <v>40</v>
          </cell>
          <cell r="C32">
            <v>2</v>
          </cell>
        </row>
        <row r="33">
          <cell r="B33">
            <v>60</v>
          </cell>
          <cell r="C33">
            <v>3</v>
          </cell>
        </row>
        <row r="34">
          <cell r="B34">
            <v>80</v>
          </cell>
          <cell r="C34">
            <v>4</v>
          </cell>
        </row>
        <row r="35">
          <cell r="B35">
            <v>100</v>
          </cell>
          <cell r="C35">
            <v>5</v>
          </cell>
        </row>
      </sheetData>
      <sheetData sheetId="5" refreshError="1"/>
      <sheetData sheetId="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1 - On Boarding"/>
      <sheetName val="2 - Product &amp; Billing"/>
      <sheetName val="3 - Revenue, Fraud &amp; Regulatory"/>
      <sheetName val="4 - SD"/>
      <sheetName val="5 - Ops &amp; SLA"/>
      <sheetName val="6- Reporting"/>
      <sheetName val="7- Self Care"/>
      <sheetName val="8- Testing"/>
      <sheetName val="9- Misc"/>
      <sheetName val="9- Inventory"/>
      <sheetName val="10- Security Checklist"/>
      <sheetName val="Cost Calc"/>
      <sheetName val="Base  Sizing Production &amp; DR"/>
      <sheetName val="Base Sizing Non Production"/>
      <sheetName val="Base Technology Licenses"/>
      <sheetName val="ODC Infra"/>
      <sheetName val="Volumetric &amp; Assumptions"/>
      <sheetName val="Background &amp; HOBS Modules"/>
      <sheetName val="Baseline"/>
      <sheetName val="Azure PriceList"/>
      <sheetName val="Technology Ref"/>
      <sheetName val="Jboss Summary"/>
      <sheetName val="Change Lo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8">
          <cell r="B18">
            <v>0</v>
          </cell>
        </row>
      </sheetData>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ne-Stop Costing"/>
      <sheetName val="Detailed Costing"/>
      <sheetName val="cost"/>
      <sheetName val="Info"/>
      <sheetName val="consolidated"/>
      <sheetName val="volume 09-10"/>
      <sheetName val="Config"/>
      <sheetName val="Compute-Storage Sizing"/>
    </sheetNames>
    <sheetDataSet>
      <sheetData sheetId="0" refreshError="1"/>
      <sheetData sheetId="1" refreshError="1"/>
      <sheetData sheetId="2">
        <row r="3">
          <cell r="B3" t="str">
            <v>IBM x3650M3 24GB 2.66GHz                7945PSK</v>
          </cell>
        </row>
        <row r="4">
          <cell r="B4" t="str">
            <v>IBM x3650M3 48GB 3.46GHz                7945PSJ</v>
          </cell>
        </row>
        <row r="5">
          <cell r="B5" t="str">
            <v>IBM x3690X5 128GB 2.26GHz MAX5     7147PBL</v>
          </cell>
        </row>
        <row r="6">
          <cell r="B6" t="str">
            <v>IBM x3850X5 256GB 2.26GHz 2*HBA   7143PDY</v>
          </cell>
        </row>
        <row r="7">
          <cell r="B7" t="str">
            <v>IBM 2*FC 8GB Dual-port HBA</v>
          </cell>
        </row>
        <row r="8">
          <cell r="B8" t="str">
            <v>HP c7000 Enclosure 2 FLEX FABRIC Standard SAN</v>
          </cell>
        </row>
        <row r="9">
          <cell r="B9" t="str">
            <v>HP BL460c G7 24GB</v>
          </cell>
        </row>
        <row r="10">
          <cell r="B10" t="str">
            <v>HP BL460c G7 48GB</v>
          </cell>
        </row>
        <row r="11">
          <cell r="B11" t="str">
            <v xml:space="preserve">Assumption - 5 patches/ server </v>
          </cell>
        </row>
        <row r="12">
          <cell r="B12" t="str">
            <v>Server Rack Installation</v>
          </cell>
        </row>
        <row r="13">
          <cell r="B13" t="str">
            <v>VM Per vCPU</v>
          </cell>
        </row>
        <row r="14">
          <cell r="B14" t="str">
            <v>VM RAM 1-2GB (USD$200/GB)</v>
          </cell>
        </row>
        <row r="15">
          <cell r="B15" t="str">
            <v>VM RAM 3-4GB (USD$300/GB)</v>
          </cell>
        </row>
        <row r="16">
          <cell r="B16" t="str">
            <v>VM RAM 5-6GB (USD$400/GB)</v>
          </cell>
        </row>
        <row r="17">
          <cell r="B17" t="str">
            <v>VM RAM 7-8GB (USD$400/GB)</v>
          </cell>
        </row>
        <row r="18">
          <cell r="B18" t="str">
            <v>VCS per CPU Cost</v>
          </cell>
        </row>
        <row r="19">
          <cell r="B19" t="str">
            <v>Linux Red Hat license cost</v>
          </cell>
        </row>
        <row r="20">
          <cell r="B20" t="str">
            <v>SQL Server 2008</v>
          </cell>
        </row>
        <row r="21">
          <cell r="B21" t="str">
            <v>High Performance Disk 100GB</v>
          </cell>
        </row>
        <row r="22">
          <cell r="B22" t="str">
            <v>Medium Performance Disk 100GB</v>
          </cell>
        </row>
        <row r="23">
          <cell r="B23" t="str">
            <v>Low Performance Disk 100GB</v>
          </cell>
        </row>
        <row r="24">
          <cell r="B24" t="str">
            <v>CAS Disk 100GB</v>
          </cell>
        </row>
        <row r="25">
          <cell r="B25" t="str">
            <v>NAS Disk 100GB</v>
          </cell>
        </row>
        <row r="26">
          <cell r="B26" t="str">
            <v>Midrange Tape 100GB</v>
          </cell>
        </row>
        <row r="27">
          <cell r="B27" t="str">
            <v>TI Resource Cost</v>
          </cell>
        </row>
        <row r="28">
          <cell r="B28" t="str">
            <v>Vendor-related Costs (self update)</v>
          </cell>
        </row>
        <row r="29">
          <cell r="B29" t="str">
            <v>Monitoring Build + MRD: Self Served</v>
          </cell>
        </row>
        <row r="30">
          <cell r="B30" t="str">
            <v>Monitoring Build + MRD: MDE Assigned</v>
          </cell>
        </row>
        <row r="34">
          <cell r="B34" t="str">
            <v>UNIX Dedicated SMALL per SERVER</v>
          </cell>
        </row>
        <row r="35">
          <cell r="B35" t="str">
            <v>UNIX Dedicated MEDIUM per SERVER</v>
          </cell>
        </row>
        <row r="36">
          <cell r="B36" t="str">
            <v>UNIX Dedicated LARGE per SERVER</v>
          </cell>
        </row>
        <row r="37">
          <cell r="B37" t="str">
            <v>WINDOWS/LINUX Dedicated SMALL per SERVER</v>
          </cell>
        </row>
        <row r="38">
          <cell r="B38" t="str">
            <v>WINDOWS/LINUX Dedicated MEDIUM per SERVER</v>
          </cell>
        </row>
        <row r="39">
          <cell r="B39" t="str">
            <v>WINDOWS/LINUX Dedicated LARGE per SERVER</v>
          </cell>
        </row>
        <row r="40">
          <cell r="B40" t="str">
            <v>VIRTUAL WINDOWS/LINUX per CORE</v>
          </cell>
        </row>
        <row r="41">
          <cell r="B41" t="str">
            <v>SUNRISE 2vCPU 16GB RAM 200GB HDD</v>
          </cell>
        </row>
        <row r="42">
          <cell r="B42" t="str">
            <v>SUNRISE 4vCPU 32GB RAM 200GB HDD</v>
          </cell>
        </row>
        <row r="43">
          <cell r="B43" t="str">
            <v>SYBASE per DB INSTANCE</v>
          </cell>
        </row>
        <row r="44">
          <cell r="B44" t="str">
            <v>ORACLE per DB INSTANCE</v>
          </cell>
        </row>
        <row r="45">
          <cell r="B45" t="str">
            <v>MSSQL per DB INSTANCE</v>
          </cell>
        </row>
        <row r="46">
          <cell r="B46" t="str">
            <v>HIGH Performance per GB per Month</v>
          </cell>
        </row>
        <row r="47">
          <cell r="B47" t="str">
            <v>MEDIUM Performance per GB per Month</v>
          </cell>
        </row>
        <row r="48">
          <cell r="B48" t="str">
            <v>LOW Performance per GB per Month</v>
          </cell>
        </row>
        <row r="49">
          <cell r="B49" t="str">
            <v>CAS per GB per Month</v>
          </cell>
        </row>
        <row r="50">
          <cell r="B50" t="str">
            <v>NAS per GB per Month</v>
          </cell>
        </row>
        <row r="51">
          <cell r="B51" t="str">
            <v>MIDRANGE TAPE per GB per Month</v>
          </cell>
        </row>
        <row r="52">
          <cell r="B52" t="str">
            <v>VENDOR Recurring Costs (self update)</v>
          </cell>
        </row>
      </sheetData>
      <sheetData sheetId="3" refreshError="1"/>
      <sheetData sheetId="4" refreshError="1"/>
      <sheetData sheetId="5" refreshError="1"/>
      <sheetData sheetId="6" refreshError="1"/>
      <sheetData sheetId="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IO LIST"/>
      <sheetName val="BMS-Pri"/>
      <sheetName val="Recommended Spares"/>
      <sheetName val="Civil Works"/>
      <sheetName val="TBAL9697 -group wise  sdpl"/>
      <sheetName val="Servers"/>
      <sheetName val="Name List"/>
      <sheetName val="Sheet3"/>
      <sheetName val="VCH-SLC"/>
      <sheetName val="Supplier"/>
      <sheetName val="Pay_Sep06"/>
      <sheetName val="Sheet1"/>
      <sheetName val="s"/>
      <sheetName val="Input"/>
      <sheetName val="Pacakges split"/>
      <sheetName val="gen"/>
      <sheetName val="Basement Budget"/>
      <sheetName val="Costing"/>
      <sheetName val="IO_LIST"/>
      <sheetName val="Recommended_Spares"/>
      <sheetName val=""/>
      <sheetName val="ducting"/>
      <sheetName val="cox"/>
      <sheetName val="cox (2)"/>
      <sheetName val="kings"/>
      <sheetName val="kings (2)"/>
      <sheetName val="Pure Liquid"/>
      <sheetName val="Mitsu"/>
      <sheetName val="Citibank"/>
      <sheetName val="Citibank (2)"/>
      <sheetName val="TCS"/>
      <sheetName val="TCS-REV"/>
      <sheetName val="VSNL"/>
      <sheetName val="VSNL (2)"/>
      <sheetName val="Raheja"/>
      <sheetName val="EMI-548"/>
      <sheetName val="EMI-057"/>
      <sheetName val="EMI-564"/>
      <sheetName val="Barber"/>
      <sheetName val="Cherry"/>
      <sheetName val="Airfreight"/>
      <sheetName val="I.T.C"/>
      <sheetName val="ITC(R-1)"/>
      <sheetName val="Vinod"/>
      <sheetName val="Ruby"/>
      <sheetName val="Ruby (2)"/>
      <sheetName val="Ruby (3)"/>
      <sheetName val="Ruby-191"/>
      <sheetName val="Ruby-286"/>
      <sheetName val="Ruby-416"/>
      <sheetName val="Ruby-231"/>
      <sheetName val="Sona-VSNL"/>
      <sheetName val="IN-VSNL"/>
      <sheetName val="ZYLOG"/>
      <sheetName val="Stenco"/>
      <sheetName val="Signa"/>
      <sheetName val="Spazzio"/>
      <sheetName val="Asian"/>
      <sheetName val="Asian (2)"/>
      <sheetName val="Airport"/>
      <sheetName val="Escorts-621"/>
      <sheetName val="Escorts-621 (R1)"/>
      <sheetName val="Escorts-(031)"/>
      <sheetName val="Escorts-(37)"/>
      <sheetName val="Escorts-(37-1)"/>
      <sheetName val="Escorts-194"/>
      <sheetName val="Escorts-621 (R2)"/>
      <sheetName val="Escorts-189"/>
      <sheetName val="Escorts-189 (R1)"/>
      <sheetName val="Escorts-189 (R2)"/>
      <sheetName val="Escorts-189 (R3)"/>
      <sheetName val="J.C PENNY"/>
      <sheetName val="J.C PENNY (2)"/>
      <sheetName val="J.C P(A)(R-1)"/>
      <sheetName val="J.C P(A)(R-2)"/>
      <sheetName val="J.C P(B)(R-2)"/>
      <sheetName val="J.C P(A)(R-3)"/>
      <sheetName val="J.C P(B)(R-3)"/>
      <sheetName val="metamorphosis"/>
      <sheetName val="sanjay"/>
      <sheetName val="BNP"/>
      <sheetName val="GUJRAT"/>
      <sheetName val="GUJRAT (2)"/>
      <sheetName val="Jaiprakash"/>
      <sheetName val="Jindal"/>
      <sheetName val="Policy"/>
      <sheetName val="parker"/>
      <sheetName val="Goldstone"/>
      <sheetName val="Eternity"/>
      <sheetName val="NDDB"/>
      <sheetName val="NDDB (2)"/>
      <sheetName val="NDDB (3)"/>
      <sheetName val="NDDB (4)"/>
      <sheetName val="GAS"/>
      <sheetName val="PCRA"/>
      <sheetName val="time"/>
      <sheetName val="purple"/>
      <sheetName val="Gherzi"/>
      <sheetName val="Ruby (4)"/>
      <sheetName val="pall"/>
      <sheetName val="pall (2)"/>
      <sheetName val="pall (3)"/>
      <sheetName val="pall (4)"/>
      <sheetName val="pall (5)"/>
      <sheetName val="pall (6)"/>
      <sheetName val="pall (7)"/>
      <sheetName val="pall (8)"/>
      <sheetName val="pall (9)"/>
      <sheetName val="pall (033)"/>
      <sheetName val="PALL-113"/>
      <sheetName val="PALL-113 (R1)"/>
      <sheetName val="PALL-230"/>
      <sheetName val="PALL-256"/>
      <sheetName val="pall-291"/>
      <sheetName val="Data sheet"/>
      <sheetName val="Fin Sum"/>
      <sheetName val="Summary year Plan"/>
      <sheetName val="Civil Boq"/>
      <sheetName val="Package split - Cost"/>
      <sheetName val="Fill this out first..."/>
      <sheetName val="p&amp;m"/>
      <sheetName val="Structure Bills Qty"/>
      <sheetName val="Break up Sheet"/>
      <sheetName val="Digestion"/>
      <sheetName val="IO_LIST1"/>
      <sheetName val="Recommended_Spares1"/>
      <sheetName val="TBAL9697_-group_wise__sdpl"/>
      <sheetName val="Civil_Works"/>
      <sheetName val="Name_List"/>
      <sheetName val="IO_LIST2"/>
      <sheetName val="Recommended_Spares2"/>
      <sheetName val="TBAL9697_-group_wise__sdpl1"/>
      <sheetName val="Civil_Works1"/>
      <sheetName val="Name_List1"/>
      <sheetName val="List"/>
      <sheetName val="Discount"/>
      <sheetName val="COMP"/>
      <sheetName val="d_m_yy"/>
      <sheetName val="d_m_yy__x0013__$-1010000_d_m_yyyy__x001e__$"/>
      <sheetName val="[Offer.xls]d_m_yy_____101000_70"/>
      <sheetName val="[Offer.xls]d_m_yy_____101000_71"/>
      <sheetName val="[Offer.xls]d_m_yy_____1010000_2"/>
      <sheetName val="[Offer.xls]d_m_yy_____1010000_3"/>
      <sheetName val="[Offer.xls]d_m_yy_____1010000_4"/>
      <sheetName val="[Offer.xls]d_m_yy_____1010000_5"/>
      <sheetName val="[Offer.xls]d_m_yy_____1010000_6"/>
      <sheetName val="[Offer.xls]d_m_yy_____1010000_7"/>
      <sheetName val="[Offer.xls]d_m_yy_____101000_12"/>
      <sheetName val="[Offer.xls]d_m_yy_____101000_13"/>
      <sheetName val="[Offer.xls]d_m_yy_____101000_10"/>
      <sheetName val="[Offer.xls]d_m_yy_____101000_11"/>
      <sheetName val="[Offer.xls]d_m_yy_____1010000_8"/>
      <sheetName val="[Offer.xls]d_m_yy_____1010000_9"/>
      <sheetName val="[Offer.xls]d_m_yy_____101000_18"/>
      <sheetName val="[Offer.xls]d_m_yy_____101000_19"/>
      <sheetName val="[Offer.xls]d_m_yy_____101000_14"/>
      <sheetName val="[Offer.xls]d_m_yy_____101000_15"/>
      <sheetName val="[Offer.xls]d_m_yy_____101000_16"/>
      <sheetName val="[Offer.xls]d_m_yy_____101000_17"/>
      <sheetName val="[Offer.xls]d_m_yy_____101000_46"/>
      <sheetName val="[Offer.xls]d_m_yy_____101000_47"/>
      <sheetName val="[Offer.xls]d_m_yy_____101000_38"/>
      <sheetName val="[Offer.xls]d_m_yy_____101000_39"/>
      <sheetName val="[Offer.xls]d_m_yy_____101000_22"/>
      <sheetName val="[Offer.xls]d_m_yy_____101000_23"/>
      <sheetName val="[Offer.xls]d_m_yy_____101000_20"/>
      <sheetName val="[Offer.xls]d_m_yy_____101000_21"/>
      <sheetName val="[Offer.xls]d_m_yy_____101000_24"/>
      <sheetName val="[Offer.xls]d_m_yy_____101000_25"/>
      <sheetName val="[Offer.xls]d_m_yy_____101000_26"/>
      <sheetName val="[Offer.xls]d_m_yy_____101000_27"/>
      <sheetName val="[Offer.xls]d_m_yy_____101000_28"/>
      <sheetName val="[Offer.xls]d_m_yy_____101000_29"/>
      <sheetName val="[Offer.xls]d_m_yy_____101000_30"/>
      <sheetName val="[Offer.xls]d_m_yy_____101000_31"/>
      <sheetName val="[Offer.xls]d_m_yy_____101000_32"/>
      <sheetName val="[Offer.xls]d_m_yy_____101000_33"/>
      <sheetName val="[Offer.xls]d_m_yy_____101000_34"/>
      <sheetName val="[Offer.xls]d_m_yy_____101000_35"/>
      <sheetName val="[Offer.xls]d_m_yy_____101000_36"/>
      <sheetName val="[Offer.xls]d_m_yy_____101000_37"/>
      <sheetName val="[Offer.xls]d_m_yy_____101000_40"/>
      <sheetName val="[Offer.xls]d_m_yy_____101000_41"/>
      <sheetName val="[Offer.xls]d_m_yy_____101000_42"/>
      <sheetName val="[Offer.xls]d_m_yy_____101000_43"/>
      <sheetName val="[Offer.xls]d_m_yy_____101000_44"/>
      <sheetName val="[Offer.xls]d_m_yy_____101000_45"/>
      <sheetName val="[Offer.xls]d_m_yy_____101000_54"/>
      <sheetName val="[Offer.xls]d_m_yy_____101000_55"/>
      <sheetName val="[Offer.xls]d_m_yy_____101000_48"/>
      <sheetName val="[Offer.xls]d_m_yy_____101000_49"/>
      <sheetName val="[Offer.xls]d_m_yy_____101000_50"/>
      <sheetName val="[Offer.xls]d_m_yy_____101000_51"/>
      <sheetName val="[Offer.xls]d_m_yy_____101000_52"/>
      <sheetName val="[Offer.xls]d_m_yy_____101000_53"/>
      <sheetName val="[Offer.xls]d_m_yy_____101000_60"/>
      <sheetName val="[Offer.xls]d_m_yy_____101000_61"/>
      <sheetName val="[Offer.xls]d_m_yy_____101000_56"/>
      <sheetName val="[Offer.xls]d_m_yy_____101000_57"/>
      <sheetName val="[Offer.xls]d_m_yy_____101000_58"/>
      <sheetName val="[Offer.xls]d_m_yy_____101000_59"/>
      <sheetName val="[Offer.xls]d_m_yy_____101000_62"/>
      <sheetName val="[Offer.xls]d_m_yy_____101000_63"/>
      <sheetName val="[Offer.xls]d_m_yy_____101000_64"/>
      <sheetName val="[Offer.xls]d_m_yy_____101000_65"/>
      <sheetName val="[Offer.xls]d_m_yy_____101000_66"/>
      <sheetName val="[Offer.xls]d_m_yy_____101000_67"/>
      <sheetName val="[Offer.xls]d_m_yy_____101000_68"/>
      <sheetName val="[Offer.xls]d_m_yy_____101000_69"/>
      <sheetName val="[Offer.xls]d_m_yy_____101000_82"/>
      <sheetName val="[Offer.xls]d_m_yy_____101000_83"/>
      <sheetName val="[Offer.xls]d_m_yy_____101000_80"/>
      <sheetName val="[Offer.xls]d_m_yy_____101000_81"/>
      <sheetName val="[Offer.xls]d_m_yy_____101000_78"/>
      <sheetName val="[Offer.xls]d_m_yy_____101000_79"/>
      <sheetName val="[Offer.xls]d_m_yy_____101000_72"/>
      <sheetName val="[Offer.xls]d_m_yy_____101000_73"/>
      <sheetName val="[Offer.xls]d_m_yy_____101000_74"/>
      <sheetName val="[Offer.xls]d_m_yy_____101000_75"/>
      <sheetName val="[Offer.xls]d_m_yy_____101000_76"/>
      <sheetName val="[Offer.xls]d_m_yy_____101000_77"/>
      <sheetName val="[Offer.xls]d_m_yy_____101000_84"/>
      <sheetName val="[Offer.xls]d_m_yy_____101000_85"/>
      <sheetName val="[Offer.xls]d_m_yy_____10100_122"/>
      <sheetName val="[Offer.xls]d_m_yy_____10100_123"/>
      <sheetName val="[Offer.xls]d_m_yy_____10100_106"/>
      <sheetName val="[Offer.xls]d_m_yy_____10100_107"/>
      <sheetName val="[Offer.xls]d_m_yy_____101000_88"/>
      <sheetName val="[Offer.xls]d_m_yy_____101000_89"/>
      <sheetName val="[Offer.xls]d_m_yy_____101000_86"/>
      <sheetName val="[Offer.xls]d_m_yy_____101000_87"/>
      <sheetName val="[Offer.xls]d_m_yy_____101000_92"/>
      <sheetName val="[Offer.xls]d_m_yy_____101000_93"/>
      <sheetName val="[Offer.xls]d_m_yy_____101000_90"/>
      <sheetName val="[Offer.xls]d_m_yy_____101000_91"/>
      <sheetName val="[Offer.xls]d_m_yy_____101000_94"/>
      <sheetName val="[Offer.xls]d_m_yy_____101000_95"/>
      <sheetName val="[Offer.xls]d_m_yy_____101000_96"/>
      <sheetName val="[Offer.xls]d_m_yy_____101000_97"/>
      <sheetName val="[Offer.xls]d_m_yy_____101000_98"/>
      <sheetName val="[Offer.xls]d_m_yy_____101000_99"/>
      <sheetName val="[Offer.xls]d_m_yy_____10100_100"/>
      <sheetName val="[Offer.xls]d_m_yy_____10100_101"/>
      <sheetName val="[Offer.xls]d_m_yy_____10100_102"/>
      <sheetName val="[Offer.xls]d_m_yy_____10100_103"/>
      <sheetName val="[Offer.xls]d_m_yy_____10100_104"/>
      <sheetName val="[Offer.xls]d_m_yy_____10100_105"/>
      <sheetName val="[Offer.xls]d_m_yy_____10100_110"/>
      <sheetName val="[Offer.xls]d_m_yy_____10100_111"/>
      <sheetName val="[Offer.xls]d_m_yy_____10100_108"/>
      <sheetName val="[Offer.xls]d_m_yy_____10100_109"/>
      <sheetName val="[Offer.xls]d_m_yy_____10100_112"/>
      <sheetName val="[Offer.xls]d_m_yy_____10100_113"/>
      <sheetName val="[Offer.xls]d_m_yy_____10100_118"/>
      <sheetName val="[Offer.xls]d_m_yy_____10100_119"/>
      <sheetName val="[Offer.xls]d_m_yy_____10100_114"/>
      <sheetName val="[Offer.xls]d_m_yy_____10100_115"/>
      <sheetName val="[Offer.xls]d_m_yy_____10100_116"/>
      <sheetName val="[Offer.xls]d_m_yy_____10100_117"/>
      <sheetName val="[Offer.xls]d_m_yy_____10100_120"/>
      <sheetName val="[Offer.xls]d_m_yy_____10100_121"/>
      <sheetName val="[Offer.xls]d_m_yy_____10100_124"/>
      <sheetName val="[Offer.xls]d_m_yy_____10100_125"/>
      <sheetName val="[Offer.xls]d_m_yy_____10100_128"/>
      <sheetName val="[Offer.xls]d_m_yy_____10100_129"/>
      <sheetName val="[Offer.xls]d_m_yy_____10100_126"/>
      <sheetName val="[Offer.xls]d_m_yy_____10100_127"/>
      <sheetName val="[Offer.xls]d_m_yy_____10100_130"/>
      <sheetName val="[Offer.xls]d_m_yy_____10100_131"/>
      <sheetName val="[Offer.xls]d_m_yy_____10100_132"/>
      <sheetName val="[Offer.xls]d_m_yy_____10100_133"/>
      <sheetName val="[Offer.xls]d_m_yy_____10100_134"/>
      <sheetName val="[Offer.xls]d_m_yy_____10100_135"/>
      <sheetName val="[Offer.xls][Offer.xls]d_m_yy__2"/>
      <sheetName val="[Offer.xls][Offer.xls]d_m_yy__3"/>
      <sheetName val="[Offer.xls]d_m_yy_____10100_136"/>
      <sheetName val="[Offer.xls]d_m_yy_____10100_137"/>
      <sheetName val="[Offer.xls]d_m_yy_____10100_138"/>
      <sheetName val="[Offer.xls]d_m_yy_____10100_139"/>
      <sheetName val="[Offer.xls]d_m_yy_____10100_142"/>
      <sheetName val="[Offer.xls]d_m_yy_____10100_143"/>
      <sheetName val="[Offer.xls]d_m_yy_____10100_140"/>
      <sheetName val="[Offer.xls]d_m_yy_____10100_141"/>
      <sheetName val="[Offer.xls]d_m_yy_____10100_144"/>
      <sheetName val="[Offer.xls]d_m_yy_____10100_145"/>
      <sheetName val="[Offer.xls]d_m_yy_____10100_146"/>
      <sheetName val="[Offer.xls]d_m_yy_____10100_147"/>
      <sheetName val="[Offer.xls]d_m_yy_____10100_148"/>
      <sheetName val="[Offer.xls]d_m_yy_____10100_149"/>
      <sheetName val="[Offer.xls]d_m_yy_____10100_152"/>
      <sheetName val="[Offer.xls]d_m_yy_____10100_153"/>
      <sheetName val="[Offer.xls]d_m_yy_____10100_150"/>
      <sheetName val="[Offer.xls]d_m_yy_____10100_151"/>
      <sheetName val="[Offer.xls]d_m_yy_____10100_154"/>
      <sheetName val="[Offer.xls]d_m_yy_____10100_155"/>
      <sheetName val="[Offer.xls]d_m_yy_____10100_178"/>
      <sheetName val="[Offer.xls]d_m_yy_____10100_179"/>
      <sheetName val="[Offer.xls][Offer.xls]d_m_yy__8"/>
      <sheetName val="[Offer.xls][Offer.xls]d_m_yy__9"/>
      <sheetName val="[Offer.xls][Offer.xls]d_m_yy__6"/>
      <sheetName val="[Offer.xls][Offer.xls]d_m_yy__7"/>
      <sheetName val="[Offer.xls][Offer.xls]d_m_yy__4"/>
      <sheetName val="[Offer.xls][Offer.xls]d_m_yy__5"/>
      <sheetName val="[Offer.xls][Offer.xls]d_m_yy_10"/>
      <sheetName val="[Offer.xls][Offer.xls]d_m_yy_11"/>
      <sheetName val="[Offer.xls][Offer.xls]d_m_yy_26"/>
      <sheetName val="[Offer.xls][Offer.xls]d_m_yy_27"/>
      <sheetName val="[Offer.xls]d_m_yy_____10100_156"/>
      <sheetName val="[Offer.xls]d_m_yy_____10100_157"/>
      <sheetName val="[Offer.xls][Offer.xls]d_m_yy_12"/>
      <sheetName val="[Offer.xls][Offer.xls]d_m_yy_13"/>
      <sheetName val="[Offer.xls]d_m_yy_____10100_158"/>
      <sheetName val="[Offer.xls]d_m_yy_____10100_159"/>
      <sheetName val="[Offer.xls][Offer.xls]d_m_yy_14"/>
      <sheetName val="[Offer.xls][Offer.xls]d_m_yy_15"/>
      <sheetName val="[Offer.xls]d_m_yy_____10100_168"/>
      <sheetName val="[Offer.xls]d_m_yy_____10100_169"/>
      <sheetName val="[Offer.xls]d_m_yy_____10100_164"/>
      <sheetName val="[Offer.xls]d_m_yy_____10100_165"/>
      <sheetName val="[Offer.xls]d_m_yy_____10100_160"/>
      <sheetName val="[Offer.xls]d_m_yy_____10100_161"/>
      <sheetName val="[Offer.xls]d_m_yy_____10100_162"/>
      <sheetName val="[Offer.xls]d_m_yy_____10100_163"/>
      <sheetName val="[Offer.xls]d_m_yy_____10100_166"/>
      <sheetName val="[Offer.xls]d_m_yy_____10100_167"/>
      <sheetName val="[Offer.xls][Offer.xls]d_m_yy_18"/>
      <sheetName val="[Offer.xls][Offer.xls]d_m_yy_19"/>
      <sheetName val="[Offer.xls][Offer.xls]d_m_yy_16"/>
      <sheetName val="[Offer.xls][Offer.xls]d_m_yy_17"/>
      <sheetName val="[Offer.xls]d_m_yy_____10100_172"/>
      <sheetName val="[Offer.xls]d_m_yy_____10100_173"/>
      <sheetName val="[Offer.xls]d_m_yy_____10100_170"/>
      <sheetName val="[Offer.xls]d_m_yy_____10100_171"/>
      <sheetName val="[Offer.xls][Offer.xls]d_m_yy_20"/>
      <sheetName val="[Offer.xls][Offer.xls]d_m_yy_21"/>
      <sheetName val="[Offer.xls]d_m_yy_____10100_174"/>
      <sheetName val="[Offer.xls]d_m_yy_____10100_175"/>
      <sheetName val="[Offer.xls][Offer.xls]d_m_yy_22"/>
      <sheetName val="[Offer.xls][Offer.xls]d_m_yy_23"/>
      <sheetName val="[Offer.xls]d_m_yy_____10100_176"/>
      <sheetName val="[Offer.xls]d_m_yy_____10100_177"/>
      <sheetName val="[Offer.xls][Offer.xls]d_m_yy_24"/>
      <sheetName val="[Offer.xls][Offer.xls]d_m_yy_25"/>
      <sheetName val="[Offer.xls]d_m_yy_____10100_220"/>
      <sheetName val="[Offer.xls]d_m_yy_____10100_221"/>
      <sheetName val="[Offer.xls][Offer.xls]d_m_yy_68"/>
      <sheetName val="[Offer.xls][Offer.xls]d_m_yy_69"/>
      <sheetName val="[Offer.xls]d_m_yy_____10100_180"/>
      <sheetName val="[Offer.xls]d_m_yy_____10100_181"/>
      <sheetName val="[Offer.xls][Offer.xls]d_m_yy_28"/>
      <sheetName val="[Offer.xls][Offer.xls]d_m_yy_29"/>
      <sheetName val="d/m/yy"/>
      <sheetName val="[Offer.xls]d_m_yy_____10100_182"/>
      <sheetName val="[Offer.xls]d_m_yy_____10100_183"/>
      <sheetName val="[Offer.xls][Offer.xls]d_m_yy_30"/>
      <sheetName val="[Offer.xls][Offer.xls]d_m_yy_31"/>
      <sheetName val="[Offer.xls]d_m_yy_____10100_184"/>
      <sheetName val="[Offer.xls]d_m_yy_____10100_185"/>
      <sheetName val="[Offer.xls][Offer.xls]d_m_yy_32"/>
      <sheetName val="[Offer.xls][Offer.xls]d_m_yy_33"/>
      <sheetName val="[Offer.xls]d_m_yy_____10100_194"/>
      <sheetName val="[Offer.xls]d_m_yy_____10100_195"/>
      <sheetName val="[Offer.xls][Offer.xls]d_m_yy_42"/>
      <sheetName val="[Offer.xls][Offer.xls]d_m_yy_43"/>
      <sheetName val="[Offer.xls]d_m_yy_____10100_188"/>
      <sheetName val="[Offer.xls]d_m_yy_____10100_189"/>
      <sheetName val="[Offer.xls][Offer.xls]d_m_yy_36"/>
      <sheetName val="[Offer.xls][Offer.xls]d_m_yy_37"/>
      <sheetName val="[Offer.xls]d_m_yy_____10100_186"/>
      <sheetName val="[Offer.xls]d_m_yy_____10100_187"/>
      <sheetName val="[Offer.xls][Offer.xls]d_m_yy_34"/>
      <sheetName val="[Offer.xls][Offer.xls]d_m_yy_35"/>
      <sheetName val="[Offer.xls]d_m_yy_____10100_190"/>
      <sheetName val="[Offer.xls]d_m_yy_____10100_191"/>
      <sheetName val="[Offer.xls][Offer.xls]d_m_yy_38"/>
      <sheetName val="[Offer.xls][Offer.xls]d_m_yy_39"/>
      <sheetName val="[Offer.xls]d_m_yy_____10100_192"/>
      <sheetName val="[Offer.xls]d_m_yy_____10100_193"/>
      <sheetName val="[Offer.xls][Offer.xls]d_m_yy_40"/>
      <sheetName val="[Offer.xls][Offer.xls]d_m_yy_41"/>
      <sheetName val="[Offer.xls]d_m_yy_____10100_200"/>
      <sheetName val="[Offer.xls]d_m_yy_____10100_201"/>
      <sheetName val="[Offer.xls][Offer.xls]d_m_yy_48"/>
      <sheetName val="[Offer.xls][Offer.xls]d_m_yy_49"/>
      <sheetName val="[Offer.xls]d_m_yy_____10100_196"/>
      <sheetName val="[Offer.xls]d_m_yy_____10100_197"/>
      <sheetName val="[Offer.xls][Offer.xls]d_m_yy_44"/>
      <sheetName val="[Offer.xls][Offer.xls]d_m_yy_45"/>
      <sheetName val="[Offer.xls]d_m_yy_____10100_198"/>
      <sheetName val="[Offer.xls]d_m_yy_____10100_199"/>
      <sheetName val="[Offer.xls][Offer.xls]d_m_yy_46"/>
      <sheetName val="[Offer.xls][Offer.xls]d_m_yy_47"/>
      <sheetName val="[Offer.xls]d_m_yy_____10100_218"/>
      <sheetName val="[Offer.xls]d_m_yy_____10100_219"/>
      <sheetName val="[Offer.xls][Offer.xls]d_m_yy_66"/>
      <sheetName val="[Offer.xls][Offer.xls]d_m_yy_67"/>
      <sheetName val="[Offer.xls]d_m_yy_____10100_214"/>
      <sheetName val="[Offer.xls]d_m_yy_____10100_215"/>
      <sheetName val="[Offer.xls][Offer.xls]d_m_yy_62"/>
      <sheetName val="[Offer.xls][Offer.xls]d_m_yy_63"/>
      <sheetName val="[Offer.xls]d_m_yy_____10100_206"/>
      <sheetName val="[Offer.xls]d_m_yy_____10100_207"/>
      <sheetName val="[Offer.xls][Offer.xls]d_m_yy_54"/>
      <sheetName val="[Offer.xls][Offer.xls]d_m_yy_55"/>
      <sheetName val="[Offer.xls]d_m_yy_____10100_204"/>
      <sheetName val="[Offer.xls]d_m_yy_____10100_205"/>
      <sheetName val="[Offer.xls][Offer.xls]d_m_yy_52"/>
      <sheetName val="[Offer.xls][Offer.xls]d_m_yy_53"/>
      <sheetName val="[Offer.xls]d_m_yy_____10100_202"/>
      <sheetName val="[Offer.xls]d_m_yy_____10100_203"/>
      <sheetName val="[Offer.xls][Offer.xls]d_m_yy_50"/>
      <sheetName val="[Offer.xls][Offer.xls]d_m_yy_51"/>
      <sheetName val="[Offer.xls]d_m_yy_____10100_208"/>
      <sheetName val="[Offer.xls]d_m_yy_____10100_209"/>
      <sheetName val="[Offer.xls][Offer.xls]d_m_yy_56"/>
      <sheetName val="[Offer.xls][Offer.xls]d_m_yy_57"/>
      <sheetName val="[Offer.xls]d_m_yy_____10100_210"/>
      <sheetName val="[Offer.xls]d_m_yy_____10100_211"/>
      <sheetName val="[Offer.xls][Offer.xls]d_m_yy_58"/>
      <sheetName val="[Offer.xls][Offer.xls]d_m_yy_59"/>
      <sheetName val="[Offer.xls]d_m_yy_____10100_212"/>
      <sheetName val="[Offer.xls]d_m_yy_____10100_213"/>
      <sheetName val="[Offer.xls][Offer.xls]d_m_yy_60"/>
      <sheetName val="[Offer.xls][Offer.xls]d_m_yy_61"/>
      <sheetName val="[Offer.xls]d_m_yy_____10100_216"/>
      <sheetName val="[Offer.xls]d_m_yy_____10100_217"/>
      <sheetName val="[Offer.xls][Offer.xls]d_m_yy_64"/>
      <sheetName val="[Offer.xls][Offer.xls]d_m_yy_65"/>
      <sheetName val="[Offer.xls]d_m_yy_____10100_222"/>
      <sheetName val="[Offer.xls]d_m_yy_____10100_223"/>
      <sheetName val="[Offer.xls][Offer.xls]d_m_yy_70"/>
      <sheetName val="[Offer.xls][Offer.xls]d_m_yy_71"/>
      <sheetName val="[Offer.xls]d_m_yy_____10100_224"/>
      <sheetName val="[Offer.xls]d_m_yy_____10100_225"/>
      <sheetName val="[Offer.xls][Offer.xls]d_m_yy_72"/>
      <sheetName val="[Offer.xls][Offer.xls]d_m_yy_73"/>
      <sheetName val="[Offer.xls]d_m_yy_____10100_246"/>
      <sheetName val="[Offer.xls]d_m_yy_____10100_247"/>
      <sheetName val="[Offer.xls][Offer.xls]d_m_yy_94"/>
      <sheetName val="[Offer.xls][Offer.xls]d_m_yy_95"/>
      <sheetName val="[Offer.xls]d_m_yy_____10100_226"/>
      <sheetName val="[Offer.xls]d_m_yy_____10100_227"/>
      <sheetName val="[Offer.xls][Offer.xls]d_m_yy_74"/>
      <sheetName val="[Offer.xls][Offer.xls]d_m_yy_75"/>
      <sheetName val="[Offer.xls]d_m_yy_____10100_230"/>
      <sheetName val="[Offer.xls]d_m_yy_____10100_231"/>
      <sheetName val="[Offer.xls][Offer.xls]d_m_yy_78"/>
      <sheetName val="[Offer.xls][Offer.xls]d_m_yy_79"/>
      <sheetName val="[Offer.xls]d_m_yy_____10100_228"/>
      <sheetName val="[Offer.xls]d_m_yy_____10100_229"/>
      <sheetName val="[Offer.xls][Offer.xls]d_m_yy_76"/>
      <sheetName val="[Offer.xls][Offer.xls]d_m_yy_77"/>
      <sheetName val="[Offer.xls]d_m_yy_____10100_234"/>
      <sheetName val="[Offer.xls]d_m_yy_____10100_235"/>
      <sheetName val="[Offer.xls][Offer.xls]d_m_yy_82"/>
      <sheetName val="[Offer.xls][Offer.xls]d_m_yy_83"/>
      <sheetName val="[Offer.xls]d_m_yy_____10100_232"/>
      <sheetName val="[Offer.xls]d_m_yy_____10100_233"/>
      <sheetName val="[Offer.xls][Offer.xls]d_m_yy_80"/>
      <sheetName val="[Offer.xls][Offer.xls]d_m_yy_81"/>
      <sheetName val="[Offer.xls]d_m_yy_____10100_240"/>
      <sheetName val="[Offer.xls]d_m_yy_____10100_241"/>
      <sheetName val="[Offer.xls][Offer.xls]d_m_yy_88"/>
      <sheetName val="[Offer.xls][Offer.xls]d_m_yy_89"/>
      <sheetName val="[Offer.xls]d_m_yy_____10100_236"/>
      <sheetName val="[Offer.xls]d_m_yy_____10100_237"/>
      <sheetName val="[Offer.xls][Offer.xls]d_m_yy_84"/>
      <sheetName val="[Offer.xls][Offer.xls]d_m_yy_85"/>
      <sheetName val="[Offer.xls]d_m_yy_____10100_238"/>
      <sheetName val="[Offer.xls]d_m_yy_____10100_239"/>
      <sheetName val="[Offer.xls][Offer.xls]d_m_yy_86"/>
      <sheetName val="[Offer.xls][Offer.xls]d_m_yy_87"/>
      <sheetName val="[Offer.xls]d_m_yy_____10100_242"/>
      <sheetName val="[Offer.xls]d_m_yy_____10100_243"/>
      <sheetName val="[Offer.xls][Offer.xls]d_m_yy_90"/>
      <sheetName val="[Offer.xls][Offer.xls]d_m_yy_91"/>
      <sheetName val="[Offer.xls]d_m_yy_____10100_244"/>
      <sheetName val="[Offer.xls]d_m_yy_____10100_245"/>
      <sheetName val="[Offer.xls][Offer.xls]d_m_yy_92"/>
      <sheetName val="[Offer.xls][Offer.xls]d_m_yy_93"/>
      <sheetName val="[Offer.xls]d_m_yy_____10100_256"/>
      <sheetName val="[Offer.xls]d_m_yy_____10100_257"/>
      <sheetName val="[Offer.xls]d_m_yy_____10100_248"/>
      <sheetName val="[Offer.xls]d_m_yy_____10100_249"/>
      <sheetName val="[Offer.xls]d_m_yy_____10100_250"/>
      <sheetName val="[Offer.xls]d_m_yy_____10100_251"/>
      <sheetName val="[Offer.xls][Offer.xls]d_m_y_100"/>
      <sheetName val="[Offer.xls][Offer.xls]d_m_y_101"/>
      <sheetName val="[Offer.xls]d_m_yy_____10100_252"/>
      <sheetName val="[Offer.xls]d_m_yy_____10100_253"/>
      <sheetName val="[Offer.xls][Offer.xls]d_m_yy_96"/>
      <sheetName val="[Offer.xls][Offer.xls]d_m_yy_97"/>
      <sheetName val="[Offer.xls]d_m_yy_____10100_254"/>
      <sheetName val="[Offer.xls]d_m_yy_____10100_255"/>
      <sheetName val="[Offer.xls][Offer.xls]d_m_yy_98"/>
      <sheetName val="[Offer.xls][Offer.xls]d_m_yy_99"/>
      <sheetName val="[Offer.xls]d_m_yy_____10100_396"/>
      <sheetName val="[Offer.xls]d_m_yy_____10100_397"/>
      <sheetName val="[Offer.xls][Offer.xls]d_m_y_240"/>
      <sheetName val="[Offer.xls][Offer.xls]d_m_y_241"/>
      <sheetName val="[Offer.xls]d_m_yy_____10100_264"/>
      <sheetName val="[Offer.xls]d_m_yy_____10100_265"/>
      <sheetName val="[Offer.xls][Offer.xls]d_m_y_108"/>
      <sheetName val="[Offer.xls][Offer.xls]d_m_y_109"/>
      <sheetName val="[Offer.xls]d_m_yy_____10100_262"/>
      <sheetName val="[Offer.xls]d_m_yy_____10100_263"/>
      <sheetName val="[Offer.xls][Offer.xls]d_m_y_106"/>
      <sheetName val="[Offer.xls][Offer.xls]d_m_y_107"/>
      <sheetName val="[Offer.xls]d_m_yy_____10100_258"/>
      <sheetName val="[Offer.xls]d_m_yy_____10100_259"/>
      <sheetName val="[Offer.xls][Offer.xls]d_m_y_102"/>
      <sheetName val="[Offer.xls][Offer.xls]d_m_y_103"/>
      <sheetName val="[Offer.xls]d_m_yy_____10100_260"/>
      <sheetName val="[Offer.xls]d_m_yy_____10100_261"/>
      <sheetName val="[Offer.xls][Offer.xls]d_m_y_104"/>
      <sheetName val="[Offer.xls][Offer.xls]d_m_y_105"/>
      <sheetName val="[Offer.xls]d_m_yy_____10100_266"/>
      <sheetName val="[Offer.xls]d_m_yy_____10100_267"/>
      <sheetName val="[Offer.xls][Offer.xls]d_m_y_110"/>
      <sheetName val="[Offer.xls][Offer.xls]d_m_y_111"/>
      <sheetName val="[Offer.xls]d_m_yy_____10100_286"/>
      <sheetName val="[Offer.xls]d_m_yy_____10100_287"/>
      <sheetName val="[Offer.xls][Offer.xls]d_m_y_130"/>
      <sheetName val="[Offer.xls][Offer.xls]d_m_y_131"/>
      <sheetName val="[Offer.xls]d_m_yy_____10100_268"/>
      <sheetName val="[Offer.xls]d_m_yy_____10100_269"/>
      <sheetName val="[Offer.xls][Offer.xls]d_m_y_112"/>
      <sheetName val="[Offer.xls][Offer.xls]d_m_y_113"/>
      <sheetName val="[Offer.xls]d_m_yy_____10100_274"/>
      <sheetName val="[Offer.xls]d_m_yy_____10100_275"/>
      <sheetName val="[Offer.xls][Offer.xls]d_m_y_118"/>
      <sheetName val="[Offer.xls][Offer.xls]d_m_y_119"/>
      <sheetName val="[Offer.xls]d_m_yy_____10100_270"/>
      <sheetName val="[Offer.xls]d_m_yy_____10100_271"/>
      <sheetName val="[Offer.xls][Offer.xls]d_m_y_114"/>
      <sheetName val="[Offer.xls][Offer.xls]d_m_y_115"/>
      <sheetName val="[Offer.xls][Offer.xls]d/m/yy?_x0013_["/>
      <sheetName val="[Offer.xls][Offer.xls]d/m/yy_x0000__x0013_["/>
      <sheetName val="[Offer.xls]d_m_yy_____10100_272"/>
      <sheetName val="[Offer.xls]d_m_yy_____10100_273"/>
      <sheetName val="[Offer.xls][Offer.xls]d_m_y_116"/>
      <sheetName val="[Offer.xls][Offer.xls]d_m_y_117"/>
      <sheetName val="[Offer.xls]d_m_yy_____10100_276"/>
      <sheetName val="[Offer.xls]d_m_yy_____10100_277"/>
      <sheetName val="[Offer.xls][Offer.xls]d_m_y_120"/>
      <sheetName val="[Offer.xls][Offer.xls]d_m_y_121"/>
      <sheetName val="[Offer.xls]d_m_yy_____10100_278"/>
      <sheetName val="[Offer.xls]d_m_yy_____10100_279"/>
      <sheetName val="[Offer.xls][Offer.xls]d_m_y_122"/>
      <sheetName val="[Offer.xls][Offer.xls]d_m_y_123"/>
      <sheetName val="[Offer.xls]d_m_yy_____10100_280"/>
      <sheetName val="[Offer.xls]d_m_yy_____10100_281"/>
      <sheetName val="[Offer.xls][Offer.xls]d_m_y_124"/>
      <sheetName val="[Offer.xls][Offer.xls]d_m_y_125"/>
      <sheetName val="[Offer.xls]d_m_yy_____10100_282"/>
      <sheetName val="[Offer.xls]d_m_yy_____10100_283"/>
      <sheetName val="[Offer.xls][Offer.xls]d_m_y_126"/>
      <sheetName val="[Offer.xls][Offer.xls]d_m_y_127"/>
      <sheetName val="[Offer.xls]d_m_yy_____10100_284"/>
      <sheetName val="[Offer.xls]d_m_yy_____10100_285"/>
      <sheetName val="[Offer.xls][Offer.xls]d_m_y_128"/>
      <sheetName val="[Offer.xls][Offer.xls]d_m_y_129"/>
      <sheetName val="[Offer.xls]d_m_yy_____10100_300"/>
      <sheetName val="[Offer.xls]d_m_yy_____10100_301"/>
      <sheetName val="[Offer.xls][Offer.xls]d_m_y_144"/>
      <sheetName val="[Offer.xls][Offer.xls]d_m_y_145"/>
      <sheetName val="[Offer.xls]d_m_yy_____10100_288"/>
      <sheetName val="[Offer.xls]d_m_yy_____10100_289"/>
      <sheetName val="[Offer.xls][Offer.xls]d_m_y_132"/>
      <sheetName val="[Offer.xls][Offer.xls]d_m_y_133"/>
      <sheetName val="[Offer.xls]d_m_yy_____10100_290"/>
      <sheetName val="[Offer.xls]d_m_yy_____10100_291"/>
      <sheetName val="[Offer.xls][Offer.xls]d_m_y_134"/>
      <sheetName val="[Offer.xls][Offer.xls]d_m_y_135"/>
      <sheetName val="[Offer.xls]d_m_yy_____10100_292"/>
      <sheetName val="[Offer.xls]d_m_yy_____10100_293"/>
      <sheetName val="[Offer.xls][Offer.xls]d_m_y_136"/>
      <sheetName val="[Offer.xls][Offer.xls]d_m_y_137"/>
      <sheetName val="[Offer.xls]d_m_yy_____10100_294"/>
      <sheetName val="[Offer.xls]d_m_yy_____10100_295"/>
      <sheetName val="[Offer.xls][Offer.xls]d_m_y_138"/>
      <sheetName val="[Offer.xls][Offer.xls]d_m_y_139"/>
      <sheetName val="[Offer.xls]d_m_yy_____10100_296"/>
      <sheetName val="[Offer.xls]d_m_yy_____10100_297"/>
      <sheetName val="[Offer.xls][Offer.xls]d_m_y_140"/>
      <sheetName val="[Offer.xls][Offer.xls]d_m_y_141"/>
      <sheetName val="[Offer.xls]d_m_yy_____10100_298"/>
      <sheetName val="[Offer.xls]d_m_yy_____10100_299"/>
      <sheetName val="[Offer.xls][Offer.xls]d_m_y_142"/>
      <sheetName val="[Offer.xls][Offer.xls]d_m_y_143"/>
      <sheetName val="[Offer.xls]d_m_yy_____10100_302"/>
      <sheetName val="[Offer.xls]d_m_yy_____10100_303"/>
      <sheetName val="[Offer.xls][Offer.xls]d_m_y_146"/>
      <sheetName val="[Offer.xls][Offer.xls]d_m_y_147"/>
      <sheetName val="[Offer.xls]d_m_yy_____10100_346"/>
      <sheetName val="[Offer.xls]d_m_yy_____10100_347"/>
      <sheetName val="[Offer.xls][Offer.xls]d_m_y_190"/>
      <sheetName val="[Offer.xls][Offer.xls]d_m_y_191"/>
      <sheetName val="[Offer.xls]d_m_yy_____10100_342"/>
      <sheetName val="[Offer.xls]d_m_yy_____10100_343"/>
      <sheetName val="[Offer.xls][Offer.xls]d_m_y_186"/>
      <sheetName val="[Offer.xls][Offer.xls]d_m_y_187"/>
      <sheetName val="[Offer.xls]d_m_yy_____10100_334"/>
      <sheetName val="[Offer.xls]d_m_yy_____10100_335"/>
      <sheetName val="[Offer.xls][Offer.xls]d_m_y_178"/>
      <sheetName val="[Offer.xls][Offer.xls]d_m_y_179"/>
      <sheetName val="[Offer.xls]d_m_yy_____10100_310"/>
      <sheetName val="[Offer.xls]d_m_yy_____10100_311"/>
      <sheetName val="[Offer.xls][Offer.xls]d_m_y_154"/>
      <sheetName val="[Offer.xls][Offer.xls]d_m_y_155"/>
      <sheetName val="[Offer.xls]d_m_yy_____10100_304"/>
      <sheetName val="[Offer.xls]d_m_yy_____10100_305"/>
      <sheetName val="[Offer.xls][Offer.xls]d_m_y_148"/>
      <sheetName val="[Offer.xls][Offer.xls]d_m_y_149"/>
      <sheetName val="[Offer.xls]d_m_yy_____10100_306"/>
      <sheetName val="[Offer.xls]d_m_yy_____10100_307"/>
      <sheetName val="[Offer.xls][Offer.xls]d_m_y_150"/>
      <sheetName val="[Offer.xls][Offer.xls]d_m_y_151"/>
      <sheetName val="[Offer.xls]d_m_yy_____10100_308"/>
      <sheetName val="[Offer.xls]d_m_yy_____10100_309"/>
      <sheetName val="[Offer.xls][Offer.xls]d_m_y_152"/>
      <sheetName val="[Offer.xls][Offer.xls]d_m_y_153"/>
      <sheetName val="[Offer.xls]d_m_yy_____10100_316"/>
      <sheetName val="[Offer.xls]d_m_yy_____10100_317"/>
      <sheetName val="[Offer.xls][Offer.xls]d_m_y_160"/>
      <sheetName val="[Offer.xls][Offer.xls]d_m_y_161"/>
      <sheetName val="[Offer.xls]d_m_yy_____10100_312"/>
      <sheetName val="[Offer.xls]d_m_yy_____10100_313"/>
      <sheetName val="[Offer.xls][Offer.xls]d_m_y_156"/>
      <sheetName val="[Offer.xls][Offer.xls]d_m_y_157"/>
      <sheetName val="[Offer.xls]d_m_yy_____10100_314"/>
      <sheetName val="[Offer.xls]d_m_yy_____10100_315"/>
      <sheetName val="[Offer.xls][Offer.xls]d_m_y_158"/>
      <sheetName val="[Offer.xls][Offer.xls]d_m_y_159"/>
      <sheetName val="[Offer.xls]d_m_yy_____10100_318"/>
      <sheetName val="[Offer.xls]d_m_yy_____10100_319"/>
      <sheetName val="[Offer.xls][Offer.xls]d_m_y_162"/>
      <sheetName val="[Offer.xls][Offer.xls]d_m_y_163"/>
      <sheetName val="[Offer.xls]d_m_yy_____10100_320"/>
      <sheetName val="[Offer.xls]d_m_yy_____10100_321"/>
      <sheetName val="[Offer.xls][Offer.xls]d_m_y_164"/>
      <sheetName val="[Offer.xls][Offer.xls]d_m_y_165"/>
      <sheetName val="[Offer.xls]d_m_yy_____10100_322"/>
      <sheetName val="[Offer.xls]d_m_yy_____10100_323"/>
      <sheetName val="[Offer.xls][Offer.xls]d_m_y_166"/>
      <sheetName val="[Offer.xls][Offer.xls]d_m_y_167"/>
      <sheetName val="[Offer.xls]d_m_yy_____10100_324"/>
      <sheetName val="[Offer.xls]d_m_yy_____10100_325"/>
      <sheetName val="[Offer.xls][Offer.xls]d_m_y_168"/>
      <sheetName val="[Offer.xls][Offer.xls]d_m_y_169"/>
      <sheetName val="[Offer.xls]d_m_yy_____10100_330"/>
      <sheetName val="[Offer.xls]d_m_yy_____10100_331"/>
      <sheetName val="[Offer.xls][Offer.xls]d_m_y_174"/>
      <sheetName val="[Offer.xls][Offer.xls]d_m_y_175"/>
      <sheetName val="[Offer.xls]d_m_yy_____10100_326"/>
      <sheetName val="[Offer.xls]d_m_yy_____10100_327"/>
      <sheetName val="[Offer.xls][Offer.xls]d_m_y_170"/>
      <sheetName val="[Offer.xls][Offer.xls]d_m_y_171"/>
      <sheetName val="[Offer.xls]d_m_yy_____10100_328"/>
      <sheetName val="[Offer.xls]d_m_yy_____10100_329"/>
      <sheetName val="[Offer.xls][Offer.xls]d_m_y_172"/>
      <sheetName val="[Offer.xls][Offer.xls]d_m_y_173"/>
      <sheetName val="[Offer.xls]d_m_yy_____10100_332"/>
      <sheetName val="[Offer.xls]d_m_yy_____10100_333"/>
      <sheetName val="[Offer.xls][Offer.xls]d_m_y_176"/>
      <sheetName val="[Offer.xls][Offer.xls]d_m_y_177"/>
      <sheetName val="[Offer.xls]d_m_yy_____10100_336"/>
      <sheetName val="[Offer.xls]d_m_yy_____10100_337"/>
      <sheetName val="[Offer.xls][Offer.xls]d_m_y_180"/>
      <sheetName val="[Offer.xls][Offer.xls]d_m_y_181"/>
      <sheetName val="[Offer.xls]d_m_yy_____10100_338"/>
      <sheetName val="[Offer.xls]d_m_yy_____10100_339"/>
      <sheetName val="[Offer.xls][Offer.xls]d_m_y_182"/>
      <sheetName val="[Offer.xls][Offer.xls]d_m_y_183"/>
      <sheetName val="[Offer.xls]d_m_yy_____10100_340"/>
      <sheetName val="[Offer.xls]d_m_yy_____10100_341"/>
      <sheetName val="[Offer.xls][Offer.xls]d_m_y_184"/>
      <sheetName val="[Offer.xls][Offer.xls]d_m_y_185"/>
      <sheetName val="[Offer.xls]d_m_yy_____10100_344"/>
      <sheetName val="[Offer.xls]d_m_yy_____10100_345"/>
      <sheetName val="[Offer.xls][Offer.xls]d_m_y_188"/>
      <sheetName val="[Offer.xls][Offer.xls]d_m_y_189"/>
      <sheetName val="[Offer.xls]d_m_yy_____10100_348"/>
      <sheetName val="[Offer.xls]d_m_yy_____10100_349"/>
      <sheetName val="[Offer.xls][Offer.xls]d_m_y_192"/>
      <sheetName val="[Offer.xls][Offer.xls]d_m_y_193"/>
      <sheetName val="[Offer.xls]d_m_yy_____10100_350"/>
      <sheetName val="[Offer.xls]d_m_yy_____10100_351"/>
      <sheetName val="[Offer.xls][Offer.xls]d_m_y_194"/>
      <sheetName val="[Offer.xls][Offer.xls]d_m_y_195"/>
      <sheetName val="[Offer.xls]d_m_yy_____10100_352"/>
      <sheetName val="[Offer.xls]d_m_yy_____10100_353"/>
      <sheetName val="[Offer.xls][Offer.xls]d_m_y_196"/>
      <sheetName val="[Offer.xls][Offer.xls]d_m_y_197"/>
      <sheetName val="[Offer.xls]d_m_yy_____10100_354"/>
      <sheetName val="[Offer.xls]d_m_yy_____10100_355"/>
      <sheetName val="[Offer.xls][Offer.xls]d_m_y_198"/>
      <sheetName val="[Offer.xls][Offer.xls]d_m_y_199"/>
      <sheetName val="[Offer.xls]d_m_yy_____10100_356"/>
      <sheetName val="[Offer.xls]d_m_yy_____10100_357"/>
      <sheetName val="[Offer.xls][Offer.xls]d_m_y_200"/>
      <sheetName val="[Offer.xls][Offer.xls]d_m_y_201"/>
      <sheetName val="[Offer.xls]d_m_yy_____10100_358"/>
      <sheetName val="[Offer.xls]d_m_yy_____10100_359"/>
      <sheetName val="[Offer.xls][Offer.xls]d_m_y_202"/>
      <sheetName val="[Offer.xls][Offer.xls]d_m_y_203"/>
      <sheetName val="[Offer.xls]d_m_yy_____10100_376"/>
      <sheetName val="[Offer.xls]d_m_yy_____10100_377"/>
      <sheetName val="[Offer.xls][Offer.xls]d_m_y_220"/>
      <sheetName val="[Offer.xls][Offer.xls]d_m_y_221"/>
      <sheetName val="[Offer.xls]d_m_yy_____10100_372"/>
      <sheetName val="[Offer.xls]d_m_yy_____10100_373"/>
      <sheetName val="[Offer.xls][Offer.xls]d_m_y_216"/>
      <sheetName val="[Offer.xls][Offer.xls]d_m_y_217"/>
      <sheetName val="[Offer.xls]d_m_yy_____10100_370"/>
      <sheetName val="[Offer.xls]d_m_yy_____10100_371"/>
      <sheetName val="[Offer.xls][Offer.xls]d_m_y_214"/>
      <sheetName val="[Offer.xls][Offer.xls]d_m_y_215"/>
      <sheetName val="[Offer.xls]d_m_yy_____10100_362"/>
      <sheetName val="[Offer.xls]d_m_yy_____10100_363"/>
      <sheetName val="[Offer.xls][Offer.xls]d_m_y_206"/>
      <sheetName val="[Offer.xls][Offer.xls]d_m_y_207"/>
      <sheetName val="[Offer.xls]d_m_yy_____10100_360"/>
      <sheetName val="[Offer.xls]d_m_yy_____10100_361"/>
      <sheetName val="[Offer.xls][Offer.xls]d_m_y_204"/>
      <sheetName val="[Offer.xls][Offer.xls]d_m_y_205"/>
      <sheetName val="[Offer.xls]d_m_yy_____10100_364"/>
      <sheetName val="[Offer.xls]d_m_yy_____10100_365"/>
      <sheetName val="[Offer.xls][Offer.xls]d_m_y_208"/>
      <sheetName val="[Offer.xls][Offer.xls]d_m_y_209"/>
      <sheetName val="[Offer.xls]d_m_yy_____10100_366"/>
      <sheetName val="[Offer.xls]d_m_yy_____10100_367"/>
      <sheetName val="[Offer.xls][Offer.xls]d_m_y_210"/>
      <sheetName val="[Offer.xls][Offer.xls]d_m_y_211"/>
      <sheetName val="[Offer.xls]d_m_yy_____10100_368"/>
      <sheetName val="[Offer.xls]d_m_yy_____10100_369"/>
      <sheetName val="[Offer.xls][Offer.xls]d_m_y_212"/>
      <sheetName val="[Offer.xls][Offer.xls]d_m_y_213"/>
      <sheetName val="[Offer.xls]d_m_yy_____10100_374"/>
      <sheetName val="[Offer.xls]d_m_yy_____10100_375"/>
      <sheetName val="[Offer.xls][Offer.xls]d_m_y_218"/>
      <sheetName val="[Offer.xls][Offer.xls]d_m_y_219"/>
      <sheetName val="[Offer.xls]d_m_yy_____10100_382"/>
      <sheetName val="[Offer.xls]d_m_yy_____10100_383"/>
      <sheetName val="[Offer.xls][Offer.xls]d_m_y_226"/>
      <sheetName val="[Offer.xls][Offer.xls]d_m_y_227"/>
      <sheetName val="[Offer.xls]d_m_yy_____10100_378"/>
      <sheetName val="[Offer.xls]d_m_yy_____10100_379"/>
      <sheetName val="[Offer.xls][Offer.xls]d_m_y_222"/>
      <sheetName val="[Offer.xls][Offer.xls]d_m_y_223"/>
      <sheetName val="[Offer.xls]d_m_yy_____10100_380"/>
      <sheetName val="[Offer.xls]d_m_yy_____10100_381"/>
      <sheetName val="[Offer.xls][Offer.xls]d_m_y_224"/>
      <sheetName val="[Offer.xls][Offer.xls]d_m_y_225"/>
      <sheetName val="[Offer.xls]d_m_yy_____10100_384"/>
      <sheetName val="[Offer.xls]d_m_yy_____10100_385"/>
      <sheetName val="[Offer.xls][Offer.xls]d_m_y_228"/>
      <sheetName val="[Offer.xls][Offer.xls]d_m_y_229"/>
      <sheetName val="[Offer.xls]d_m_yy_____10100_386"/>
      <sheetName val="[Offer.xls]d_m_yy_____10100_387"/>
      <sheetName val="[Offer.xls][Offer.xls]d_m_y_230"/>
      <sheetName val="[Offer.xls][Offer.xls]d_m_y_231"/>
      <sheetName val="[Offer.xls]d_m_yy_____10100_388"/>
      <sheetName val="[Offer.xls]d_m_yy_____10100_389"/>
      <sheetName val="[Offer.xls][Offer.xls]d_m_y_232"/>
      <sheetName val="[Offer.xls][Offer.xls]d_m_y_233"/>
      <sheetName val="[Offer.xls]d_m_yy_____10100_392"/>
      <sheetName val="[Offer.xls]d_m_yy_____10100_393"/>
      <sheetName val="[Offer.xls][Offer.xls]d_m_y_236"/>
      <sheetName val="[Offer.xls][Offer.xls]d_m_y_237"/>
      <sheetName val="[Offer.xls]d_m_yy_____10100_390"/>
      <sheetName val="[Offer.xls]d_m_yy_____10100_391"/>
      <sheetName val="[Offer.xls][Offer.xls]d_m_y_234"/>
      <sheetName val="[Offer.xls][Offer.xls]d_m_y_235"/>
      <sheetName val="[Offer.xls]d_m_yy_____10100_394"/>
      <sheetName val="[Offer.xls]d_m_yy_____10100_395"/>
      <sheetName val="[Offer.xls][Offer.xls]d_m_y_238"/>
      <sheetName val="[Offer.xls][Offer.xls]d_m_y_239"/>
      <sheetName val="[Offer.xls]d_m_yy_____10100_398"/>
      <sheetName val="[Offer.xls]d_m_yy_____10100_399"/>
      <sheetName val="[Offer.xls][Offer.xls]d_m_y_242"/>
      <sheetName val="[Offer.xls][Offer.xls]d_m_y_243"/>
    </sheetNames>
    <sheetDataSet>
      <sheetData sheetId="0" refreshError="1">
        <row r="8">
          <cell r="J8">
            <v>1.17746</v>
          </cell>
        </row>
        <row r="12">
          <cell r="J12">
            <v>0.03</v>
          </cell>
        </row>
      </sheetData>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x"/>
      <sheetName val="capex"/>
      <sheetName val="Total Cost"/>
      <sheetName val="Revenue"/>
      <sheetName val="Commercials-Budget"/>
      <sheetName val=" BOM"/>
      <sheetName val="MS NET"/>
      <sheetName val="SPLA"/>
      <sheetName val="8-Managed Services-v7.2"/>
      <sheetName val="Config"/>
      <sheetName val="BALAN1"/>
      <sheetName val="M list=Cement Mill"/>
      <sheetName val="Instructions"/>
      <sheetName val="Filter Data"/>
      <sheetName val="Invoice"/>
      <sheetName val="Customize Your Invoice"/>
      <sheetName val="Sheet2"/>
      <sheetName val="Summary"/>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Instructions"/>
      <sheetName val="M BBSC SSP"/>
      <sheetName val="Q BBSC SSP RAF"/>
      <sheetName val="1 M P&amp;L"/>
      <sheetName val="2 M Sales Spec"/>
      <sheetName val="3 M Debtors"/>
      <sheetName val="4 M Cost Prices SSP"/>
      <sheetName val="5 M Planning"/>
      <sheetName val="6 M Fixed Costs"/>
      <sheetName val="7 M Cap Empl"/>
      <sheetName val="8 Q Capex"/>
      <sheetName val="9 Q P&amp;L RAF"/>
      <sheetName val="10 Q Sales Spec"/>
      <sheetName val="11 Q RM PPV"/>
      <sheetName val="12 Q Cap Empl RAF"/>
      <sheetName val="13 Q CFROI CVA"/>
      <sheetName val="14 Q Tang Assets"/>
      <sheetName val="15 Q ICT"/>
      <sheetName val="16 Q Sales Geo"/>
      <sheetName val="Cover"/>
      <sheetName val="factors"/>
      <sheetName val="volume 09-10"/>
      <sheetName val="MS NET"/>
      <sheetName val="Input"/>
      <sheetName val="Sweeper Machine"/>
      <sheetName val="PRECAST lightconc-II"/>
      <sheetName val="consolidated"/>
      <sheetName val="labels"/>
      <sheetName val="Sheet2"/>
    </sheetNames>
    <sheetDataSet>
      <sheetData sheetId="0" refreshError="1">
        <row r="6">
          <cell r="B6">
            <v>37287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Domains"/>
      <sheetName val="Content Instructions"/>
      <sheetName val="consolidated"/>
      <sheetName val="General"/>
    </sheetNames>
    <sheetDataSet>
      <sheetData sheetId="0" refreshError="1"/>
      <sheetData sheetId="1" refreshError="1"/>
      <sheetData sheetId="2" refreshError="1"/>
      <sheetData sheetId="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Domains"/>
      <sheetName val="Content Instructions"/>
    </sheetNames>
    <sheetDataSet>
      <sheetData sheetId="0" refreshError="1"/>
      <sheetData sheetId="1"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ACS(1)"/>
      <sheetName val="CCTV(2)"/>
      <sheetName val="CCTV(old)"/>
      <sheetName val="CCTV(2-2)"/>
      <sheetName val="IAS(3)"/>
      <sheetName val="FAS-C(4)"/>
      <sheetName val="Panels(4-2)"/>
      <sheetName val="FAS-I(5)"/>
      <sheetName val="FAS-I(6)"/>
      <sheetName val="ISS(7)"/>
      <sheetName val="HSF(6)"/>
      <sheetName val="Wiring(6)"/>
      <sheetName val="Currency"/>
      <sheetName val="Content Instructions"/>
    </sheetNames>
    <sheetDataSet>
      <sheetData sheetId="0" refreshError="1"/>
      <sheetData sheetId="1" refreshError="1"/>
      <sheetData sheetId="2"/>
      <sheetData sheetId="3" refreshError="1"/>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sheetData sheetId="1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xSeries306"/>
      <sheetName val="ACS(1)"/>
      <sheetName val="FAS-C(4)"/>
      <sheetName val="CCTV(old)"/>
    </sheetNames>
    <sheetDataSet>
      <sheetData sheetId="0"/>
      <sheetData sheetId="1" refreshError="1">
        <row r="2">
          <cell r="B2" t="str">
            <v>YES</v>
          </cell>
          <cell r="K2" t="str">
            <v>Prefilter</v>
          </cell>
          <cell r="P2" t="str">
            <v>Free</v>
          </cell>
        </row>
        <row r="3">
          <cell r="B3" t="str">
            <v>NO</v>
          </cell>
          <cell r="K3" t="str">
            <v>Pre + Fine</v>
          </cell>
          <cell r="P3" t="str">
            <v>Ducted</v>
          </cell>
        </row>
        <row r="4">
          <cell r="K4" t="str">
            <v>Pre + Fine + Hepa</v>
          </cell>
          <cell r="P4" t="str">
            <v>Transfer Duct</v>
          </cell>
        </row>
        <row r="5">
          <cell r="K5" t="str">
            <v>Pre + Fine + Term. Hepa</v>
          </cell>
          <cell r="P5" t="str">
            <v>NA</v>
          </cell>
        </row>
      </sheetData>
      <sheetData sheetId="2"/>
      <sheetData sheetId="3" refreshError="1"/>
      <sheetData sheetId="4" refreshError="1"/>
      <sheetData sheetId="5" refreshError="1"/>
      <sheetData sheetId="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vice detail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x"/>
      <sheetName val="capex"/>
      <sheetName val="Total Cost"/>
      <sheetName val="Revenue"/>
      <sheetName val="Commercials-Budget"/>
      <sheetName val=" BOM"/>
      <sheetName val="MS NET"/>
      <sheetName val="SPLA"/>
      <sheetName val="Invoice"/>
      <sheetName val="Customize Your Invoice"/>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C on Cloud"/>
      <sheetName val="SAP Sizing_Option2"/>
      <sheetName val="DC on Prem"/>
      <sheetName val="DR"/>
      <sheetName val="T&amp;D on cloud"/>
      <sheetName val="T&amp;D on premise"/>
      <sheetName val="Consolidated BOQ"/>
      <sheetName val="App Stack"/>
      <sheetName val="OEMs"/>
      <sheetName val="Inputs"/>
      <sheetName val="Left DC"/>
      <sheetName val="Left T&amp;D"/>
      <sheetName val="Summary"/>
      <sheetName val="DC-HA"/>
      <sheetName val="VA- Edge Appliance"/>
      <sheetName val="DR-Clou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91">
          <cell r="A91" t="str">
            <v>MAS Oracle</v>
          </cell>
          <cell r="K91" t="str">
            <v>Physical</v>
          </cell>
          <cell r="N91" t="str">
            <v>Data Center</v>
          </cell>
          <cell r="O91" t="str">
            <v>Bundle</v>
          </cell>
          <cell r="V91" t="str">
            <v>Yes</v>
          </cell>
          <cell r="W91" t="str">
            <v>App Level</v>
          </cell>
        </row>
        <row r="92">
          <cell r="A92" t="str">
            <v>MAS MS</v>
          </cell>
          <cell r="K92" t="str">
            <v>Virtual</v>
          </cell>
          <cell r="N92" t="str">
            <v>Enterprise</v>
          </cell>
          <cell r="O92" t="str">
            <v>Core based</v>
          </cell>
          <cell r="V92" t="str">
            <v>No</v>
          </cell>
          <cell r="W92" t="str">
            <v>DB Level</v>
          </cell>
        </row>
        <row r="93">
          <cell r="A93" t="str">
            <v>MAS SAP</v>
          </cell>
          <cell r="N93" t="str">
            <v>Standard</v>
          </cell>
          <cell r="O93" t="str">
            <v>User based</v>
          </cell>
          <cell r="W93" t="str">
            <v>OS Level</v>
          </cell>
        </row>
        <row r="94">
          <cell r="A94" t="str">
            <v>MAS</v>
          </cell>
          <cell r="N94" t="str">
            <v>Express</v>
          </cell>
          <cell r="O94" t="str">
            <v>Free</v>
          </cell>
          <cell r="W94" t="str">
            <v>Hypervisor Level</v>
          </cell>
        </row>
        <row r="95">
          <cell r="A95" t="str">
            <v>CRS</v>
          </cell>
          <cell r="N95" t="str">
            <v>Free</v>
          </cell>
          <cell r="W95" t="str">
            <v>Storage Level</v>
          </cell>
        </row>
        <row r="96">
          <cell r="A96" t="str">
            <v>CIS</v>
          </cell>
          <cell r="W96" t="str">
            <v>3rd Party</v>
          </cell>
        </row>
      </sheetData>
      <sheetData sheetId="13">
        <row r="91">
          <cell r="C91" t="str">
            <v>TechBridge</v>
          </cell>
        </row>
        <row r="92">
          <cell r="C92" t="str">
            <v>TechBridge</v>
          </cell>
        </row>
        <row r="93">
          <cell r="C93" t="str">
            <v>TechBridge</v>
          </cell>
        </row>
      </sheetData>
      <sheetData sheetId="14"/>
      <sheetData sheetId="1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tem"/>
      <sheetName val="Hints"/>
      <sheetName val="Graphics"/>
      <sheetName val="Overview"/>
      <sheetName val="Partition"/>
      <sheetName val="Warnings"/>
      <sheetName val="Slots"/>
      <sheetName val="Cableplan"/>
      <sheetName val="Planning data"/>
      <sheetName val="Cableplan2"/>
      <sheetName val="House network"/>
      <sheetName val="MirrorMode"/>
      <sheetName val="Storage"/>
      <sheetName val="Calculated power values"/>
      <sheetName val="Module"/>
      <sheetName val="Dropdowns"/>
      <sheetName val="Sachin"/>
      <sheetName val="MS NET"/>
      <sheetName val="Sheet2"/>
      <sheetName val="Planning_data"/>
      <sheetName val="House_network"/>
      <sheetName val="Calculated_power_values"/>
      <sheetName val="Data Domains"/>
      <sheetName val="Base data Security Procedures"/>
    </sheetNames>
    <sheetDataSet>
      <sheetData sheetId="0">
        <row r="32">
          <cell r="C32">
            <v>1</v>
          </cell>
        </row>
      </sheetData>
      <sheetData sheetId="1">
        <row r="32">
          <cell r="C32">
            <v>1</v>
          </cell>
        </row>
      </sheetData>
      <sheetData sheetId="2" refreshError="1"/>
      <sheetData sheetId="3"/>
      <sheetData sheetId="4" refreshError="1"/>
      <sheetData sheetId="5"/>
      <sheetData sheetId="6" refreshError="1"/>
      <sheetData sheetId="7" refreshError="1"/>
      <sheetData sheetId="8" refreshError="1"/>
      <sheetData sheetId="9"/>
      <sheetData sheetId="10" refreshError="1"/>
      <sheetData sheetId="11" refreshError="1"/>
      <sheetData sheetId="12">
        <row r="32">
          <cell r="C32">
            <v>1</v>
          </cell>
        </row>
      </sheetData>
      <sheetData sheetId="13"/>
      <sheetData sheetId="14" refreshError="1"/>
      <sheetData sheetId="15" refreshError="1"/>
      <sheetData sheetId="16">
        <row r="32">
          <cell r="C32">
            <v>1</v>
          </cell>
        </row>
      </sheetData>
      <sheetData sheetId="17" refreshError="1"/>
      <sheetData sheetId="18" refreshError="1"/>
      <sheetData sheetId="19">
        <row r="32">
          <cell r="C32">
            <v>1</v>
          </cell>
        </row>
      </sheetData>
      <sheetData sheetId="20"/>
      <sheetData sheetId="21"/>
      <sheetData sheetId="22" refreshError="1"/>
      <sheetData sheetId="2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tem"/>
      <sheetName val="Hints"/>
      <sheetName val="Graphics"/>
      <sheetName val="Overview"/>
      <sheetName val="Partition"/>
      <sheetName val="Warnings"/>
      <sheetName val="Slots"/>
      <sheetName val="Cableplan"/>
      <sheetName val="Planning data"/>
      <sheetName val="Cableplan2"/>
      <sheetName val="House network"/>
      <sheetName val="MirrorMode"/>
      <sheetName val="Storage"/>
      <sheetName val="Calculated power values"/>
      <sheetName val="Module"/>
      <sheetName val="Dropdowns"/>
      <sheetName val="Sachin"/>
      <sheetName val="MS NET"/>
      <sheetName val="Sheet2"/>
      <sheetName val="Planning_data"/>
      <sheetName val="House_network"/>
      <sheetName val="Calculated_power_values"/>
      <sheetName val="Data Domains"/>
      <sheetName val="Base data Security Procedures"/>
    </sheetNames>
    <sheetDataSet>
      <sheetData sheetId="0">
        <row r="32">
          <cell r="C32">
            <v>1</v>
          </cell>
        </row>
      </sheetData>
      <sheetData sheetId="1">
        <row r="32">
          <cell r="C32">
            <v>1</v>
          </cell>
        </row>
      </sheetData>
      <sheetData sheetId="2" refreshError="1"/>
      <sheetData sheetId="3"/>
      <sheetData sheetId="4" refreshError="1"/>
      <sheetData sheetId="5"/>
      <sheetData sheetId="6" refreshError="1"/>
      <sheetData sheetId="7" refreshError="1"/>
      <sheetData sheetId="8" refreshError="1"/>
      <sheetData sheetId="9"/>
      <sheetData sheetId="10" refreshError="1"/>
      <sheetData sheetId="11" refreshError="1"/>
      <sheetData sheetId="12">
        <row r="32">
          <cell r="C32">
            <v>1</v>
          </cell>
        </row>
      </sheetData>
      <sheetData sheetId="13"/>
      <sheetData sheetId="14" refreshError="1"/>
      <sheetData sheetId="15" refreshError="1"/>
      <sheetData sheetId="16">
        <row r="32">
          <cell r="C32">
            <v>1</v>
          </cell>
        </row>
      </sheetData>
      <sheetData sheetId="17" refreshError="1"/>
      <sheetData sheetId="18" refreshError="1"/>
      <sheetData sheetId="19">
        <row r="32">
          <cell r="C32">
            <v>1</v>
          </cell>
        </row>
      </sheetData>
      <sheetData sheetId="20"/>
      <sheetData sheetId="21"/>
      <sheetData sheetId="22" refreshError="1"/>
      <sheetData sheetId="2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Hardware Inventory"/>
      <sheetName val="Deleted Devices"/>
      <sheetName val="Rack Elevations "/>
      <sheetName val="Validations"/>
      <sheetName val="Change Log"/>
      <sheetName val="Storage"/>
    </sheetNames>
    <sheetDataSet>
      <sheetData sheetId="0">
        <row r="3">
          <cell r="F3">
            <v>0</v>
          </cell>
        </row>
      </sheetData>
      <sheetData sheetId="1">
        <row r="3">
          <cell r="F3">
            <v>0</v>
          </cell>
        </row>
      </sheetData>
      <sheetData sheetId="2"/>
      <sheetData sheetId="3">
        <row r="3">
          <cell r="F3">
            <v>0</v>
          </cell>
        </row>
      </sheetData>
      <sheetData sheetId="4">
        <row r="3">
          <cell r="F3">
            <v>0</v>
          </cell>
        </row>
        <row r="4">
          <cell r="F4">
            <v>1</v>
          </cell>
        </row>
        <row r="5">
          <cell r="F5">
            <v>2</v>
          </cell>
        </row>
        <row r="6">
          <cell r="F6">
            <v>4</v>
          </cell>
        </row>
        <row r="7">
          <cell r="F7">
            <v>6</v>
          </cell>
        </row>
        <row r="8">
          <cell r="F8">
            <v>8</v>
          </cell>
        </row>
      </sheetData>
      <sheetData sheetId="5"/>
      <sheetData sheetId="6"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er Guide"/>
      <sheetName val="Profile"/>
      <sheetName val="Initiatives"/>
      <sheetName val="Costs"/>
      <sheetName val="IT Labor"/>
      <sheetName val="Direct Savings"/>
      <sheetName val="Productivity"/>
      <sheetName val="Revenue"/>
      <sheetName val="KPIs"/>
      <sheetName val="ROI"/>
      <sheetName val="B"/>
      <sheetName val="Reference"/>
      <sheetName val="Storage"/>
    </sheetNames>
    <sheetDataSet>
      <sheetData sheetId="0" refreshError="1"/>
      <sheetData sheetId="1" refreshError="1">
        <row r="32">
          <cell r="D32">
            <v>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ProfitandLoss"/>
      <sheetName val="1-8"/>
      <sheetName val="4"/>
      <sheetName val="9-10"/>
      <sheetName val="Part IV"/>
      <sheetName val="tb"/>
      <sheetName val="SECURITY"/>
      <sheetName val="BS-EDAG-2002"/>
      <sheetName val="Valida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portunity Details"/>
      <sheetName val="BOQ - DC"/>
      <sheetName val="Autocreate IPC sheet"/>
      <sheetName val="Choices"/>
      <sheetName val="Prose"/>
      <sheetName val="Assumptions"/>
      <sheetName val="Actual"/>
    </sheetNames>
    <sheetDataSet>
      <sheetData sheetId="0" refreshError="1"/>
      <sheetData sheetId="1" refreshError="1"/>
      <sheetData sheetId="2" refreshError="1"/>
      <sheetData sheetId="3">
        <row r="3">
          <cell r="R3" t="str">
            <v>Custom VM Config</v>
          </cell>
        </row>
        <row r="4">
          <cell r="R4" t="str">
            <v>L1 (1 Core, 1 GB, 50 GB)</v>
          </cell>
        </row>
        <row r="5">
          <cell r="R5" t="str">
            <v>L2 (2 Core, 2 GB, 50 GB)</v>
          </cell>
        </row>
        <row r="6">
          <cell r="R6" t="str">
            <v>L3 (4 Core, 4 GB, 50 GB)</v>
          </cell>
        </row>
        <row r="7">
          <cell r="R7" t="str">
            <v>L4 (8 Core, 8 GB, 50 GB)</v>
          </cell>
        </row>
        <row r="8">
          <cell r="R8" t="str">
            <v>L5 (16 Core, 16 GB, 50 GB)</v>
          </cell>
        </row>
        <row r="9">
          <cell r="R9" t="str">
            <v>C1 (1 Core, 2 GB, 50 GB)</v>
          </cell>
        </row>
        <row r="10">
          <cell r="R10" t="str">
            <v>C2 (2 Core, 4 GB, 50 GB)</v>
          </cell>
        </row>
        <row r="11">
          <cell r="A11" t="str">
            <v>Switch</v>
          </cell>
          <cell r="R11" t="str">
            <v>C3 (4 Core, 8 GB, 50 GB)</v>
          </cell>
        </row>
        <row r="12">
          <cell r="A12" t="str">
            <v>LB</v>
          </cell>
          <cell r="R12" t="str">
            <v>C4 (6 Core, 12 GB, 50 GB)</v>
          </cell>
        </row>
        <row r="13">
          <cell r="A13" t="str">
            <v>Firewall</v>
          </cell>
          <cell r="R13" t="str">
            <v>C5 (8 Core, 16 GB, 50 GB)</v>
          </cell>
        </row>
        <row r="14">
          <cell r="A14" t="str">
            <v>IDPS</v>
          </cell>
          <cell r="R14" t="str">
            <v>C6 (16 Core, 32 GB, 100 GB)</v>
          </cell>
        </row>
        <row r="15">
          <cell r="A15" t="str">
            <v>WAF</v>
          </cell>
          <cell r="R15" t="str">
            <v>G1 (1 Core, 4 GB, 50 GB)</v>
          </cell>
        </row>
        <row r="16">
          <cell r="A16" t="str">
            <v>DDoSHardware</v>
          </cell>
          <cell r="R16" t="str">
            <v>G2 (2 Core, 8 GB, 50 GB)</v>
          </cell>
        </row>
        <row r="17">
          <cell r="A17" t="str">
            <v>DDoS Network</v>
          </cell>
          <cell r="R17" t="str">
            <v>G3 (4 Core, 16 GB, 50 GB)</v>
          </cell>
        </row>
        <row r="18">
          <cell r="A18" t="str">
            <v>Addnl Site-Site VPN (for VDOM)</v>
          </cell>
          <cell r="I18" t="str">
            <v>VMWare</v>
          </cell>
          <cell r="R18" t="str">
            <v>G4 (6 Core, 24 GB, 50 GB)</v>
          </cell>
        </row>
        <row r="19">
          <cell r="A19" t="str">
            <v>Addnl Client-Site VPN (for VDOM)</v>
          </cell>
          <cell r="R19" t="str">
            <v>G5 (8 Core, 32 GB, 100 GB)</v>
          </cell>
        </row>
        <row r="20">
          <cell r="R20" t="str">
            <v>G6 (16 Core, 64 GB, 100 GB)</v>
          </cell>
        </row>
        <row r="21">
          <cell r="R21" t="str">
            <v>G7 (32 Core, 128 GB, 200 GB)</v>
          </cell>
        </row>
        <row r="22">
          <cell r="R22" t="str">
            <v>M1 (1 Core, 8 GB, 50 GB)</v>
          </cell>
        </row>
        <row r="23">
          <cell r="R23" t="str">
            <v>M2 (2 Core, 16 GB, 50 GB)</v>
          </cell>
        </row>
        <row r="24">
          <cell r="R24" t="str">
            <v>M3 (4 Core, 32 GB, 100 GB)</v>
          </cell>
        </row>
        <row r="25">
          <cell r="R25" t="str">
            <v>M4 (8 Core, 64 GB, 100 GB)</v>
          </cell>
        </row>
        <row r="26">
          <cell r="R26" t="str">
            <v>M5 (16 Core, 128 GB, 200 GB)</v>
          </cell>
        </row>
        <row r="27">
          <cell r="R27" t="str">
            <v>H1 (4 Core, 64 GB, 200 GB)</v>
          </cell>
        </row>
        <row r="28">
          <cell r="R28" t="str">
            <v>H2 (8 Core, 128 GB, 200 GB)</v>
          </cell>
        </row>
        <row r="29">
          <cell r="R29" t="str">
            <v>H3 (16 Core, 256 GB, 256 GB)</v>
          </cell>
        </row>
        <row r="30">
          <cell r="R30" t="str">
            <v>H4 (32 Core, 512 GB, 512 GB)</v>
          </cell>
        </row>
        <row r="32">
          <cell r="G32" t="str">
            <v>#</v>
          </cell>
        </row>
        <row r="33">
          <cell r="G33" t="str">
            <v># of Core</v>
          </cell>
        </row>
        <row r="34">
          <cell r="G34" t="str">
            <v># of Licesnes</v>
          </cell>
        </row>
        <row r="35">
          <cell r="G35" t="str">
            <v>GB of RAM</v>
          </cell>
        </row>
        <row r="36">
          <cell r="G36" t="str">
            <v>MB</v>
          </cell>
        </row>
        <row r="37">
          <cell r="G37" t="str">
            <v>GB</v>
          </cell>
        </row>
        <row r="38">
          <cell r="G38" t="str">
            <v>TB</v>
          </cell>
        </row>
        <row r="39">
          <cell r="A39" t="str">
            <v>Production</v>
          </cell>
          <cell r="G39" t="str">
            <v>Kbps</v>
          </cell>
        </row>
        <row r="40">
          <cell r="A40" t="str">
            <v>Development</v>
          </cell>
          <cell r="G40" t="str">
            <v>Mbps</v>
          </cell>
        </row>
        <row r="41">
          <cell r="A41" t="str">
            <v>UAT</v>
          </cell>
          <cell r="G41" t="str">
            <v>Gbps</v>
          </cell>
        </row>
        <row r="42">
          <cell r="A42" t="str">
            <v>QA</v>
          </cell>
        </row>
        <row r="43">
          <cell r="A43" t="str">
            <v>Others</v>
          </cell>
        </row>
      </sheetData>
      <sheetData sheetId="4" refreshError="1"/>
      <sheetData sheetId="5" refreshError="1"/>
      <sheetData sheetId="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portunity Details"/>
      <sheetName val="BOQ - DC"/>
      <sheetName val="Autocreate IPC sheet"/>
      <sheetName val="Choices"/>
      <sheetName val="Prose"/>
      <sheetName val="Assumptions"/>
      <sheetName val="Actual"/>
    </sheetNames>
    <sheetDataSet>
      <sheetData sheetId="0" refreshError="1"/>
      <sheetData sheetId="1" refreshError="1"/>
      <sheetData sheetId="2" refreshError="1"/>
      <sheetData sheetId="3">
        <row r="3">
          <cell r="R3" t="str">
            <v>Custom VM Config</v>
          </cell>
        </row>
        <row r="4">
          <cell r="R4" t="str">
            <v>L1 (1 Core, 1 GB, 50 GB)</v>
          </cell>
        </row>
        <row r="5">
          <cell r="R5" t="str">
            <v>L2 (2 Core, 2 GB, 50 GB)</v>
          </cell>
        </row>
        <row r="6">
          <cell r="R6" t="str">
            <v>L3 (4 Core, 4 GB, 50 GB)</v>
          </cell>
        </row>
        <row r="7">
          <cell r="R7" t="str">
            <v>L4 (8 Core, 8 GB, 50 GB)</v>
          </cell>
        </row>
        <row r="8">
          <cell r="R8" t="str">
            <v>L5 (16 Core, 16 GB, 50 GB)</v>
          </cell>
        </row>
        <row r="9">
          <cell r="R9" t="str">
            <v>C1 (1 Core, 2 GB, 50 GB)</v>
          </cell>
        </row>
        <row r="10">
          <cell r="R10" t="str">
            <v>C2 (2 Core, 4 GB, 50 GB)</v>
          </cell>
        </row>
        <row r="11">
          <cell r="A11" t="str">
            <v>Switch</v>
          </cell>
          <cell r="R11" t="str">
            <v>C3 (4 Core, 8 GB, 50 GB)</v>
          </cell>
        </row>
        <row r="12">
          <cell r="A12" t="str">
            <v>LB</v>
          </cell>
          <cell r="R12" t="str">
            <v>C4 (6 Core, 12 GB, 50 GB)</v>
          </cell>
        </row>
        <row r="13">
          <cell r="A13" t="str">
            <v>Firewall</v>
          </cell>
          <cell r="R13" t="str">
            <v>C5 (8 Core, 16 GB, 50 GB)</v>
          </cell>
        </row>
        <row r="14">
          <cell r="A14" t="str">
            <v>IDPS</v>
          </cell>
          <cell r="R14" t="str">
            <v>C6 (16 Core, 32 GB, 100 GB)</v>
          </cell>
        </row>
        <row r="15">
          <cell r="A15" t="str">
            <v>WAF</v>
          </cell>
          <cell r="R15" t="str">
            <v>G1 (1 Core, 4 GB, 50 GB)</v>
          </cell>
        </row>
        <row r="16">
          <cell r="A16" t="str">
            <v>DDoSHardware</v>
          </cell>
          <cell r="R16" t="str">
            <v>G2 (2 Core, 8 GB, 50 GB)</v>
          </cell>
        </row>
        <row r="17">
          <cell r="A17" t="str">
            <v>DDoS Network</v>
          </cell>
          <cell r="R17" t="str">
            <v>G3 (4 Core, 16 GB, 50 GB)</v>
          </cell>
        </row>
        <row r="18">
          <cell r="A18" t="str">
            <v>Addnl Site-Site VPN (for VDOM)</v>
          </cell>
          <cell r="I18" t="str">
            <v>VMWare</v>
          </cell>
          <cell r="R18" t="str">
            <v>G4 (6 Core, 24 GB, 50 GB)</v>
          </cell>
        </row>
        <row r="19">
          <cell r="A19" t="str">
            <v>Addnl Client-Site VPN (for VDOM)</v>
          </cell>
          <cell r="R19" t="str">
            <v>G5 (8 Core, 32 GB, 100 GB)</v>
          </cell>
        </row>
        <row r="20">
          <cell r="R20" t="str">
            <v>G6 (16 Core, 64 GB, 100 GB)</v>
          </cell>
        </row>
        <row r="21">
          <cell r="R21" t="str">
            <v>G7 (32 Core, 128 GB, 200 GB)</v>
          </cell>
        </row>
        <row r="22">
          <cell r="R22" t="str">
            <v>M1 (1 Core, 8 GB, 50 GB)</v>
          </cell>
        </row>
        <row r="23">
          <cell r="R23" t="str">
            <v>M2 (2 Core, 16 GB, 50 GB)</v>
          </cell>
        </row>
        <row r="24">
          <cell r="R24" t="str">
            <v>M3 (4 Core, 32 GB, 100 GB)</v>
          </cell>
        </row>
        <row r="25">
          <cell r="R25" t="str">
            <v>M4 (8 Core, 64 GB, 100 GB)</v>
          </cell>
        </row>
        <row r="26">
          <cell r="R26" t="str">
            <v>M5 (16 Core, 128 GB, 200 GB)</v>
          </cell>
        </row>
        <row r="27">
          <cell r="R27" t="str">
            <v>H1 (4 Core, 64 GB, 200 GB)</v>
          </cell>
        </row>
        <row r="28">
          <cell r="R28" t="str">
            <v>H2 (8 Core, 128 GB, 200 GB)</v>
          </cell>
        </row>
        <row r="29">
          <cell r="R29" t="str">
            <v>H3 (16 Core, 256 GB, 256 GB)</v>
          </cell>
        </row>
        <row r="30">
          <cell r="R30" t="str">
            <v>H4 (32 Core, 512 GB, 512 GB)</v>
          </cell>
        </row>
        <row r="32">
          <cell r="G32" t="str">
            <v>#</v>
          </cell>
        </row>
        <row r="33">
          <cell r="G33" t="str">
            <v># of Core</v>
          </cell>
        </row>
        <row r="34">
          <cell r="G34" t="str">
            <v># of Licesnes</v>
          </cell>
        </row>
        <row r="35">
          <cell r="G35" t="str">
            <v>GB of RAM</v>
          </cell>
        </row>
        <row r="36">
          <cell r="G36" t="str">
            <v>MB</v>
          </cell>
        </row>
        <row r="37">
          <cell r="G37" t="str">
            <v>GB</v>
          </cell>
        </row>
        <row r="38">
          <cell r="G38" t="str">
            <v>TB</v>
          </cell>
        </row>
        <row r="39">
          <cell r="A39" t="str">
            <v>Production</v>
          </cell>
          <cell r="G39" t="str">
            <v>Kbps</v>
          </cell>
        </row>
        <row r="40">
          <cell r="A40" t="str">
            <v>Development</v>
          </cell>
          <cell r="G40" t="str">
            <v>Mbps</v>
          </cell>
        </row>
        <row r="41">
          <cell r="A41" t="str">
            <v>UAT</v>
          </cell>
          <cell r="G41" t="str">
            <v>Gbps</v>
          </cell>
        </row>
        <row r="42">
          <cell r="A42" t="str">
            <v>QA</v>
          </cell>
        </row>
        <row r="43">
          <cell r="A43" t="str">
            <v>Others</v>
          </cell>
        </row>
      </sheetData>
      <sheetData sheetId="4" refreshError="1"/>
      <sheetData sheetId="5" refreshError="1"/>
      <sheetData sheetId="6"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External Assurance"/>
      <sheetName val="Security Fundamentals"/>
      <sheetName val="Security Procedures"/>
      <sheetName val="Life Safety &amp; ERP"/>
      <sheetName val="Base data Security Fundamentals"/>
      <sheetName val="Base data Security Procedures"/>
      <sheetName val="Base data - Life Safety"/>
      <sheetName val="Design"/>
      <sheetName val="Wall W3"/>
      <sheetName val="nxR8i"/>
      <sheetName val="ms net"/>
      <sheetName val="1-8"/>
    </sheetNames>
    <sheetDataSet>
      <sheetData sheetId="0" refreshError="1"/>
      <sheetData sheetId="1" refreshError="1"/>
      <sheetData sheetId="2" refreshError="1"/>
      <sheetData sheetId="3" refreshError="1"/>
      <sheetData sheetId="4" refreshError="1"/>
      <sheetData sheetId="5" refreshError="1"/>
      <sheetData sheetId="6">
        <row r="116">
          <cell r="D116" t="str">
            <v>None</v>
          </cell>
        </row>
        <row r="117">
          <cell r="D117" t="str">
            <v>Employee Awareness - Training Sessions</v>
          </cell>
        </row>
        <row r="118">
          <cell r="D118" t="str">
            <v>Awareness Posters</v>
          </cell>
        </row>
        <row r="119">
          <cell r="D119" t="str">
            <v>Electronic Surveillance</v>
          </cell>
        </row>
        <row r="120">
          <cell r="D120" t="str">
            <v>RFID active tags</v>
          </cell>
        </row>
        <row r="121">
          <cell r="D121" t="str">
            <v>Others Specify</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tem"/>
      <sheetName val="Hinweise"/>
      <sheetName val="Grafik"/>
      <sheetName val="Überblick"/>
      <sheetName val="Partition"/>
      <sheetName val="Warnungen"/>
      <sheetName val="Slots"/>
      <sheetName val="Kabelplan"/>
      <sheetName val="Planungsdaten"/>
      <sheetName val="Kabelplan2"/>
      <sheetName val="Hausanschlüsse"/>
      <sheetName val="MirrorMode"/>
      <sheetName val="Storage"/>
      <sheetName val="Leistungswerte"/>
      <sheetName val="Module"/>
      <sheetName val="1-8"/>
      <sheetName val="Base data Security Procedures"/>
      <sheetName val="V8 Calculator Stage 1 Prd"/>
      <sheetName val="Predict Data Poi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tem"/>
      <sheetName val="Hinweise"/>
      <sheetName val="Grafik"/>
      <sheetName val="Überblick"/>
      <sheetName val="Partition"/>
      <sheetName val="Warnungen"/>
      <sheetName val="Slots"/>
      <sheetName val="Kabelplan"/>
      <sheetName val="Planungsdaten"/>
      <sheetName val="Kabelplan2"/>
      <sheetName val="Hausanschlüsse"/>
      <sheetName val="MirrorMode"/>
      <sheetName val="Storage"/>
      <sheetName val="Leistungswerte"/>
      <sheetName val="Module"/>
      <sheetName val="1-8"/>
      <sheetName val="Base data Security Procedures"/>
      <sheetName val="V8 Calculator Stage 1 Prd"/>
      <sheetName val="Predict Data Poi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iable"/>
      <sheetName val="SkLabVariable"/>
      <sheetName val="OtherVariable"/>
      <sheetName val="YearlyVariable"/>
      <sheetName val="SkLabMonthlyVariable"/>
      <sheetName val="OtherMonthlyVariable"/>
      <sheetName val="Bid_Information"/>
      <sheetName val="Skilled_Labor_Input"/>
      <sheetName val="Other_Input"/>
      <sheetName val="Tiered_Pricing"/>
      <sheetName val="RatebySkillNoTierPr"/>
      <sheetName val="RatebySkillTierPr"/>
      <sheetName val="BlendLumpSum"/>
      <sheetName val="BlendNoLumpSum"/>
      <sheetName val="FixedTierPr"/>
      <sheetName val="FixedLumpSum"/>
      <sheetName val="FixedNoLumpSum"/>
      <sheetName val="OtherPricing"/>
      <sheetName val="PassThru"/>
      <sheetName val="Billing_Schedule"/>
      <sheetName val="Cost_Detail"/>
      <sheetName val="Report"/>
      <sheetName val="Tables"/>
      <sheetName val="Price_Grids"/>
      <sheetName val="Lite"/>
      <sheetName val="Blank_Sheet1"/>
      <sheetName val="Blank_Sheet2"/>
      <sheetName val="Blank_Sheet3"/>
      <sheetName val="US_Report"/>
      <sheetName val="Currency_Report"/>
      <sheetName val="Group_Reports"/>
      <sheetName val="Service_Reports"/>
      <sheetName val="Service_Reports_Detail"/>
      <sheetName val="Gross_vs_Net"/>
      <sheetName val="ModCurrInfl"/>
      <sheetName val="ModLoadTables"/>
      <sheetName val="Startup"/>
      <sheetName val="ModLinda"/>
      <sheetName val="modbijoorkbshortcuts"/>
      <sheetName val="modBidSetup"/>
      <sheetName val="modPopBidInfo"/>
      <sheetName val="modUtility"/>
      <sheetName val="modInit"/>
      <sheetName val="modbijoor"/>
      <sheetName val="modPaul"/>
      <sheetName val="modUpgrade"/>
      <sheetName val="ModUpdateLoc"/>
      <sheetName val="AutoUpdate"/>
      <sheetName val="Überblick"/>
    </sheetNames>
    <sheetDataSet>
      <sheetData sheetId="0"/>
      <sheetData sheetId="1"/>
      <sheetData sheetId="2"/>
      <sheetData sheetId="3"/>
      <sheetData sheetId="4"/>
      <sheetData sheetId="5"/>
      <sheetData sheetId="6"/>
      <sheetData sheetId="7"/>
      <sheetData sheetId="8" refreshError="1">
        <row r="124">
          <cell r="GA124">
            <v>0</v>
          </cell>
        </row>
        <row r="237">
          <cell r="GA237">
            <v>0</v>
          </cell>
        </row>
        <row r="463">
          <cell r="GA463">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eas"/>
      <sheetName val="Overall Summary"/>
      <sheetName val="Basement Summary"/>
      <sheetName val="Basement Budget"/>
      <sheetName val="Podium Summary"/>
      <sheetName val="Podium Budgets"/>
      <sheetName val="Guestroom Summary"/>
      <sheetName val="Guestroom Budget"/>
      <sheetName val="Sitework Summary"/>
      <sheetName val="Sitework Budget"/>
      <sheetName val="Headings"/>
      <sheetName val="TBAL9697 -group wise  sdpl"/>
      <sheetName val="PANEL ANNEXURE"/>
      <sheetName val="PCS"/>
      <sheetName val="Estimate"/>
      <sheetName val="Cost summary"/>
      <sheetName val="GM &amp; TA"/>
      <sheetName val="beam-reinft"/>
      <sheetName val="Micro"/>
      <sheetName val="Macro"/>
      <sheetName val="Scaff-Rose"/>
      <sheetName val="Break up Sheet"/>
      <sheetName val="Rate analysis"/>
      <sheetName val="INPUT SHEET"/>
      <sheetName val="RES-PLANNING"/>
      <sheetName val="LIST OF MAKES"/>
      <sheetName val="Material "/>
      <sheetName val="Labour &amp; Plant"/>
      <sheetName val="Voucher"/>
      <sheetName val="Balustrade"/>
      <sheetName val="Data"/>
      <sheetName val="Master Sheet"/>
      <sheetName val="Site Dev BOQ"/>
      <sheetName val="Sheet2"/>
      <sheetName val="Timesheet"/>
      <sheetName val="FACTOR"/>
      <sheetName val="Sheet1"/>
      <sheetName val="Indices"/>
      <sheetName val="Lead"/>
      <sheetName val="dBase"/>
      <sheetName val="HPL"/>
      <sheetName val="Fill this out first..."/>
      <sheetName val="预算"/>
      <sheetName val="PUMP"/>
      <sheetName val="96수출"/>
      <sheetName val="Costing"/>
      <sheetName val="VALIDATIONS"/>
      <sheetName val="X rate"/>
      <sheetName val="월선수금"/>
      <sheetName val="Summary year Plan"/>
      <sheetName val="Macro1"/>
      <sheetName val="Template-Design Devt Estimate"/>
      <sheetName val="Sheet4"/>
      <sheetName val="CFForecast detail"/>
      <sheetName val="Design"/>
      <sheetName val="3. Elemental Summary"/>
      <sheetName val="9. Package split - Cost "/>
      <sheetName val="12a. CFTable"/>
      <sheetName val="Legend"/>
      <sheetName val="10. &amp; 11. Rate Code &amp; BQ"/>
      <sheetName val="Input"/>
      <sheetName val="Break_Up"/>
      <sheetName val="RESULT"/>
      <sheetName val="dlvoid"/>
      <sheetName val="GBW"/>
      <sheetName val="Fin"/>
      <sheetName val="Area"/>
      <sheetName val="Intro"/>
      <sheetName val="PRECAST lightconc-II"/>
      <sheetName val="E150-4"/>
      <sheetName val="Masters"/>
      <sheetName val="Testing"/>
      <sheetName val="final estimate"/>
      <sheetName val="horizontal"/>
      <sheetName val="RMZ Summary"/>
      <sheetName val="Staff Acco."/>
      <sheetName val="Fin. Assumpt. - Sensitivities"/>
      <sheetName val="Misc.Liq"/>
      <sheetName val="Results"/>
      <sheetName val="Invoice"/>
      <sheetName val="Working"/>
      <sheetName val="Conc"/>
      <sheetName val="Codes"/>
      <sheetName val="S 2"/>
      <sheetName val="Background"/>
      <sheetName val="Overall_Summary"/>
      <sheetName val="Basement_Summary"/>
      <sheetName val="Basement_Budget"/>
      <sheetName val="Podium_Summary"/>
      <sheetName val="Podium_Budgets"/>
      <sheetName val="Guestroom_Summary"/>
      <sheetName val="Guestroom_Budget"/>
      <sheetName val="Sitework_Summary"/>
      <sheetName val="Sitework_Budget"/>
      <sheetName val="TBAL9697_-group_wise__sdpl"/>
      <sheetName val="Cost_summary"/>
      <sheetName val="GM_&amp;_TA"/>
      <sheetName val="PANEL_ANNEXURE"/>
      <sheetName val="Break_up_Sheet"/>
      <sheetName val="Rate_analysis"/>
      <sheetName val="INPUT_SHEET"/>
      <sheetName val="LIST_OF_MAKES"/>
      <sheetName val="Material_"/>
      <sheetName val="Labour_&amp;_Plant"/>
      <sheetName val="Master_Sheet"/>
      <sheetName val="Site_Dev_BOQ"/>
      <sheetName val="Substation"/>
      <sheetName val="ABB"/>
      <sheetName val="Base data Security Procedures"/>
      <sheetName val="Project Budget Worksheet"/>
      <sheetName val="BOQ"/>
      <sheetName val="loadcal"/>
      <sheetName val="GF Columns"/>
      <sheetName val="IO LIST"/>
      <sheetName val="협조전"/>
      <sheetName val="Sheet14"/>
      <sheetName val="Sheet15"/>
      <sheetName val="I-CO"/>
      <sheetName val="P&amp;L"/>
      <sheetName val="Phase 1"/>
      <sheetName val="Phase 2"/>
      <sheetName val="Pay_Sep06"/>
      <sheetName val="Pay Rec"/>
      <sheetName val="Assumptions"/>
      <sheetName val="Other Inc"/>
      <sheetName val="F&amp;B"/>
      <sheetName val="Admin"/>
      <sheetName val="Room Rev"/>
      <sheetName val="SMS Format"/>
      <sheetName val="External"/>
      <sheetName val="SUPPLY -Sanitary Fixtures"/>
      <sheetName val="ITEMS FOR CIVIL TENDER"/>
      <sheetName val="Sheet3"/>
      <sheetName val="analysis"/>
      <sheetName val="Global Assm."/>
      <sheetName val="PointNo.5"/>
      <sheetName val="Summary"/>
      <sheetName val="ESTIMATE for approval"/>
      <sheetName val="NPV"/>
      <sheetName val="Construction"/>
      <sheetName val="GreenSheet"/>
      <sheetName val="Basic Rates"/>
      <sheetName val="07016, Master List-Major Minor"/>
      <sheetName val="HEAD"/>
      <sheetName val="MASTER_RATE ANALYSIS"/>
      <sheetName val="Factors"/>
      <sheetName val="Build-up"/>
      <sheetName val="introduction"/>
      <sheetName val=" B3"/>
      <sheetName val=" B1"/>
      <sheetName val="Extra Item"/>
      <sheetName val="Database"/>
      <sheetName val="SCHEDULE"/>
      <sheetName val="schedule nos"/>
      <sheetName val="AutoOpen Stub Data"/>
      <sheetName val="Guidelines"/>
      <sheetName val="INDIGINEOUS ITEMS "/>
      <sheetName val="os liabilities analysis"/>
      <sheetName val="#REF"/>
      <sheetName val="Maint"/>
      <sheetName val="Kitchen"/>
      <sheetName val="Housek"/>
      <sheetName val="Intaccrual"/>
      <sheetName val="SBU"/>
      <sheetName val="tdint"/>
      <sheetName val="LOM_MOD"/>
      <sheetName val="Variables"/>
      <sheetName val="3cd Annexure"/>
      <sheetName val="Reference Information"/>
      <sheetName val="Employee List"/>
      <sheetName val="Sales Office"/>
      <sheetName val="HVAC1"/>
      <sheetName val="SECURITY 1"/>
      <sheetName val="collections plan 0401"/>
      <sheetName val="DB_REL_SIDC_UP"/>
      <sheetName val="Other_Input"/>
      <sheetName val="sept-plan"/>
      <sheetName val="Civil Boq"/>
      <sheetName val="Traffic"/>
      <sheetName val="Area St"/>
      <sheetName val="Sump_cal"/>
      <sheetName val="Estimation"/>
      <sheetName val="FORM7"/>
      <sheetName val="sqn_ldr_3 Unit_2_"/>
      <sheetName val="Assumption Inputs"/>
      <sheetName val="Cal"/>
      <sheetName val="labour coeff"/>
      <sheetName val="Msht-Int-Msht-GF"/>
      <sheetName val="Detail"/>
      <sheetName val="ISO RECON"/>
      <sheetName val="Back filling"/>
      <sheetName val="NT items summary"/>
      <sheetName val="Vehicles"/>
      <sheetName val="VCH-SLC"/>
      <sheetName val="Supplier"/>
      <sheetName val="Wordsdata"/>
      <sheetName val="item"/>
      <sheetName val="LOCAL RATES"/>
      <sheetName val="Meas.-Hotel Part"/>
      <sheetName val="Risk &amp; Opportunities"/>
      <sheetName val="PROG_DATA"/>
      <sheetName val="type ahead combo"/>
      <sheetName val="adp-budget"/>
      <sheetName val="Constants"/>
      <sheetName val="labour rates"/>
      <sheetName val="Msht 5F"/>
      <sheetName val="Cont"/>
      <sheetName val="RCC,Ret. Wall"/>
      <sheetName val="Fill_this_out_first___"/>
      <sheetName val="電気設備表"/>
      <sheetName val="COST"/>
      <sheetName val="Master"/>
      <sheetName val="FTE Totals_Plan"/>
      <sheetName val="Masonry"/>
      <sheetName val="Assmpns"/>
      <sheetName val="Erection grider"/>
      <sheetName val="doq"/>
      <sheetName val="keyword"/>
      <sheetName val="p&amp;m"/>
      <sheetName val="Order Info"/>
      <sheetName val="BoQ-1"/>
      <sheetName val="BoQ-2"/>
      <sheetName val="INDEX"/>
      <sheetName val="DATA BOQ"/>
      <sheetName val="zone-8"/>
      <sheetName val="MHNO_LEV"/>
      <sheetName val="PA- Consutant "/>
      <sheetName val="PEDESB"/>
      <sheetName val="HOLIDAY LIST"/>
      <sheetName val="DASH BOARD"/>
      <sheetName val="#REF!"/>
      <sheetName val="재1"/>
      <sheetName val="Status Control Sheet"/>
      <sheetName val="Hardware"/>
      <sheetName val="Dimensions"/>
      <sheetName val="crews"/>
      <sheetName val="Overall_Summary1"/>
      <sheetName val="Basement_Summary1"/>
      <sheetName val="Basement_Budget1"/>
      <sheetName val="Podium_Summary1"/>
      <sheetName val="Podium_Budgets1"/>
      <sheetName val="Guestroom_Summary1"/>
      <sheetName val="Guestroom_Budget1"/>
      <sheetName val="Sitework_Summary1"/>
      <sheetName val="Sitework_Budget1"/>
      <sheetName val="GM_&amp;_TA1"/>
      <sheetName val="Break_up_Sheet1"/>
      <sheetName val="Rate_analysis1"/>
      <sheetName val="LIST_OF_MAKES1"/>
      <sheetName val="Cost_summary1"/>
      <sheetName val="Master_Sheet1"/>
      <sheetName val="TBAL9697_-group_wise__sdpl1"/>
      <sheetName val="INPUT_SHEET1"/>
      <sheetName val="PANEL_ANNEXURE1"/>
      <sheetName val="Site_Dev_BOQ1"/>
      <sheetName val="Staff_Acco_"/>
      <sheetName val="Template-Design_Devt_Estimate"/>
      <sheetName val="Material_1"/>
      <sheetName val="Labour_&amp;_Plant1"/>
      <sheetName val="final_estimate"/>
      <sheetName val="CFForecast_detail"/>
      <sheetName val="3__Elemental_Summary"/>
      <sheetName val="9__Package_split_-_Cost_"/>
      <sheetName val="12a__CFTable"/>
      <sheetName val="10__&amp;_11__Rate_Code_&amp;_BQ"/>
      <sheetName val="PRECAST_lightconc-II"/>
      <sheetName val="Fin__Assumpt__-_Sensitivities"/>
      <sheetName val="SUPPLY_-Sanitary_Fixtures"/>
      <sheetName val="ITEMS_FOR_CIVIL_TENDER"/>
      <sheetName val="Global_Assm_"/>
      <sheetName val="X_rate"/>
      <sheetName val="PointNo_5"/>
      <sheetName val="Misc_Liq"/>
      <sheetName val="RMZ_Summary"/>
      <sheetName val="Project_Budget_Worksheet"/>
      <sheetName val="Base_data_Security_Procedures"/>
      <sheetName val="GF_Columns"/>
      <sheetName val="IO_LIST"/>
      <sheetName val="AutoOpen_Stub_Data"/>
      <sheetName val="Phase_1"/>
      <sheetName val="Phase_2"/>
      <sheetName val="Pay_Rec"/>
      <sheetName val="Other_Inc"/>
      <sheetName val="Room_Rev"/>
      <sheetName val="SMS_Format"/>
      <sheetName val="S_2"/>
      <sheetName val="ESTIMATE_for_approval"/>
      <sheetName val="Summary_year_Plan"/>
      <sheetName val="07016,_Master_List-Major_Minor"/>
      <sheetName val="Basic_Rates"/>
      <sheetName val="MASTER_RATE_ANALYSIS"/>
      <sheetName val="INDIGINEOUS_ITEMS_"/>
      <sheetName val="Extra_Item"/>
      <sheetName val="schedule_nos"/>
      <sheetName val="_B3"/>
      <sheetName val="_B1"/>
      <sheetName val="collections_plan_0401"/>
      <sheetName val="SECURITY_1"/>
      <sheetName val="Reference_Information"/>
      <sheetName val="Employee_List"/>
      <sheetName val="Sales_Office"/>
      <sheetName val="3cd_Annexure"/>
      <sheetName val="Assumption_Inputs"/>
      <sheetName val="Civil_Boq"/>
      <sheetName val="Risk_&amp;_Opportunities"/>
      <sheetName val="type_ahead_combo"/>
      <sheetName val="os_liabilities_analysis"/>
      <sheetName val="Area_St"/>
      <sheetName val="Msht_5F"/>
      <sheetName val="sqn_ldr_3_Unit_2_"/>
      <sheetName val="labour_coeff"/>
      <sheetName val="Overall_Summary2"/>
      <sheetName val="Basement_Summary2"/>
      <sheetName val="Basement_Budget2"/>
      <sheetName val="Podium_Summary2"/>
      <sheetName val="Podium_Budgets2"/>
      <sheetName val="Guestroom_Summary2"/>
      <sheetName val="Guestroom_Budget2"/>
      <sheetName val="Sitework_Summary2"/>
      <sheetName val="Sitework_Budget2"/>
      <sheetName val="GM_&amp;_TA2"/>
      <sheetName val="TBAL9697_-group_wise__sdpl2"/>
      <sheetName val="PANEL_ANNEXURE2"/>
      <sheetName val="Cost_summary2"/>
      <sheetName val="Break_up_Sheet2"/>
      <sheetName val="Rate_analysis2"/>
      <sheetName val="INPUT_SHEET2"/>
      <sheetName val="LIST_OF_MAKES2"/>
      <sheetName val="Material_2"/>
      <sheetName val="Labour_&amp;_Plant2"/>
      <sheetName val="Master_Sheet2"/>
      <sheetName val="Site_Dev_BOQ2"/>
      <sheetName val="Overall_Summary3"/>
      <sheetName val="Basement_Summary3"/>
      <sheetName val="Basement_Budget3"/>
      <sheetName val="Podium_Summary3"/>
      <sheetName val="Podium_Budgets3"/>
      <sheetName val="Guestroom_Summary3"/>
      <sheetName val="Guestroom_Budget3"/>
      <sheetName val="Sitework_Summary3"/>
      <sheetName val="Sitework_Budget3"/>
      <sheetName val="GM_&amp;_TA3"/>
      <sheetName val="TBAL9697_-group_wise__sdpl3"/>
      <sheetName val="X_rate1"/>
      <sheetName val="Cost_summary3"/>
      <sheetName val="PANEL_ANNEXURE3"/>
      <sheetName val="LIST_OF_MAKES3"/>
      <sheetName val="Break_up_Sheet3"/>
      <sheetName val="Rate_analysis3"/>
      <sheetName val="INPUT_SHEET3"/>
      <sheetName val="Master_Sheet3"/>
      <sheetName val="Material_3"/>
      <sheetName val="Labour_&amp;_Plant3"/>
      <sheetName val="Site_Dev_BOQ3"/>
      <sheetName val="CFForecast_detail1"/>
      <sheetName val="3__Elemental_Summary1"/>
      <sheetName val="9__Package_split_-_Cost_1"/>
      <sheetName val="12a__CFTable1"/>
      <sheetName val="10__&amp;_11__Rate_Code_&amp;_BQ1"/>
      <sheetName val="PRECAST_lightconc-II1"/>
      <sheetName val="Fill_this_out_first___1"/>
      <sheetName val="final_estimate1"/>
      <sheetName val="Base_data_Security_Procedures1"/>
      <sheetName val="Fin__Assumpt__-_Sensitivities1"/>
      <sheetName val="Template-Design_Devt_Estimate1"/>
      <sheetName val="Staff_Acco_1"/>
      <sheetName val="Project_Budget_Worksheet1"/>
      <sheetName val="RMZ_Summary1"/>
      <sheetName val="SUPPLY_-Sanitary_Fixtures1"/>
      <sheetName val="ITEMS_FOR_CIVIL_TENDER1"/>
      <sheetName val="Global_Assm_1"/>
      <sheetName val="PointNo_51"/>
      <sheetName val="ESTIMATE_for_approval1"/>
      <sheetName val="Misc_Liq1"/>
      <sheetName val="GF_Columns1"/>
      <sheetName val="IO_LIST1"/>
      <sheetName val="Phase_11"/>
      <sheetName val="Phase_21"/>
      <sheetName val="Pay_Rec1"/>
      <sheetName val="S_21"/>
      <sheetName val="07016,_Master_List-Major_Minor1"/>
      <sheetName val="Other_Inc1"/>
      <sheetName val="Room_Rev1"/>
      <sheetName val="SMS_Format1"/>
      <sheetName val="Basic_Rates1"/>
      <sheetName val="Summary_year_Plan1"/>
      <sheetName val="MASTER_RATE_ANALYSIS1"/>
      <sheetName val="AutoOpen_Stub_Data1"/>
      <sheetName val="INDIGINEOUS_ITEMS_1"/>
      <sheetName val="Extra_Item1"/>
      <sheetName val="schedule_nos1"/>
      <sheetName val="_B31"/>
      <sheetName val="_B11"/>
      <sheetName val="collections_plan_04011"/>
      <sheetName val="SECURITY_11"/>
      <sheetName val="Reference_Information1"/>
      <sheetName val="Employee_List1"/>
      <sheetName val="Sales_Office1"/>
      <sheetName val="3cd_Annexure1"/>
      <sheetName val="Risk_&amp;_Opportunities1"/>
      <sheetName val="Civil_Boq1"/>
      <sheetName val="type_ahead_combo1"/>
      <sheetName val="Assumption_Inputs1"/>
      <sheetName val="os_liabilities_analysis1"/>
      <sheetName val="Area_St1"/>
      <sheetName val="sqn_ldr_3_Unit_2_1"/>
      <sheetName val="labour_coeff1"/>
      <sheetName val="Msht_5F1"/>
      <sheetName val="Position Class"/>
      <sheetName val="Timeoffice"/>
      <sheetName val="maing1"/>
      <sheetName val="Ext Works"/>
      <sheetName val="F1a-Pile"/>
      <sheetName val="Approved MTD Proj #'s"/>
      <sheetName val="M"/>
      <sheetName val="N"/>
      <sheetName val="Budgetary office area"/>
      <sheetName val="BASIS -DEC 08"/>
      <sheetName val="Block A - BOQ"/>
      <sheetName val="Cover"/>
      <sheetName val="Material"/>
      <sheetName val="electr_ work CA "/>
      <sheetName val="L.Chg"/>
      <sheetName val="RA-markate"/>
      <sheetName val="Register"/>
      <sheetName val="d-safe DELUXE"/>
      <sheetName val="Diawise steel abstract"/>
      <sheetName val="RA"/>
      <sheetName val="beam-reinft-IIInd floor"/>
      <sheetName val="Lowside"/>
      <sheetName val="Driveway Beams"/>
      <sheetName val="Mat_Cost"/>
      <sheetName val="LOCAL_RATES"/>
      <sheetName val="PA-_Consutant_"/>
      <sheetName val="ISO_RECON"/>
      <sheetName val="Back_filling"/>
      <sheetName val="NT_items_summary"/>
      <sheetName val="Meas_-Hotel_Part"/>
      <sheetName val="labour_rates"/>
      <sheetName val="RCC,Ret__Wall"/>
      <sheetName val="Erection_grider"/>
      <sheetName val="FTE_Totals_Plan"/>
      <sheetName val="DATA_BOQ"/>
      <sheetName val="Order_Info"/>
      <sheetName val="Building 1"/>
      <sheetName val="Fill_this_out_first___2"/>
      <sheetName val="LOCAL_RATES1"/>
      <sheetName val="PA-_Consutant_1"/>
      <sheetName val="ISO_RECON1"/>
      <sheetName val="Back_filling1"/>
      <sheetName val="NT_items_summary1"/>
      <sheetName val="Meas_-Hotel_Part1"/>
      <sheetName val="labour_rates1"/>
      <sheetName val="RCC,Ret__Wall1"/>
      <sheetName val="Erection_grider1"/>
      <sheetName val="FTE_Totals_Plan1"/>
      <sheetName val="DATA_BOQ1"/>
      <sheetName val="Order_Info1"/>
      <sheetName val="CFForecast_detail2"/>
      <sheetName val="3__Elemental_Summary2"/>
      <sheetName val="9__Package_split_-_Cost_2"/>
      <sheetName val="12a__CFTable2"/>
      <sheetName val="10__&amp;_11__Rate_Code_&amp;_BQ2"/>
      <sheetName val="PRECAST_lightconc-II2"/>
      <sheetName val="Fill_this_out_first___3"/>
      <sheetName val="X_rate2"/>
      <sheetName val="final_estimate2"/>
      <sheetName val="Base_data_Security_Procedures2"/>
      <sheetName val="Fin__Assumpt__-_Sensitivities2"/>
      <sheetName val="Template-Design_Devt_Estimate2"/>
      <sheetName val="Staff_Acco_2"/>
      <sheetName val="Project_Budget_Worksheet2"/>
      <sheetName val="RMZ_Summary2"/>
      <sheetName val="Misc_Liq2"/>
      <sheetName val="SUPPLY_-Sanitary_Fixtures2"/>
      <sheetName val="ITEMS_FOR_CIVIL_TENDER2"/>
      <sheetName val="Global_Assm_2"/>
      <sheetName val="PointNo_52"/>
      <sheetName val="ESTIMATE_for_approval2"/>
      <sheetName val="Phase_12"/>
      <sheetName val="Phase_22"/>
      <sheetName val="Pay_Rec2"/>
      <sheetName val="S_22"/>
      <sheetName val="07016,_Master_List-Major_Minor2"/>
      <sheetName val="Other_Inc2"/>
      <sheetName val="Room_Rev2"/>
      <sheetName val="SMS_Format2"/>
      <sheetName val="MASTER_RATE_ANALYSIS2"/>
      <sheetName val="GF_Columns2"/>
      <sheetName val="IO_LIST2"/>
      <sheetName val="Basic_Rates2"/>
      <sheetName val="Summary_year_Plan2"/>
      <sheetName val="INDIGINEOUS_ITEMS_2"/>
      <sheetName val="Extra_Item2"/>
      <sheetName val="schedule_nos2"/>
      <sheetName val="_B32"/>
      <sheetName val="_B12"/>
      <sheetName val="AutoOpen_Stub_Data2"/>
      <sheetName val="os_liabilities_analysis2"/>
      <sheetName val="3cd_Annexure2"/>
      <sheetName val="Civil_Boq2"/>
      <sheetName val="Assumption_Inputs2"/>
      <sheetName val="labour_coeff2"/>
      <sheetName val="sqn_ldr_3_Unit_2_2"/>
      <sheetName val="Reference_Information2"/>
      <sheetName val="Employee_List2"/>
      <sheetName val="Sales_Office2"/>
      <sheetName val="SECURITY_12"/>
      <sheetName val="Area_St2"/>
      <sheetName val="collections_plan_04012"/>
      <sheetName val="LOCAL_RATES2"/>
      <sheetName val="Msht_5F2"/>
      <sheetName val="Risk_&amp;_Opportunities2"/>
      <sheetName val="PA-_Consutant_2"/>
      <sheetName val="ISO_RECON2"/>
      <sheetName val="Back_filling2"/>
    </sheetNames>
    <sheetDataSet>
      <sheetData sheetId="0"/>
      <sheetData sheetId="1" refreshError="1"/>
      <sheetData sheetId="2"/>
      <sheetData sheetId="3"/>
      <sheetData sheetId="4"/>
      <sheetData sheetId="5" refreshError="1"/>
      <sheetData sheetId="6"/>
      <sheetData sheetId="7" refreshError="1"/>
      <sheetData sheetId="8"/>
      <sheetData sheetId="9" refreshError="1"/>
      <sheetData sheetId="10" refreshError="1"/>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2-Month Sales Forecast"/>
      <sheetName val="BLANK - Sales Forecast"/>
      <sheetName val="Überblick"/>
    </sheetNames>
    <sheetDataSet>
      <sheetData sheetId="0"/>
      <sheetData sheetId="1"/>
      <sheetData sheetId="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O LIST"/>
      <sheetName val="BOQ"/>
      <sheetName val="DDCest-basis"/>
      <sheetName val="Basement Budget"/>
      <sheetName val="PCS"/>
      <sheetName val="Headings"/>
      <sheetName val="LIST OF MAKES"/>
      <sheetName val="factors"/>
      <sheetName val="Indices"/>
      <sheetName val="Civil Works"/>
      <sheetName val="Material "/>
      <sheetName val="Labour &amp; Plant"/>
      <sheetName val="INPUT SHEET"/>
      <sheetName val="RES-PLANNING"/>
      <sheetName val="Extra Item"/>
      <sheetName val="Pay_Sep06"/>
      <sheetName val="F1a-Pile"/>
      <sheetName val="Project Budget Worksheet"/>
      <sheetName val="Voucher"/>
      <sheetName val="Lead"/>
      <sheetName val="Site Dev BOQ"/>
      <sheetName val="strand"/>
      <sheetName val="master"/>
      <sheetName val="IO_LIST"/>
      <sheetName val="Wordsdata"/>
      <sheetName val="item"/>
      <sheetName val="beam-reinft"/>
      <sheetName val="water prop."/>
      <sheetName val="TBAL9697 -group wise  sdpl"/>
      <sheetName val="Detail"/>
      <sheetName val="loadcal"/>
      <sheetName val="GBW"/>
      <sheetName val="Data sheet"/>
      <sheetName val="Assumptions"/>
      <sheetName val="horizontal"/>
      <sheetName val="Intro"/>
      <sheetName val="CFForecast detail"/>
      <sheetName val="Summary"/>
      <sheetName val="HPL"/>
      <sheetName val="Fill this out first..."/>
      <sheetName val="Sens"/>
      <sheetName val="Data"/>
      <sheetName val="BASIS -DEC 08"/>
      <sheetName val="INDIGINEOUS ITEMS "/>
      <sheetName val="预算"/>
      <sheetName val="Estimate"/>
      <sheetName val="calcul"/>
      <sheetName val="INTERIOR"/>
      <sheetName val="RCC,Ret. Wall"/>
      <sheetName val="Masonry"/>
      <sheetName val="OpRes"/>
      <sheetName val="PROG_DATA"/>
      <sheetName val="IO_LIST1"/>
      <sheetName val="Basement_Budget"/>
      <sheetName val="INPUT_SHEET"/>
      <sheetName val="Material_"/>
      <sheetName val="Labour_&amp;_Plant"/>
      <sheetName val="IO_LIST2"/>
      <sheetName val="Basement_Budget1"/>
      <sheetName val="INPUT_SHEET1"/>
      <sheetName val="Material_1"/>
      <sheetName val="Labour_&amp;_Plant1"/>
      <sheetName val="Sheet2"/>
    </sheetNames>
    <sheetDataSet>
      <sheetData sheetId="0" refreshError="1">
        <row r="1">
          <cell r="D1" t="str">
            <v xml:space="preserve">Analog Signals  </v>
          </cell>
          <cell r="G1" t="str">
            <v>Digital Signals</v>
          </cell>
        </row>
        <row r="2">
          <cell r="A2" t="str">
            <v>Sl.no.</v>
          </cell>
          <cell r="B2" t="str">
            <v>Description</v>
          </cell>
          <cell r="C2" t="str">
            <v>Qty</v>
          </cell>
          <cell r="D2" t="str">
            <v>AI Ni 1000</v>
          </cell>
          <cell r="E2" t="str">
            <v>AI 0-10V</v>
          </cell>
          <cell r="F2" t="str">
            <v>AO</v>
          </cell>
          <cell r="G2" t="str">
            <v>DI</v>
          </cell>
          <cell r="H2" t="str">
            <v>DO</v>
          </cell>
          <cell r="I2" t="str">
            <v>Remark</v>
          </cell>
          <cell r="J2" t="str">
            <v>Device from BAS Vendor</v>
          </cell>
          <cell r="K2" t="str">
            <v>Scope of sensor, actuator, contacts, relays, microprocessor unit</v>
          </cell>
          <cell r="L2" t="str">
            <v>stats</v>
          </cell>
          <cell r="M2" t="str">
            <v>sensors</v>
          </cell>
          <cell r="N2" t="str">
            <v>Actuators</v>
          </cell>
          <cell r="O2" t="str">
            <v>valves</v>
          </cell>
        </row>
        <row r="3">
          <cell r="A3" t="str">
            <v>A</v>
          </cell>
          <cell r="B3" t="str">
            <v>ACMV Automation system</v>
          </cell>
        </row>
        <row r="4">
          <cell r="B4" t="str">
            <v>Chillers</v>
          </cell>
        </row>
        <row r="5">
          <cell r="B5" t="str">
            <v>Air Cooled Chillers, water / brine - Qty</v>
          </cell>
          <cell r="I5">
            <v>8</v>
          </cell>
          <cell r="K5" t="str">
            <v>This quantity is assumed and can alter based on design &amp; build scheme of the ACMV contractor</v>
          </cell>
          <cell r="L5">
            <v>0</v>
          </cell>
          <cell r="M5">
            <v>0</v>
          </cell>
          <cell r="N5">
            <v>0</v>
          </cell>
          <cell r="O5">
            <v>0</v>
          </cell>
        </row>
        <row r="6">
          <cell r="A6">
            <v>1</v>
          </cell>
          <cell r="B6" t="str">
            <v>Chiller Enable command</v>
          </cell>
          <cell r="H6">
            <v>8</v>
          </cell>
          <cell r="I6" t="str">
            <v>Command to chiller panel</v>
          </cell>
          <cell r="K6" t="str">
            <v>ACMV Vendor</v>
          </cell>
          <cell r="L6">
            <v>0</v>
          </cell>
          <cell r="M6">
            <v>0</v>
          </cell>
          <cell r="N6">
            <v>0</v>
          </cell>
          <cell r="O6">
            <v>0</v>
          </cell>
        </row>
        <row r="7">
          <cell r="A7">
            <v>2</v>
          </cell>
          <cell r="B7" t="str">
            <v>Chiller ON/OFF status</v>
          </cell>
          <cell r="G7">
            <v>8</v>
          </cell>
          <cell r="I7" t="str">
            <v xml:space="preserve">signal from potential-free  contact </v>
          </cell>
          <cell r="K7" t="str">
            <v>ACMV Vendor</v>
          </cell>
          <cell r="L7">
            <v>0</v>
          </cell>
          <cell r="M7">
            <v>0</v>
          </cell>
          <cell r="N7">
            <v>0</v>
          </cell>
          <cell r="O7">
            <v>0</v>
          </cell>
        </row>
        <row r="8">
          <cell r="A8">
            <v>3</v>
          </cell>
          <cell r="B8" t="str">
            <v>Chiller Auto / Manual status</v>
          </cell>
          <cell r="G8">
            <v>8</v>
          </cell>
          <cell r="I8" t="str">
            <v xml:space="preserve">signal from potential-free  contact </v>
          </cell>
          <cell r="K8" t="str">
            <v>ACMV Vendor</v>
          </cell>
          <cell r="L8">
            <v>0</v>
          </cell>
          <cell r="M8">
            <v>0</v>
          </cell>
          <cell r="N8">
            <v>0</v>
          </cell>
          <cell r="O8">
            <v>0</v>
          </cell>
        </row>
        <row r="9">
          <cell r="A9">
            <v>4</v>
          </cell>
          <cell r="B9" t="str">
            <v>Chiller trip status</v>
          </cell>
          <cell r="G9">
            <v>8</v>
          </cell>
          <cell r="I9" t="str">
            <v xml:space="preserve">signal from potential-free  contact </v>
          </cell>
          <cell r="K9" t="str">
            <v>ACMV Vendor</v>
          </cell>
          <cell r="L9">
            <v>0</v>
          </cell>
          <cell r="M9">
            <v>0</v>
          </cell>
          <cell r="N9">
            <v>0</v>
          </cell>
          <cell r="O9">
            <v>0</v>
          </cell>
        </row>
        <row r="10">
          <cell r="A10">
            <v>5</v>
          </cell>
          <cell r="B10" t="str">
            <v>Set charge temperature</v>
          </cell>
          <cell r="H10">
            <v>8</v>
          </cell>
          <cell r="I10" t="str">
            <v>Command to chiller panel</v>
          </cell>
          <cell r="K10" t="str">
            <v>ACMV Vendor</v>
          </cell>
          <cell r="L10">
            <v>0</v>
          </cell>
          <cell r="M10">
            <v>0</v>
          </cell>
          <cell r="N10">
            <v>0</v>
          </cell>
          <cell r="O10">
            <v>0</v>
          </cell>
        </row>
        <row r="11">
          <cell r="A11">
            <v>6</v>
          </cell>
          <cell r="B11" t="str">
            <v>Flow switch status</v>
          </cell>
          <cell r="G11">
            <v>8</v>
          </cell>
          <cell r="I11" t="str">
            <v>flow switch</v>
          </cell>
          <cell r="J11" t="str">
            <v>B</v>
          </cell>
          <cell r="K11" t="str">
            <v>BAS vendor</v>
          </cell>
          <cell r="L11">
            <v>8</v>
          </cell>
          <cell r="M11">
            <v>0</v>
          </cell>
          <cell r="N11">
            <v>0</v>
          </cell>
          <cell r="O11">
            <v>0</v>
          </cell>
        </row>
        <row r="12">
          <cell r="A12">
            <v>7</v>
          </cell>
          <cell r="B12" t="str">
            <v>Outlet temperature of Individual chillers</v>
          </cell>
          <cell r="D12">
            <v>8</v>
          </cell>
          <cell r="I12" t="str">
            <v>Immersion type temp sensor + pocket</v>
          </cell>
          <cell r="J12" t="str">
            <v>S</v>
          </cell>
          <cell r="K12" t="str">
            <v>BAS vendor</v>
          </cell>
          <cell r="L12">
            <v>0</v>
          </cell>
          <cell r="M12">
            <v>8</v>
          </cell>
          <cell r="N12">
            <v>0</v>
          </cell>
          <cell r="O12">
            <v>0</v>
          </cell>
        </row>
        <row r="13">
          <cell r="A13">
            <v>8</v>
          </cell>
          <cell r="B13" t="str">
            <v>Common supply &amp; return header temperature /each circuit</v>
          </cell>
          <cell r="D13">
            <v>8</v>
          </cell>
          <cell r="I13" t="str">
            <v>Immersion type temp sensor + pocket</v>
          </cell>
          <cell r="J13" t="str">
            <v>S</v>
          </cell>
          <cell r="K13" t="str">
            <v>BAS vendor</v>
          </cell>
          <cell r="L13">
            <v>0</v>
          </cell>
          <cell r="M13">
            <v>8</v>
          </cell>
          <cell r="N13">
            <v>0</v>
          </cell>
          <cell r="O13">
            <v>0</v>
          </cell>
        </row>
        <row r="14">
          <cell r="A14">
            <v>9</v>
          </cell>
          <cell r="B14" t="str">
            <v>butterfly on/off Chiller isolation valves command &amp; status</v>
          </cell>
          <cell r="G14">
            <v>8</v>
          </cell>
          <cell r="H14">
            <v>8</v>
          </cell>
          <cell r="I14" t="str">
            <v>Butterfly on/off valve</v>
          </cell>
          <cell r="J14" t="str">
            <v>V</v>
          </cell>
          <cell r="K14" t="str">
            <v>BAS vendor</v>
          </cell>
          <cell r="L14">
            <v>0</v>
          </cell>
          <cell r="M14">
            <v>0</v>
          </cell>
          <cell r="N14">
            <v>8</v>
          </cell>
          <cell r="O14">
            <v>8</v>
          </cell>
        </row>
        <row r="15">
          <cell r="A15">
            <v>10</v>
          </cell>
          <cell r="B15" t="str">
            <v>butterfly on/off valves - Chiller bank linking over primary headers command &amp; status</v>
          </cell>
          <cell r="G15">
            <v>8</v>
          </cell>
          <cell r="H15">
            <v>8</v>
          </cell>
          <cell r="I15" t="str">
            <v>Butterfly on/off valve</v>
          </cell>
          <cell r="J15" t="str">
            <v>V</v>
          </cell>
          <cell r="K15" t="str">
            <v>BAS vendor</v>
          </cell>
          <cell r="L15">
            <v>0</v>
          </cell>
          <cell r="M15">
            <v>0</v>
          </cell>
          <cell r="N15">
            <v>8</v>
          </cell>
          <cell r="O15">
            <v>8</v>
          </cell>
        </row>
        <row r="16">
          <cell r="A16">
            <v>11</v>
          </cell>
          <cell r="B16" t="str">
            <v>Temperature at TES outlet</v>
          </cell>
          <cell r="D16">
            <v>4</v>
          </cell>
          <cell r="I16" t="str">
            <v>Immersion type temp sensor + pocket</v>
          </cell>
          <cell r="J16" t="str">
            <v>S</v>
          </cell>
          <cell r="K16" t="str">
            <v>BAS vendor</v>
          </cell>
          <cell r="L16">
            <v>0</v>
          </cell>
          <cell r="M16">
            <v>4</v>
          </cell>
          <cell r="N16">
            <v>0</v>
          </cell>
          <cell r="O16">
            <v>0</v>
          </cell>
        </row>
        <row r="17">
          <cell r="A17">
            <v>12</v>
          </cell>
          <cell r="B17" t="str">
            <v>3-way modulating valve at TES line</v>
          </cell>
          <cell r="F17">
            <v>4</v>
          </cell>
          <cell r="I17" t="str">
            <v xml:space="preserve">3-way valve </v>
          </cell>
          <cell r="J17" t="str">
            <v>V</v>
          </cell>
          <cell r="K17" t="str">
            <v>BAS vendor</v>
          </cell>
          <cell r="L17">
            <v>0</v>
          </cell>
          <cell r="M17">
            <v>0</v>
          </cell>
          <cell r="N17">
            <v>4</v>
          </cell>
          <cell r="O17">
            <v>4</v>
          </cell>
        </row>
        <row r="18">
          <cell r="A18">
            <v>13</v>
          </cell>
          <cell r="B18" t="str">
            <v>Temperature at PHE outlet</v>
          </cell>
          <cell r="D18">
            <v>4</v>
          </cell>
          <cell r="I18" t="str">
            <v>Immersion type temp sensor + pocket</v>
          </cell>
          <cell r="J18" t="str">
            <v>S</v>
          </cell>
          <cell r="K18" t="str">
            <v>BAS vendor</v>
          </cell>
          <cell r="L18">
            <v>0</v>
          </cell>
          <cell r="M18">
            <v>4</v>
          </cell>
          <cell r="N18">
            <v>0</v>
          </cell>
          <cell r="O18">
            <v>0</v>
          </cell>
        </row>
        <row r="19">
          <cell r="A19">
            <v>14</v>
          </cell>
          <cell r="B19" t="str">
            <v>Anti-freeze thermostat</v>
          </cell>
          <cell r="G19">
            <v>4</v>
          </cell>
          <cell r="I19" t="str">
            <v>Anti-freeze thermostat</v>
          </cell>
          <cell r="J19" t="str">
            <v>B</v>
          </cell>
          <cell r="K19" t="str">
            <v>BAS vendor</v>
          </cell>
          <cell r="L19">
            <v>4</v>
          </cell>
          <cell r="M19">
            <v>0</v>
          </cell>
          <cell r="N19">
            <v>0</v>
          </cell>
          <cell r="O19">
            <v>0</v>
          </cell>
        </row>
        <row r="20">
          <cell r="A20">
            <v>15</v>
          </cell>
          <cell r="B20" t="str">
            <v>3-way modulating valve at PHE line</v>
          </cell>
          <cell r="F20">
            <v>4</v>
          </cell>
          <cell r="I20" t="str">
            <v xml:space="preserve">3-way valve </v>
          </cell>
          <cell r="J20" t="str">
            <v>V</v>
          </cell>
          <cell r="K20" t="str">
            <v>BAS vendor</v>
          </cell>
          <cell r="L20">
            <v>0</v>
          </cell>
          <cell r="M20">
            <v>0</v>
          </cell>
          <cell r="N20">
            <v>4</v>
          </cell>
          <cell r="O20">
            <v>4</v>
          </cell>
        </row>
        <row r="21">
          <cell r="B21" t="str">
            <v>Primary chilled Water Pumps - Qty</v>
          </cell>
          <cell r="I21">
            <v>12</v>
          </cell>
          <cell r="K21" t="str">
            <v>This quantity is assumed and can alter based on design &amp; build scheme of the ACMV contractor</v>
          </cell>
          <cell r="L21">
            <v>0</v>
          </cell>
          <cell r="M21">
            <v>0</v>
          </cell>
          <cell r="N21">
            <v>0</v>
          </cell>
          <cell r="O21">
            <v>0</v>
          </cell>
        </row>
        <row r="22">
          <cell r="A22">
            <v>16</v>
          </cell>
          <cell r="B22" t="str">
            <v>pumps ON / OFF command</v>
          </cell>
          <cell r="H22">
            <v>12</v>
          </cell>
          <cell r="I22" t="str">
            <v>Command to chiller panel/ pumps panel</v>
          </cell>
          <cell r="K22" t="str">
            <v>ACMV Vendor</v>
          </cell>
          <cell r="L22">
            <v>0</v>
          </cell>
          <cell r="M22">
            <v>0</v>
          </cell>
          <cell r="N22">
            <v>0</v>
          </cell>
          <cell r="O22">
            <v>0</v>
          </cell>
        </row>
        <row r="23">
          <cell r="A23">
            <v>17</v>
          </cell>
          <cell r="B23" t="str">
            <v>pumps ON / OFF Status</v>
          </cell>
          <cell r="G23">
            <v>12</v>
          </cell>
          <cell r="I23" t="str">
            <v xml:space="preserve">signal from potential-free  contact </v>
          </cell>
          <cell r="K23" t="str">
            <v>ACMV Vendor</v>
          </cell>
          <cell r="L23">
            <v>0</v>
          </cell>
          <cell r="M23">
            <v>0</v>
          </cell>
          <cell r="N23">
            <v>0</v>
          </cell>
          <cell r="O23">
            <v>0</v>
          </cell>
        </row>
        <row r="24">
          <cell r="A24">
            <v>18</v>
          </cell>
          <cell r="B24" t="str">
            <v>pumps Auto / Manual status</v>
          </cell>
          <cell r="G24">
            <v>12</v>
          </cell>
          <cell r="I24" t="str">
            <v xml:space="preserve">signal from potential-free  contact </v>
          </cell>
          <cell r="K24" t="str">
            <v>ACMV Vendor</v>
          </cell>
          <cell r="L24">
            <v>0</v>
          </cell>
          <cell r="M24">
            <v>0</v>
          </cell>
          <cell r="N24">
            <v>0</v>
          </cell>
          <cell r="O24">
            <v>0</v>
          </cell>
        </row>
        <row r="25">
          <cell r="A25">
            <v>19</v>
          </cell>
          <cell r="B25" t="str">
            <v>Flow switch status</v>
          </cell>
          <cell r="G25">
            <v>12</v>
          </cell>
          <cell r="I25" t="str">
            <v>flow switch</v>
          </cell>
          <cell r="J25" t="str">
            <v>B</v>
          </cell>
          <cell r="K25" t="str">
            <v>BAS vendor</v>
          </cell>
          <cell r="L25">
            <v>12</v>
          </cell>
          <cell r="M25">
            <v>0</v>
          </cell>
          <cell r="N25">
            <v>0</v>
          </cell>
          <cell r="O25">
            <v>0</v>
          </cell>
        </row>
        <row r="26">
          <cell r="A26">
            <v>20</v>
          </cell>
          <cell r="B26" t="str">
            <v>pumps trip status</v>
          </cell>
          <cell r="G26">
            <v>12</v>
          </cell>
          <cell r="I26" t="str">
            <v xml:space="preserve">signal from potential-free  contact </v>
          </cell>
          <cell r="K26" t="str">
            <v>ACMV Vendor</v>
          </cell>
          <cell r="L26">
            <v>0</v>
          </cell>
          <cell r="M26">
            <v>0</v>
          </cell>
          <cell r="N26">
            <v>0</v>
          </cell>
          <cell r="O26">
            <v>0</v>
          </cell>
        </row>
        <row r="27">
          <cell r="B27" t="str">
            <v>Secondary chilled Water Pumps - Qty</v>
          </cell>
          <cell r="I27">
            <v>12</v>
          </cell>
          <cell r="K27" t="str">
            <v>This quantity is assumed and can alter based on design &amp; build scheme of the ACMV contractor</v>
          </cell>
          <cell r="L27">
            <v>0</v>
          </cell>
          <cell r="M27">
            <v>0</v>
          </cell>
          <cell r="N27">
            <v>0</v>
          </cell>
          <cell r="O27">
            <v>0</v>
          </cell>
        </row>
        <row r="28">
          <cell r="A28">
            <v>21</v>
          </cell>
          <cell r="B28" t="str">
            <v>pumps VFD monitoring / control</v>
          </cell>
          <cell r="I28" t="str">
            <v>Serial RS486 Bus from VFD panels on Modbus RTU</v>
          </cell>
          <cell r="K28" t="str">
            <v>ACMV Vendor</v>
          </cell>
          <cell r="L28">
            <v>0</v>
          </cell>
          <cell r="M28">
            <v>0</v>
          </cell>
          <cell r="N28">
            <v>0</v>
          </cell>
          <cell r="O28">
            <v>0</v>
          </cell>
        </row>
        <row r="29">
          <cell r="A29">
            <v>22</v>
          </cell>
          <cell r="B29" t="str">
            <v>pumps VFD healthy &amp; run Status</v>
          </cell>
          <cell r="G29">
            <v>12</v>
          </cell>
          <cell r="I29" t="str">
            <v xml:space="preserve">signal from potential-free  contact </v>
          </cell>
          <cell r="K29" t="str">
            <v>ACMV Vendor</v>
          </cell>
          <cell r="L29">
            <v>0</v>
          </cell>
          <cell r="M29">
            <v>0</v>
          </cell>
          <cell r="N29">
            <v>0</v>
          </cell>
          <cell r="O29">
            <v>0</v>
          </cell>
        </row>
        <row r="30">
          <cell r="A30">
            <v>23</v>
          </cell>
          <cell r="B30" t="str">
            <v>pumps VFD trip status</v>
          </cell>
          <cell r="G30">
            <v>12</v>
          </cell>
          <cell r="I30" t="str">
            <v xml:space="preserve">signal from potential-free  contact </v>
          </cell>
          <cell r="K30" t="str">
            <v>ACMV Vendor</v>
          </cell>
          <cell r="L30">
            <v>0</v>
          </cell>
          <cell r="M30">
            <v>0</v>
          </cell>
          <cell r="N30">
            <v>0</v>
          </cell>
          <cell r="O30">
            <v>0</v>
          </cell>
        </row>
        <row r="31">
          <cell r="A31">
            <v>24</v>
          </cell>
          <cell r="B31" t="str">
            <v>pumps VFD speed feedback</v>
          </cell>
          <cell r="E31">
            <v>12</v>
          </cell>
          <cell r="I31" t="str">
            <v>signal from VFD</v>
          </cell>
          <cell r="K31" t="str">
            <v>ACMV Vendor</v>
          </cell>
          <cell r="L31">
            <v>0</v>
          </cell>
          <cell r="M31">
            <v>0</v>
          </cell>
          <cell r="N31">
            <v>0</v>
          </cell>
          <cell r="O31">
            <v>0</v>
          </cell>
        </row>
        <row r="32">
          <cell r="A32">
            <v>25</v>
          </cell>
          <cell r="B32" t="str">
            <v>Temoerature sensor in supply &amp; return headers</v>
          </cell>
          <cell r="D32">
            <v>8</v>
          </cell>
          <cell r="I32" t="str">
            <v>Immersion type temp sensor + pocket</v>
          </cell>
          <cell r="J32" t="str">
            <v>S</v>
          </cell>
          <cell r="K32" t="str">
            <v>BAS vendor</v>
          </cell>
          <cell r="L32">
            <v>0</v>
          </cell>
          <cell r="M32">
            <v>8</v>
          </cell>
          <cell r="N32">
            <v>0</v>
          </cell>
          <cell r="O32">
            <v>0</v>
          </cell>
        </row>
        <row r="33">
          <cell r="A33">
            <v>26</v>
          </cell>
          <cell r="B33" t="str">
            <v>Outside Air RH &amp; Temperature.</v>
          </cell>
          <cell r="D33">
            <v>1</v>
          </cell>
          <cell r="E33">
            <v>1</v>
          </cell>
          <cell r="I33" t="str">
            <v>RH &amp; Temperature sensor</v>
          </cell>
          <cell r="J33" t="str">
            <v>S</v>
          </cell>
          <cell r="K33" t="str">
            <v>BAS vendor</v>
          </cell>
          <cell r="L33">
            <v>0</v>
          </cell>
          <cell r="M33">
            <v>2</v>
          </cell>
          <cell r="N33">
            <v>0</v>
          </cell>
          <cell r="O33">
            <v>0</v>
          </cell>
        </row>
        <row r="34">
          <cell r="A34">
            <v>27</v>
          </cell>
          <cell r="B34" t="str">
            <v>Flow through CHW header</v>
          </cell>
          <cell r="E34">
            <v>1</v>
          </cell>
          <cell r="I34" t="str">
            <v>Flow meter</v>
          </cell>
          <cell r="J34" t="str">
            <v>S</v>
          </cell>
          <cell r="K34" t="str">
            <v>BAS vendor</v>
          </cell>
          <cell r="L34">
            <v>0</v>
          </cell>
          <cell r="M34">
            <v>1</v>
          </cell>
          <cell r="N34">
            <v>0</v>
          </cell>
          <cell r="O34">
            <v>0</v>
          </cell>
        </row>
        <row r="35">
          <cell r="B35" t="str">
            <v>Spare 10%</v>
          </cell>
          <cell r="D35">
            <v>4</v>
          </cell>
          <cell r="E35">
            <v>2</v>
          </cell>
          <cell r="F35">
            <v>1</v>
          </cell>
          <cell r="G35">
            <v>13</v>
          </cell>
          <cell r="H35">
            <v>5</v>
          </cell>
        </row>
        <row r="36">
          <cell r="A36" t="str">
            <v>AX</v>
          </cell>
          <cell r="B36" t="str">
            <v xml:space="preserve">Total I/O For Chiller Plant </v>
          </cell>
          <cell r="D36">
            <v>37</v>
          </cell>
          <cell r="E36">
            <v>16</v>
          </cell>
          <cell r="F36">
            <v>9</v>
          </cell>
          <cell r="G36">
            <v>137</v>
          </cell>
          <cell r="H36">
            <v>49</v>
          </cell>
          <cell r="I36">
            <v>1</v>
          </cell>
          <cell r="L36">
            <v>24</v>
          </cell>
          <cell r="M36">
            <v>35</v>
          </cell>
          <cell r="N36">
            <v>24</v>
          </cell>
          <cell r="O36">
            <v>24</v>
          </cell>
        </row>
        <row r="37">
          <cell r="A37" t="str">
            <v>B</v>
          </cell>
          <cell r="B37" t="str">
            <v>Comfort Air Handling Units with TFA</v>
          </cell>
        </row>
        <row r="38">
          <cell r="B38" t="str">
            <v>Air Handling Units - Qty</v>
          </cell>
          <cell r="I38">
            <v>1</v>
          </cell>
        </row>
        <row r="39">
          <cell r="A39">
            <v>1</v>
          </cell>
          <cell r="B39" t="str">
            <v>AHU ON/OFF Command</v>
          </cell>
          <cell r="H39">
            <v>1</v>
          </cell>
          <cell r="I39" t="str">
            <v>Command to AHU panel</v>
          </cell>
          <cell r="K39" t="str">
            <v>ACMV Vendor</v>
          </cell>
          <cell r="L39">
            <v>0</v>
          </cell>
          <cell r="M39">
            <v>0</v>
          </cell>
          <cell r="N39">
            <v>0</v>
          </cell>
          <cell r="O39">
            <v>0</v>
          </cell>
        </row>
        <row r="40">
          <cell r="A40">
            <v>2</v>
          </cell>
          <cell r="B40" t="str">
            <v>AHU status - DP switch across fan</v>
          </cell>
          <cell r="G40">
            <v>1</v>
          </cell>
          <cell r="I40" t="str">
            <v>DP switch</v>
          </cell>
          <cell r="J40" t="str">
            <v>B</v>
          </cell>
          <cell r="K40" t="str">
            <v>BAS vendor</v>
          </cell>
          <cell r="L40">
            <v>106</v>
          </cell>
          <cell r="M40">
            <v>0</v>
          </cell>
          <cell r="N40">
            <v>0</v>
          </cell>
          <cell r="O40">
            <v>0</v>
          </cell>
        </row>
        <row r="41">
          <cell r="A41">
            <v>3</v>
          </cell>
          <cell r="B41" t="str">
            <v>AHU Auto/Manual Command</v>
          </cell>
          <cell r="H41">
            <v>1</v>
          </cell>
          <cell r="I41" t="str">
            <v>Command to AHU panel</v>
          </cell>
          <cell r="K41" t="str">
            <v>ACMV Vendor</v>
          </cell>
          <cell r="L41">
            <v>0</v>
          </cell>
          <cell r="M41">
            <v>0</v>
          </cell>
          <cell r="N41">
            <v>0</v>
          </cell>
          <cell r="O41">
            <v>0</v>
          </cell>
        </row>
        <row r="42">
          <cell r="A42">
            <v>4</v>
          </cell>
          <cell r="B42" t="str">
            <v>Return air Temperature Sensor</v>
          </cell>
          <cell r="D42">
            <v>1</v>
          </cell>
          <cell r="I42" t="str">
            <v>Duct type Temperature sensor</v>
          </cell>
          <cell r="J42" t="str">
            <v>S</v>
          </cell>
          <cell r="K42" t="str">
            <v>BAS vendor</v>
          </cell>
          <cell r="L42">
            <v>0</v>
          </cell>
          <cell r="M42">
            <v>106</v>
          </cell>
          <cell r="N42">
            <v>0</v>
          </cell>
          <cell r="O42">
            <v>0</v>
          </cell>
        </row>
        <row r="43">
          <cell r="A43">
            <v>5</v>
          </cell>
          <cell r="B43" t="str">
            <v>Filter status - DP switch across filter</v>
          </cell>
          <cell r="G43">
            <v>1</v>
          </cell>
          <cell r="I43" t="str">
            <v>DP switch</v>
          </cell>
          <cell r="J43" t="str">
            <v>B</v>
          </cell>
          <cell r="K43" t="str">
            <v>BAS vendor</v>
          </cell>
          <cell r="L43">
            <v>106</v>
          </cell>
          <cell r="M43">
            <v>0</v>
          </cell>
          <cell r="N43">
            <v>0</v>
          </cell>
          <cell r="O43">
            <v>0</v>
          </cell>
        </row>
        <row r="44">
          <cell r="A44">
            <v>6</v>
          </cell>
          <cell r="B44" t="str">
            <v>CHW 2-Way Valve Control</v>
          </cell>
          <cell r="F44">
            <v>1</v>
          </cell>
          <cell r="I44" t="str">
            <v>2-way auto balancing CHW valve</v>
          </cell>
          <cell r="J44" t="str">
            <v>V</v>
          </cell>
          <cell r="K44" t="str">
            <v>BAS vendor</v>
          </cell>
          <cell r="L44">
            <v>0</v>
          </cell>
          <cell r="M44">
            <v>0</v>
          </cell>
          <cell r="N44">
            <v>106</v>
          </cell>
          <cell r="O44">
            <v>106</v>
          </cell>
        </row>
        <row r="45">
          <cell r="A45">
            <v>7</v>
          </cell>
          <cell r="B45" t="str">
            <v>Flow of CHW from auto balancing valve</v>
          </cell>
          <cell r="E45">
            <v>1</v>
          </cell>
          <cell r="I45" t="str">
            <v>2-way auto balancing CHW valve</v>
          </cell>
          <cell r="J45" t="str">
            <v>V</v>
          </cell>
          <cell r="K45" t="str">
            <v>BAS vendor</v>
          </cell>
          <cell r="L45">
            <v>0</v>
          </cell>
          <cell r="M45">
            <v>0</v>
          </cell>
        </row>
        <row r="46">
          <cell r="A46">
            <v>8</v>
          </cell>
          <cell r="B46" t="str">
            <v>Matched pair temperature sensors at CHW in/outlet</v>
          </cell>
          <cell r="D46">
            <v>2</v>
          </cell>
          <cell r="I46" t="str">
            <v>Immersion type temp sensor+pocket</v>
          </cell>
          <cell r="J46" t="str">
            <v>S</v>
          </cell>
          <cell r="K46" t="str">
            <v>BAS vendor</v>
          </cell>
          <cell r="L46">
            <v>0</v>
          </cell>
          <cell r="M46">
            <v>212</v>
          </cell>
          <cell r="N46">
            <v>0</v>
          </cell>
          <cell r="O46">
            <v>0</v>
          </cell>
        </row>
        <row r="47">
          <cell r="A47">
            <v>9</v>
          </cell>
          <cell r="B47" t="str">
            <v>Fire trip status</v>
          </cell>
          <cell r="G47">
            <v>1</v>
          </cell>
          <cell r="I47" t="str">
            <v>signal from DSD &amp; FAS</v>
          </cell>
          <cell r="K47" t="str">
            <v>BAS vendor</v>
          </cell>
          <cell r="L47">
            <v>0</v>
          </cell>
          <cell r="M47">
            <v>0</v>
          </cell>
          <cell r="N47">
            <v>0</v>
          </cell>
          <cell r="O47">
            <v>0</v>
          </cell>
        </row>
        <row r="48">
          <cell r="A48">
            <v>10</v>
          </cell>
          <cell r="B48" t="str">
            <v>Fire Damper Status - SA, RA, reset command</v>
          </cell>
          <cell r="G48">
            <v>2</v>
          </cell>
          <cell r="H48">
            <v>1</v>
          </cell>
          <cell r="I48" t="str">
            <v>aux.contact - fire damper actuators</v>
          </cell>
          <cell r="J48" t="str">
            <v>D</v>
          </cell>
          <cell r="K48" t="str">
            <v>BAS vendor</v>
          </cell>
          <cell r="L48">
            <v>0</v>
          </cell>
          <cell r="M48">
            <v>0</v>
          </cell>
          <cell r="N48">
            <v>212</v>
          </cell>
          <cell r="O48">
            <v>0</v>
          </cell>
        </row>
        <row r="49">
          <cell r="A49">
            <v>11</v>
          </cell>
          <cell r="B49" t="str">
            <v xml:space="preserve">Pressurization Damper Status&amp; command - Lift lobby </v>
          </cell>
          <cell r="G49">
            <v>1</v>
          </cell>
          <cell r="H49">
            <v>1</v>
          </cell>
          <cell r="I49" t="str">
            <v>combined status from IRM</v>
          </cell>
          <cell r="J49" t="str">
            <v>D</v>
          </cell>
          <cell r="K49" t="str">
            <v>BAS vendor</v>
          </cell>
          <cell r="L49">
            <v>0</v>
          </cell>
          <cell r="M49">
            <v>0</v>
          </cell>
          <cell r="N49">
            <v>112</v>
          </cell>
          <cell r="O49">
            <v>0</v>
          </cell>
        </row>
        <row r="50">
          <cell r="A50">
            <v>12</v>
          </cell>
          <cell r="B50" t="str">
            <v>CO2 sensor</v>
          </cell>
          <cell r="E50">
            <v>1</v>
          </cell>
          <cell r="I50" t="str">
            <v>CO2 sensor</v>
          </cell>
          <cell r="J50" t="str">
            <v>S</v>
          </cell>
          <cell r="K50" t="str">
            <v>BAS vendor</v>
          </cell>
          <cell r="L50">
            <v>0</v>
          </cell>
          <cell r="M50">
            <v>102</v>
          </cell>
          <cell r="N50">
            <v>0</v>
          </cell>
          <cell r="O50">
            <v>0</v>
          </cell>
        </row>
        <row r="51">
          <cell r="A51">
            <v>13</v>
          </cell>
          <cell r="B51" t="str">
            <v>FA/EA damper modulation</v>
          </cell>
          <cell r="F51">
            <v>1</v>
          </cell>
          <cell r="I51" t="str">
            <v>auxiliary contact - damper actuator</v>
          </cell>
          <cell r="J51" t="str">
            <v>D</v>
          </cell>
          <cell r="K51" t="str">
            <v>BAS vendor</v>
          </cell>
          <cell r="L51">
            <v>0</v>
          </cell>
          <cell r="M51">
            <v>0</v>
          </cell>
          <cell r="N51">
            <v>106</v>
          </cell>
          <cell r="O51">
            <v>0</v>
          </cell>
        </row>
        <row r="52">
          <cell r="A52">
            <v>14</v>
          </cell>
          <cell r="B52" t="str">
            <v>TFA ON/OFF Command, status</v>
          </cell>
          <cell r="G52">
            <v>1</v>
          </cell>
          <cell r="H52">
            <v>1</v>
          </cell>
          <cell r="I52" t="str">
            <v>Command to AHU panel</v>
          </cell>
          <cell r="K52" t="str">
            <v>ACMV Vendor</v>
          </cell>
          <cell r="L52">
            <v>0</v>
          </cell>
          <cell r="M52">
            <v>0</v>
          </cell>
          <cell r="N52">
            <v>0</v>
          </cell>
          <cell r="O52">
            <v>0</v>
          </cell>
        </row>
        <row r="53">
          <cell r="A53">
            <v>15</v>
          </cell>
          <cell r="B53" t="str">
            <v>MCC power supply status</v>
          </cell>
          <cell r="G53">
            <v>1</v>
          </cell>
          <cell r="I53" t="str">
            <v>signal from potential free contact</v>
          </cell>
          <cell r="K53" t="str">
            <v>ACMV Vendor</v>
          </cell>
          <cell r="L53">
            <v>0</v>
          </cell>
          <cell r="M53">
            <v>0</v>
          </cell>
          <cell r="N53">
            <v>0</v>
          </cell>
          <cell r="O53">
            <v>0</v>
          </cell>
        </row>
        <row r="54">
          <cell r="A54">
            <v>16</v>
          </cell>
          <cell r="B54" t="str">
            <v>Smoke extraction dampers</v>
          </cell>
          <cell r="G54">
            <v>1</v>
          </cell>
          <cell r="H54">
            <v>1</v>
          </cell>
          <cell r="I54" t="str">
            <v>damper actuators</v>
          </cell>
          <cell r="J54" t="str">
            <v>D</v>
          </cell>
          <cell r="K54" t="str">
            <v>BAS vendor</v>
          </cell>
          <cell r="L54">
            <v>0</v>
          </cell>
          <cell r="M54">
            <v>0</v>
          </cell>
          <cell r="N54">
            <v>60</v>
          </cell>
          <cell r="O54">
            <v>0</v>
          </cell>
        </row>
        <row r="55">
          <cell r="B55" t="str">
            <v>Spare 10%</v>
          </cell>
          <cell r="D55">
            <v>1</v>
          </cell>
          <cell r="E55">
            <v>1</v>
          </cell>
          <cell r="F55">
            <v>1</v>
          </cell>
          <cell r="G55">
            <v>1</v>
          </cell>
          <cell r="H55">
            <v>1</v>
          </cell>
        </row>
        <row r="56">
          <cell r="A56" t="str">
            <v>BX</v>
          </cell>
          <cell r="B56" t="str">
            <v>Total I/O for AHU with TFA</v>
          </cell>
          <cell r="D56">
            <v>4</v>
          </cell>
          <cell r="E56">
            <v>3</v>
          </cell>
          <cell r="F56">
            <v>3</v>
          </cell>
          <cell r="G56">
            <v>10</v>
          </cell>
          <cell r="H56">
            <v>7</v>
          </cell>
          <cell r="I56">
            <v>106</v>
          </cell>
          <cell r="L56">
            <v>212</v>
          </cell>
          <cell r="M56">
            <v>420</v>
          </cell>
          <cell r="N56">
            <v>596</v>
          </cell>
          <cell r="O56">
            <v>106</v>
          </cell>
        </row>
        <row r="57">
          <cell r="B57" t="str">
            <v>Total I/O for AHU with TFAs in complex</v>
          </cell>
          <cell r="D57">
            <v>424</v>
          </cell>
          <cell r="E57">
            <v>318</v>
          </cell>
          <cell r="F57">
            <v>318</v>
          </cell>
          <cell r="G57">
            <v>1060</v>
          </cell>
          <cell r="H57">
            <v>742</v>
          </cell>
          <cell r="K57" t="str">
            <v>This quantity is assumed and can alter based on design &amp; build scheme of the ACMV contractor</v>
          </cell>
        </row>
        <row r="58">
          <cell r="A58" t="str">
            <v>C</v>
          </cell>
          <cell r="B58" t="str">
            <v>Energy metering/Ventilation/Lighting</v>
          </cell>
          <cell r="L58">
            <v>0</v>
          </cell>
          <cell r="M58">
            <v>0</v>
          </cell>
          <cell r="N58">
            <v>0</v>
          </cell>
          <cell r="O58">
            <v>0</v>
          </cell>
        </row>
        <row r="59">
          <cell r="B59" t="str">
            <v>Electrical energy meters - pulse input</v>
          </cell>
          <cell r="G59">
            <v>6</v>
          </cell>
          <cell r="I59" t="str">
            <v>From EEMs</v>
          </cell>
          <cell r="K59" t="str">
            <v>Electrical Vendor</v>
          </cell>
          <cell r="L59">
            <v>0</v>
          </cell>
          <cell r="M59">
            <v>0</v>
          </cell>
          <cell r="N59">
            <v>0</v>
          </cell>
          <cell r="O59">
            <v>0</v>
          </cell>
        </row>
        <row r="60">
          <cell r="B60" t="str">
            <v>Pantry Exhaust Fan - Qty</v>
          </cell>
          <cell r="I60">
            <v>2</v>
          </cell>
          <cell r="L60">
            <v>0</v>
          </cell>
          <cell r="M60">
            <v>0</v>
          </cell>
          <cell r="N60">
            <v>0</v>
          </cell>
          <cell r="O60">
            <v>0</v>
          </cell>
        </row>
        <row r="61">
          <cell r="A61">
            <v>1</v>
          </cell>
          <cell r="B61" t="str">
            <v>Fan ON / OFF Command</v>
          </cell>
          <cell r="H61">
            <v>2</v>
          </cell>
          <cell r="I61" t="str">
            <v>Command to contactor panel</v>
          </cell>
          <cell r="K61" t="str">
            <v>ACMV Vendor</v>
          </cell>
          <cell r="L61">
            <v>0</v>
          </cell>
          <cell r="M61">
            <v>0</v>
          </cell>
          <cell r="N61">
            <v>0</v>
          </cell>
          <cell r="O61">
            <v>0</v>
          </cell>
        </row>
        <row r="62">
          <cell r="A62">
            <v>2</v>
          </cell>
          <cell r="B62" t="str">
            <v>Fan ON / OFF Status</v>
          </cell>
          <cell r="G62">
            <v>2</v>
          </cell>
          <cell r="I62" t="str">
            <v>signal from potential free contact</v>
          </cell>
          <cell r="K62" t="str">
            <v>ACMV Vendor</v>
          </cell>
          <cell r="L62">
            <v>0</v>
          </cell>
          <cell r="M62">
            <v>0</v>
          </cell>
          <cell r="N62">
            <v>0</v>
          </cell>
          <cell r="O62">
            <v>0</v>
          </cell>
        </row>
        <row r="63">
          <cell r="B63" t="str">
            <v>Toilet Exhaust Fan  - Qty</v>
          </cell>
          <cell r="I63">
            <v>2</v>
          </cell>
          <cell r="L63">
            <v>0</v>
          </cell>
          <cell r="M63">
            <v>0</v>
          </cell>
          <cell r="N63">
            <v>0</v>
          </cell>
          <cell r="O63">
            <v>0</v>
          </cell>
        </row>
        <row r="64">
          <cell r="A64">
            <v>3</v>
          </cell>
          <cell r="B64" t="str">
            <v>Fan ON / OFF Command</v>
          </cell>
          <cell r="H64">
            <v>2</v>
          </cell>
          <cell r="I64" t="str">
            <v>Command to contactor panel</v>
          </cell>
          <cell r="K64" t="str">
            <v>ACMV Vendor</v>
          </cell>
          <cell r="L64">
            <v>0</v>
          </cell>
          <cell r="M64">
            <v>0</v>
          </cell>
          <cell r="N64">
            <v>0</v>
          </cell>
          <cell r="O64">
            <v>0</v>
          </cell>
        </row>
        <row r="65">
          <cell r="A65">
            <v>4</v>
          </cell>
          <cell r="B65" t="str">
            <v>Fan ON / OFF Status</v>
          </cell>
          <cell r="G65">
            <v>2</v>
          </cell>
          <cell r="I65" t="str">
            <v>signal from potential free contact</v>
          </cell>
          <cell r="K65" t="str">
            <v>ACMV Vendor</v>
          </cell>
          <cell r="L65">
            <v>0</v>
          </cell>
          <cell r="M65">
            <v>0</v>
          </cell>
          <cell r="N65">
            <v>0</v>
          </cell>
          <cell r="O65">
            <v>0</v>
          </cell>
        </row>
        <row r="66">
          <cell r="B66" t="str">
            <v>Electrical system</v>
          </cell>
          <cell r="L66">
            <v>0</v>
          </cell>
          <cell r="M66">
            <v>0</v>
          </cell>
          <cell r="N66">
            <v>0</v>
          </cell>
          <cell r="O66">
            <v>0</v>
          </cell>
        </row>
        <row r="67">
          <cell r="A67">
            <v>6</v>
          </cell>
          <cell r="B67" t="str">
            <v>LDB,PDB status - incomer MCCB</v>
          </cell>
          <cell r="G67">
            <v>4</v>
          </cell>
          <cell r="I67" t="str">
            <v>signal from potential free contact</v>
          </cell>
          <cell r="K67" t="str">
            <v>Electrical Vendor</v>
          </cell>
          <cell r="L67">
            <v>0</v>
          </cell>
          <cell r="M67">
            <v>0</v>
          </cell>
          <cell r="N67">
            <v>0</v>
          </cell>
          <cell r="O67">
            <v>0</v>
          </cell>
        </row>
        <row r="68">
          <cell r="A68">
            <v>7</v>
          </cell>
          <cell r="B68" t="str">
            <v>Sprinkler line pressure switch</v>
          </cell>
          <cell r="G68">
            <v>2</v>
          </cell>
          <cell r="I68" t="str">
            <v>pressure switch</v>
          </cell>
          <cell r="J68" t="str">
            <v>B</v>
          </cell>
          <cell r="K68" t="str">
            <v>BAS vendor</v>
          </cell>
          <cell r="L68">
            <v>70</v>
          </cell>
          <cell r="M68">
            <v>0</v>
          </cell>
          <cell r="N68">
            <v>0</v>
          </cell>
          <cell r="O68">
            <v>0</v>
          </cell>
        </row>
        <row r="69">
          <cell r="A69">
            <v>8</v>
          </cell>
          <cell r="B69" t="str">
            <v>Lighting control &amp; local override command</v>
          </cell>
          <cell r="G69">
            <v>8</v>
          </cell>
          <cell r="H69">
            <v>8</v>
          </cell>
          <cell r="I69" t="str">
            <v>PIRs in toilets, buttons in utility rooms</v>
          </cell>
          <cell r="J69" t="str">
            <v>S</v>
          </cell>
          <cell r="K69" t="str">
            <v>BAS vendor</v>
          </cell>
          <cell r="M69">
            <v>280</v>
          </cell>
          <cell r="N69">
            <v>0</v>
          </cell>
          <cell r="O69">
            <v>0</v>
          </cell>
        </row>
        <row r="70">
          <cell r="B70" t="str">
            <v>Spare 10%</v>
          </cell>
          <cell r="D70">
            <v>0</v>
          </cell>
          <cell r="E70">
            <v>0</v>
          </cell>
          <cell r="F70">
            <v>0</v>
          </cell>
          <cell r="G70">
            <v>3</v>
          </cell>
          <cell r="H70">
            <v>2</v>
          </cell>
          <cell r="L70">
            <v>0</v>
          </cell>
          <cell r="M70">
            <v>0</v>
          </cell>
          <cell r="N70">
            <v>0</v>
          </cell>
          <cell r="O70">
            <v>0</v>
          </cell>
        </row>
        <row r="71">
          <cell r="A71" t="str">
            <v>CX</v>
          </cell>
          <cell r="B71" t="str">
            <v>Total I/O for Ventilation / lighting system</v>
          </cell>
          <cell r="D71">
            <v>0</v>
          </cell>
          <cell r="E71">
            <v>0</v>
          </cell>
          <cell r="F71">
            <v>0</v>
          </cell>
          <cell r="G71">
            <v>27</v>
          </cell>
          <cell r="H71">
            <v>14</v>
          </cell>
          <cell r="I71">
            <v>35</v>
          </cell>
          <cell r="L71">
            <v>70</v>
          </cell>
          <cell r="M71">
            <v>280</v>
          </cell>
          <cell r="N71">
            <v>0</v>
          </cell>
          <cell r="O71">
            <v>0</v>
          </cell>
        </row>
        <row r="72">
          <cell r="B72" t="str">
            <v>Total I/Os for Energy metering/Vent/Ltng</v>
          </cell>
          <cell r="D72">
            <v>0</v>
          </cell>
          <cell r="E72">
            <v>0</v>
          </cell>
          <cell r="F72">
            <v>0</v>
          </cell>
          <cell r="G72">
            <v>945</v>
          </cell>
          <cell r="H72">
            <v>490</v>
          </cell>
          <cell r="K72" t="str">
            <v>This quantity is assumed and can alter based on design &amp; build scheme of the ACMV contractor</v>
          </cell>
          <cell r="N72">
            <v>0</v>
          </cell>
          <cell r="O72">
            <v>0</v>
          </cell>
        </row>
        <row r="73">
          <cell r="A73" t="str">
            <v>D</v>
          </cell>
          <cell r="B73" t="str">
            <v>Car Park Ventilation Fans - Qty</v>
          </cell>
          <cell r="I73">
            <v>2</v>
          </cell>
          <cell r="K73" t="str">
            <v>This quantity is assumed and can alter based on design &amp; build scheme of the ACMV contractor</v>
          </cell>
          <cell r="L73">
            <v>0</v>
          </cell>
          <cell r="M73">
            <v>0</v>
          </cell>
          <cell r="N73">
            <v>0</v>
          </cell>
          <cell r="O73">
            <v>0</v>
          </cell>
        </row>
        <row r="74">
          <cell r="A74">
            <v>1</v>
          </cell>
          <cell r="B74" t="str">
            <v>Fan ON / OFF Command</v>
          </cell>
          <cell r="H74">
            <v>2</v>
          </cell>
          <cell r="I74" t="str">
            <v>Command to Ventilation panel</v>
          </cell>
          <cell r="K74" t="str">
            <v>ACMV Vendor</v>
          </cell>
          <cell r="L74">
            <v>0</v>
          </cell>
          <cell r="M74">
            <v>0</v>
          </cell>
          <cell r="N74">
            <v>0</v>
          </cell>
          <cell r="O74">
            <v>0</v>
          </cell>
        </row>
        <row r="75">
          <cell r="A75">
            <v>2</v>
          </cell>
          <cell r="B75" t="str">
            <v>Fan ON / OFF Status</v>
          </cell>
          <cell r="G75">
            <v>2</v>
          </cell>
          <cell r="I75" t="str">
            <v>signal from potential free contact</v>
          </cell>
          <cell r="K75" t="str">
            <v>ACMV Vendor</v>
          </cell>
          <cell r="L75">
            <v>0</v>
          </cell>
          <cell r="M75">
            <v>0</v>
          </cell>
          <cell r="N75">
            <v>0</v>
          </cell>
          <cell r="O75">
            <v>0</v>
          </cell>
        </row>
        <row r="76">
          <cell r="A76">
            <v>3</v>
          </cell>
          <cell r="B76" t="str">
            <v>Fan trip Status</v>
          </cell>
          <cell r="G76">
            <v>2</v>
          </cell>
          <cell r="I76" t="str">
            <v>signal from potential free contact</v>
          </cell>
          <cell r="K76" t="str">
            <v>ACMV Vendor</v>
          </cell>
          <cell r="L76">
            <v>0</v>
          </cell>
          <cell r="M76">
            <v>0</v>
          </cell>
          <cell r="N76">
            <v>0</v>
          </cell>
          <cell r="O76">
            <v>0</v>
          </cell>
        </row>
        <row r="77">
          <cell r="A77">
            <v>4</v>
          </cell>
          <cell r="B77" t="str">
            <v>Fan A/M Status</v>
          </cell>
          <cell r="G77">
            <v>2</v>
          </cell>
          <cell r="I77" t="str">
            <v>Signal from potential free contact.</v>
          </cell>
          <cell r="K77" t="str">
            <v>ACMV Vendor</v>
          </cell>
          <cell r="L77">
            <v>0</v>
          </cell>
          <cell r="M77">
            <v>0</v>
          </cell>
          <cell r="N77">
            <v>0</v>
          </cell>
          <cell r="O77">
            <v>0</v>
          </cell>
        </row>
        <row r="78">
          <cell r="A78">
            <v>5</v>
          </cell>
          <cell r="B78" t="str">
            <v>Carbon Monoxide Sensor</v>
          </cell>
          <cell r="E78">
            <v>2</v>
          </cell>
          <cell r="I78" t="str">
            <v xml:space="preserve">CO Sensor </v>
          </cell>
          <cell r="J78" t="str">
            <v>S</v>
          </cell>
          <cell r="K78" t="str">
            <v>BAS vendor</v>
          </cell>
          <cell r="L78">
            <v>0</v>
          </cell>
          <cell r="M78">
            <v>8</v>
          </cell>
          <cell r="N78">
            <v>0</v>
          </cell>
          <cell r="O78">
            <v>0</v>
          </cell>
        </row>
        <row r="79">
          <cell r="A79">
            <v>6</v>
          </cell>
          <cell r="B79" t="str">
            <v>MCC power supply status</v>
          </cell>
          <cell r="G79">
            <v>2</v>
          </cell>
          <cell r="I79" t="str">
            <v>signal from potential free contact.</v>
          </cell>
          <cell r="K79" t="str">
            <v>ACMV Vendor</v>
          </cell>
          <cell r="L79">
            <v>0</v>
          </cell>
          <cell r="M79">
            <v>0</v>
          </cell>
          <cell r="N79">
            <v>0</v>
          </cell>
          <cell r="O79">
            <v>0</v>
          </cell>
        </row>
        <row r="80">
          <cell r="B80" t="str">
            <v>Spare 10%</v>
          </cell>
          <cell r="D80">
            <v>0</v>
          </cell>
          <cell r="E80">
            <v>1</v>
          </cell>
          <cell r="F80">
            <v>0</v>
          </cell>
          <cell r="G80">
            <v>1</v>
          </cell>
          <cell r="H80">
            <v>1</v>
          </cell>
          <cell r="L80">
            <v>0</v>
          </cell>
          <cell r="M80">
            <v>0</v>
          </cell>
          <cell r="N80">
            <v>0</v>
          </cell>
          <cell r="O80">
            <v>0</v>
          </cell>
        </row>
        <row r="81">
          <cell r="A81" t="str">
            <v>DX</v>
          </cell>
          <cell r="B81" t="str">
            <v>Total I/O for Car Park ventilation</v>
          </cell>
          <cell r="D81">
            <v>0</v>
          </cell>
          <cell r="E81">
            <v>3</v>
          </cell>
          <cell r="F81">
            <v>0</v>
          </cell>
          <cell r="G81">
            <v>9</v>
          </cell>
          <cell r="H81">
            <v>3</v>
          </cell>
          <cell r="I81">
            <v>4</v>
          </cell>
          <cell r="L81">
            <v>0</v>
          </cell>
          <cell r="M81">
            <v>8</v>
          </cell>
          <cell r="N81">
            <v>0</v>
          </cell>
          <cell r="O81">
            <v>0</v>
          </cell>
        </row>
        <row r="82">
          <cell r="B82" t="str">
            <v>Total I/O for Car Park vent in complex</v>
          </cell>
          <cell r="D82">
            <v>0</v>
          </cell>
          <cell r="E82">
            <v>12</v>
          </cell>
          <cell r="F82">
            <v>0</v>
          </cell>
          <cell r="G82">
            <v>36</v>
          </cell>
          <cell r="H82">
            <v>12</v>
          </cell>
          <cell r="K82" t="str">
            <v>This quantity is assumed and can alter based on design &amp; build scheme of the ACMV contractor</v>
          </cell>
          <cell r="L82">
            <v>0</v>
          </cell>
          <cell r="N82">
            <v>0</v>
          </cell>
          <cell r="O82">
            <v>0</v>
          </cell>
        </row>
        <row r="83">
          <cell r="A83" t="str">
            <v>E</v>
          </cell>
          <cell r="B83" t="str">
            <v>Lifts monitoring &amp; Liftshaft pressurization fans- Qty</v>
          </cell>
          <cell r="I83">
            <v>1</v>
          </cell>
          <cell r="K83" t="str">
            <v>This quantity is assumed and can alter based on design &amp; build scheme of the ACMV contractor</v>
          </cell>
          <cell r="L83">
            <v>0</v>
          </cell>
          <cell r="M83">
            <v>0</v>
          </cell>
          <cell r="N83">
            <v>0</v>
          </cell>
          <cell r="O83">
            <v>0</v>
          </cell>
        </row>
        <row r="84">
          <cell r="A84">
            <v>1</v>
          </cell>
          <cell r="B84" t="str">
            <v>Fan ON / OFF Command</v>
          </cell>
          <cell r="H84">
            <v>5</v>
          </cell>
          <cell r="I84" t="str">
            <v>Command to fan panel</v>
          </cell>
          <cell r="K84" t="str">
            <v>ACMV Vendor</v>
          </cell>
          <cell r="L84">
            <v>0</v>
          </cell>
          <cell r="M84">
            <v>0</v>
          </cell>
          <cell r="N84">
            <v>0</v>
          </cell>
          <cell r="O84">
            <v>0</v>
          </cell>
        </row>
        <row r="85">
          <cell r="A85">
            <v>2</v>
          </cell>
          <cell r="B85" t="str">
            <v>Fan ON / OFF Status</v>
          </cell>
          <cell r="G85">
            <v>5</v>
          </cell>
          <cell r="I85" t="str">
            <v>signal from potential free contact</v>
          </cell>
          <cell r="K85" t="str">
            <v>ACMV Vendor</v>
          </cell>
          <cell r="L85">
            <v>0</v>
          </cell>
          <cell r="M85">
            <v>0</v>
          </cell>
          <cell r="N85">
            <v>0</v>
          </cell>
          <cell r="O85">
            <v>0</v>
          </cell>
        </row>
        <row r="86">
          <cell r="B86" t="str">
            <v>Lift contacts monitoring - Qty</v>
          </cell>
          <cell r="I86">
            <v>5</v>
          </cell>
          <cell r="L86">
            <v>0</v>
          </cell>
          <cell r="M86">
            <v>0</v>
          </cell>
          <cell r="N86">
            <v>0</v>
          </cell>
          <cell r="O86">
            <v>0</v>
          </cell>
        </row>
        <row r="87">
          <cell r="A87">
            <v>5</v>
          </cell>
          <cell r="B87" t="str">
            <v>Elevator trip, Alarm, fire man switch</v>
          </cell>
          <cell r="G87">
            <v>5</v>
          </cell>
          <cell r="I87" t="str">
            <v>signal from potential free contact</v>
          </cell>
          <cell r="K87" t="str">
            <v>Lifts vendor</v>
          </cell>
          <cell r="L87">
            <v>0</v>
          </cell>
          <cell r="M87">
            <v>0</v>
          </cell>
          <cell r="N87">
            <v>0</v>
          </cell>
          <cell r="O87">
            <v>0</v>
          </cell>
        </row>
        <row r="88">
          <cell r="A88">
            <v>6</v>
          </cell>
          <cell r="B88" t="str">
            <v>Elevator Floor Status</v>
          </cell>
          <cell r="G88">
            <v>50</v>
          </cell>
          <cell r="I88" t="str">
            <v>Signal from potential free contact</v>
          </cell>
          <cell r="K88" t="str">
            <v>Lifts vendor</v>
          </cell>
          <cell r="L88">
            <v>0</v>
          </cell>
          <cell r="M88">
            <v>0</v>
          </cell>
          <cell r="N88">
            <v>0</v>
          </cell>
          <cell r="O88">
            <v>0</v>
          </cell>
        </row>
        <row r="89">
          <cell r="A89">
            <v>7</v>
          </cell>
          <cell r="B89" t="str">
            <v>MCC power supply status</v>
          </cell>
          <cell r="G89">
            <v>1</v>
          </cell>
          <cell r="I89" t="str">
            <v>signal from potential free contact</v>
          </cell>
          <cell r="K89" t="str">
            <v>ACMV Vendor</v>
          </cell>
          <cell r="L89">
            <v>0</v>
          </cell>
          <cell r="M89">
            <v>0</v>
          </cell>
          <cell r="N89">
            <v>0</v>
          </cell>
          <cell r="O89">
            <v>0</v>
          </cell>
        </row>
        <row r="90">
          <cell r="A90">
            <v>8</v>
          </cell>
          <cell r="B90" t="str">
            <v>Spare 10%</v>
          </cell>
          <cell r="D90">
            <v>0</v>
          </cell>
          <cell r="E90">
            <v>0</v>
          </cell>
          <cell r="F90">
            <v>0</v>
          </cell>
          <cell r="G90">
            <v>7</v>
          </cell>
          <cell r="H90">
            <v>1</v>
          </cell>
          <cell r="L90">
            <v>0</v>
          </cell>
          <cell r="M90">
            <v>0</v>
          </cell>
          <cell r="N90">
            <v>0</v>
          </cell>
          <cell r="O90">
            <v>0</v>
          </cell>
        </row>
        <row r="91">
          <cell r="A91" t="str">
            <v>EX</v>
          </cell>
          <cell r="B91" t="str">
            <v>Total I/O for Lifts monitoring &amp; liftshaft pressurization</v>
          </cell>
          <cell r="D91">
            <v>0</v>
          </cell>
          <cell r="E91">
            <v>0</v>
          </cell>
          <cell r="F91">
            <v>0</v>
          </cell>
          <cell r="G91">
            <v>68</v>
          </cell>
          <cell r="H91">
            <v>6</v>
          </cell>
          <cell r="I91">
            <v>5</v>
          </cell>
        </row>
        <row r="92">
          <cell r="B92" t="str">
            <v>Total I/O for Lifts in complex</v>
          </cell>
          <cell r="D92">
            <v>0</v>
          </cell>
          <cell r="E92">
            <v>0</v>
          </cell>
          <cell r="F92">
            <v>0</v>
          </cell>
          <cell r="G92">
            <v>340</v>
          </cell>
          <cell r="H92">
            <v>30</v>
          </cell>
          <cell r="L92">
            <v>0</v>
          </cell>
          <cell r="M92">
            <v>0</v>
          </cell>
          <cell r="N92">
            <v>0</v>
          </cell>
          <cell r="O92">
            <v>0</v>
          </cell>
        </row>
        <row r="93">
          <cell r="A93" t="str">
            <v>F</v>
          </cell>
          <cell r="B93" t="str">
            <v>Electrical Distribution Monitoring/ 4xDGs</v>
          </cell>
          <cell r="I93">
            <v>103</v>
          </cell>
          <cell r="K93" t="str">
            <v>This quantity is assumed and can alter based on design &amp; build scheme of the ACMV contractor</v>
          </cell>
        </row>
        <row r="94">
          <cell r="A94">
            <v>1</v>
          </cell>
          <cell r="B94" t="str">
            <v>Main Incomeroutgoing Breaker status</v>
          </cell>
          <cell r="I94" t="str">
            <v>serial bus with Modbus RTU protocol</v>
          </cell>
          <cell r="K94" t="str">
            <v>Electrical vendor</v>
          </cell>
        </row>
        <row r="95">
          <cell r="A95">
            <v>2</v>
          </cell>
          <cell r="B95" t="str">
            <v>Main Incomer/ outgoing  Breaker Trip</v>
          </cell>
          <cell r="I95" t="str">
            <v>serial bus with Modbus RTU protocol</v>
          </cell>
          <cell r="K95" t="str">
            <v>Electrical vendor</v>
          </cell>
        </row>
        <row r="96">
          <cell r="A96">
            <v>3</v>
          </cell>
          <cell r="B96" t="str">
            <v>Transofrmer alarms WTI, BHR,MOG</v>
          </cell>
          <cell r="G96">
            <v>12</v>
          </cell>
          <cell r="I96" t="str">
            <v>signal from potential free contact</v>
          </cell>
          <cell r="K96" t="str">
            <v>Electrical vendor</v>
          </cell>
        </row>
        <row r="97">
          <cell r="A97">
            <v>4</v>
          </cell>
          <cell r="B97" t="str">
            <v>Relays in incomer/ outgoing feeders</v>
          </cell>
          <cell r="I97" t="str">
            <v>serial bus with Modbus RTU protocol</v>
          </cell>
          <cell r="K97" t="str">
            <v>Electrical vendor</v>
          </cell>
        </row>
        <row r="98">
          <cell r="A98">
            <v>5</v>
          </cell>
          <cell r="B98" t="str">
            <v>Energy metering from composite TVM</v>
          </cell>
          <cell r="I98" t="str">
            <v>Composite meter with RS485 O/P</v>
          </cell>
          <cell r="K98" t="str">
            <v>Electrical vendor</v>
          </cell>
        </row>
        <row r="99">
          <cell r="A99">
            <v>6</v>
          </cell>
          <cell r="B99" t="str">
            <v>Perimeter Lighting ON/OFF Command.</v>
          </cell>
          <cell r="H99">
            <v>12</v>
          </cell>
          <cell r="I99" t="str">
            <v>Command to Lighting contactor</v>
          </cell>
          <cell r="K99" t="str">
            <v>Electrical Vendor</v>
          </cell>
        </row>
        <row r="100">
          <cell r="A100">
            <v>7</v>
          </cell>
          <cell r="B100" t="str">
            <v>Perimeter Lighting ON/OFF status.</v>
          </cell>
          <cell r="G100">
            <v>12</v>
          </cell>
          <cell r="I100" t="str">
            <v>Signal from potential free contact</v>
          </cell>
          <cell r="K100" t="str">
            <v>Electrical Vendor</v>
          </cell>
        </row>
        <row r="101">
          <cell r="A101">
            <v>1</v>
          </cell>
          <cell r="B101" t="str">
            <v>DG Set ON/OFF Status</v>
          </cell>
          <cell r="G101">
            <v>4</v>
          </cell>
          <cell r="I101" t="str">
            <v>signal from potential free contact</v>
          </cell>
          <cell r="K101" t="str">
            <v>DG vendor</v>
          </cell>
        </row>
        <row r="102">
          <cell r="A102">
            <v>2</v>
          </cell>
          <cell r="B102" t="str">
            <v>DG breaker trip</v>
          </cell>
          <cell r="G102">
            <v>4</v>
          </cell>
          <cell r="I102" t="str">
            <v>signal from potential free contact</v>
          </cell>
          <cell r="K102" t="str">
            <v>DG vendor</v>
          </cell>
        </row>
        <row r="103">
          <cell r="A103">
            <v>3</v>
          </cell>
          <cell r="B103" t="str">
            <v>DG failure alarm</v>
          </cell>
          <cell r="G103">
            <v>4</v>
          </cell>
          <cell r="I103" t="str">
            <v>signal from potential free contact</v>
          </cell>
          <cell r="K103" t="str">
            <v>DG vendor</v>
          </cell>
        </row>
        <row r="104">
          <cell r="A104">
            <v>4</v>
          </cell>
          <cell r="B104" t="str">
            <v xml:space="preserve">Fuel Pump Trip </v>
          </cell>
          <cell r="G104">
            <v>4</v>
          </cell>
          <cell r="I104" t="str">
            <v>signal from potential free contact</v>
          </cell>
          <cell r="K104" t="str">
            <v>DG vendor</v>
          </cell>
        </row>
        <row r="105">
          <cell r="A105">
            <v>5</v>
          </cell>
          <cell r="B105" t="str">
            <v>Battery low status</v>
          </cell>
          <cell r="G105">
            <v>4</v>
          </cell>
          <cell r="I105" t="str">
            <v>signal from potential free contact</v>
          </cell>
          <cell r="K105" t="str">
            <v>DG vendor</v>
          </cell>
        </row>
        <row r="106">
          <cell r="A106">
            <v>6</v>
          </cell>
          <cell r="B106" t="str">
            <v>Fuel tank level High / Low status</v>
          </cell>
          <cell r="G106">
            <v>8</v>
          </cell>
          <cell r="I106" t="str">
            <v>signal from potential free contact</v>
          </cell>
          <cell r="K106" t="str">
            <v>DG vendor</v>
          </cell>
        </row>
        <row r="107">
          <cell r="A107">
            <v>7</v>
          </cell>
          <cell r="B107" t="str">
            <v>Energy Monitoring For [V,I, KWH, PF,Frq]</v>
          </cell>
          <cell r="I107" t="str">
            <v>Composite meter with RS485 O/P</v>
          </cell>
          <cell r="K107" t="str">
            <v>DG vendor</v>
          </cell>
        </row>
        <row r="108">
          <cell r="B108" t="str">
            <v>Spare 10%</v>
          </cell>
          <cell r="D108">
            <v>0</v>
          </cell>
          <cell r="E108">
            <v>0</v>
          </cell>
          <cell r="F108">
            <v>0</v>
          </cell>
          <cell r="G108">
            <v>6</v>
          </cell>
          <cell r="H108">
            <v>2</v>
          </cell>
        </row>
        <row r="109">
          <cell r="A109" t="str">
            <v>FX</v>
          </cell>
          <cell r="B109" t="str">
            <v>Total I/O</v>
          </cell>
          <cell r="D109">
            <v>0</v>
          </cell>
          <cell r="E109">
            <v>0</v>
          </cell>
          <cell r="F109">
            <v>0</v>
          </cell>
          <cell r="G109">
            <v>58</v>
          </cell>
          <cell r="H109">
            <v>14</v>
          </cell>
          <cell r="I109">
            <v>1</v>
          </cell>
        </row>
        <row r="110">
          <cell r="B110" t="str">
            <v>Total I/O for ELEC.DISTRIB/DGs in complex</v>
          </cell>
          <cell r="D110">
            <v>0</v>
          </cell>
          <cell r="E110">
            <v>0</v>
          </cell>
          <cell r="F110">
            <v>0</v>
          </cell>
          <cell r="G110">
            <v>58</v>
          </cell>
          <cell r="H110">
            <v>14</v>
          </cell>
          <cell r="L110">
            <v>0</v>
          </cell>
          <cell r="M110">
            <v>0</v>
          </cell>
          <cell r="N110">
            <v>0</v>
          </cell>
          <cell r="O110">
            <v>0</v>
          </cell>
        </row>
        <row r="111">
          <cell r="A111" t="str">
            <v>G</v>
          </cell>
          <cell r="B111" t="str">
            <v>Water Management/Fire protection System (3x sumps, 5x OH tanks)</v>
          </cell>
          <cell r="K111" t="str">
            <v>This quantity is assumed and can alter based on design &amp; build scheme of the ACMV contractor</v>
          </cell>
        </row>
        <row r="112">
          <cell r="B112" t="str">
            <v>Domestic Water Pumping System [Water Pumps]</v>
          </cell>
          <cell r="I112">
            <v>7</v>
          </cell>
        </row>
        <row r="113">
          <cell r="A113">
            <v>1</v>
          </cell>
          <cell r="B113" t="str">
            <v>Water pump ON/OFF command.</v>
          </cell>
          <cell r="H113">
            <v>7</v>
          </cell>
          <cell r="I113" t="str">
            <v>Command to Pump Panel</v>
          </cell>
          <cell r="K113" t="str">
            <v>Electrical Vendor</v>
          </cell>
        </row>
        <row r="114">
          <cell r="A114">
            <v>2</v>
          </cell>
          <cell r="B114" t="str">
            <v>Water pump ON/OFF status</v>
          </cell>
          <cell r="G114">
            <v>7</v>
          </cell>
          <cell r="I114" t="str">
            <v>Signal from potential free contact.</v>
          </cell>
          <cell r="K114" t="str">
            <v>Electrical Vendor</v>
          </cell>
        </row>
        <row r="115">
          <cell r="A115">
            <v>3</v>
          </cell>
          <cell r="B115" t="str">
            <v>Water pump trip status.</v>
          </cell>
          <cell r="G115">
            <v>7</v>
          </cell>
          <cell r="I115" t="str">
            <v>Signal from potential free contact.</v>
          </cell>
          <cell r="K115" t="str">
            <v>Electrical Vendor</v>
          </cell>
        </row>
        <row r="116">
          <cell r="A116">
            <v>4</v>
          </cell>
          <cell r="B116" t="str">
            <v>Water pump Auto / Manual status.</v>
          </cell>
          <cell r="G116">
            <v>7</v>
          </cell>
          <cell r="I116" t="str">
            <v>Signal from potential free contact.</v>
          </cell>
          <cell r="K116" t="str">
            <v>Electrical Vendor</v>
          </cell>
        </row>
        <row r="117">
          <cell r="A117">
            <v>5</v>
          </cell>
          <cell r="B117" t="str">
            <v>O.H Tank level High / Low monitoring.</v>
          </cell>
          <cell r="E117">
            <v>8</v>
          </cell>
          <cell r="I117" t="str">
            <v>Level Sensor</v>
          </cell>
          <cell r="J117" t="str">
            <v>S</v>
          </cell>
          <cell r="K117" t="str">
            <v>BAS Vendor</v>
          </cell>
          <cell r="M117">
            <v>4</v>
          </cell>
        </row>
        <row r="118">
          <cell r="A118">
            <v>6</v>
          </cell>
          <cell r="B118" t="str">
            <v>Sump level High / Low monitoring</v>
          </cell>
          <cell r="G118">
            <v>6</v>
          </cell>
          <cell r="I118" t="str">
            <v>Level Switch</v>
          </cell>
          <cell r="J118" t="str">
            <v>B</v>
          </cell>
          <cell r="K118" t="str">
            <v>BAS Vendor</v>
          </cell>
          <cell r="L118">
            <v>3</v>
          </cell>
        </row>
        <row r="119">
          <cell r="B119" t="str">
            <v>Water Softener Plant</v>
          </cell>
          <cell r="I119">
            <v>2</v>
          </cell>
        </row>
        <row r="120">
          <cell r="A120">
            <v>7</v>
          </cell>
          <cell r="B120" t="str">
            <v>Softener feed pump ON/OFF command.</v>
          </cell>
          <cell r="H120">
            <v>2</v>
          </cell>
          <cell r="I120" t="str">
            <v>Command to Pump Panel</v>
          </cell>
          <cell r="K120" t="str">
            <v>Electrical Vendor</v>
          </cell>
        </row>
        <row r="121">
          <cell r="A121">
            <v>8</v>
          </cell>
          <cell r="B121" t="str">
            <v>Softener feed pump ON/OFF status.</v>
          </cell>
          <cell r="G121">
            <v>2</v>
          </cell>
          <cell r="I121" t="str">
            <v>Signal from potential free contact.</v>
          </cell>
          <cell r="K121" t="str">
            <v>Electrical Vendor</v>
          </cell>
        </row>
        <row r="122">
          <cell r="A122">
            <v>9</v>
          </cell>
          <cell r="B122" t="str">
            <v>Softener feed pump trip status.</v>
          </cell>
          <cell r="G122">
            <v>2</v>
          </cell>
          <cell r="I122" t="str">
            <v>Signal from potential free contact.</v>
          </cell>
          <cell r="K122" t="str">
            <v>Electrical Vendor</v>
          </cell>
        </row>
        <row r="123">
          <cell r="A123">
            <v>10</v>
          </cell>
          <cell r="B123" t="str">
            <v>Softener feed pump Auto / Manual status.</v>
          </cell>
          <cell r="G123">
            <v>2</v>
          </cell>
          <cell r="I123" t="str">
            <v>Signal from potential free contact.</v>
          </cell>
          <cell r="K123" t="str">
            <v>Electrical Vendor</v>
          </cell>
        </row>
        <row r="124">
          <cell r="B124" t="str">
            <v>Irrigation Pumping System</v>
          </cell>
          <cell r="I124">
            <v>3</v>
          </cell>
        </row>
        <row r="125">
          <cell r="A125">
            <v>11</v>
          </cell>
          <cell r="B125" t="str">
            <v>Irrigation pump ON/OFF command.</v>
          </cell>
          <cell r="H125">
            <v>3</v>
          </cell>
          <cell r="I125" t="str">
            <v>Command to Pump Panel</v>
          </cell>
          <cell r="K125" t="str">
            <v>Electrical Vendor</v>
          </cell>
        </row>
        <row r="126">
          <cell r="A126">
            <v>12</v>
          </cell>
          <cell r="B126" t="str">
            <v>Irrigation pump ON/OFF status</v>
          </cell>
          <cell r="G126">
            <v>3</v>
          </cell>
          <cell r="I126" t="str">
            <v>Signal from potential free contact.</v>
          </cell>
          <cell r="K126" t="str">
            <v>Electrical Vendor</v>
          </cell>
        </row>
        <row r="127">
          <cell r="A127">
            <v>13</v>
          </cell>
          <cell r="B127" t="str">
            <v>Irrigation pump trip status</v>
          </cell>
          <cell r="G127">
            <v>3</v>
          </cell>
          <cell r="H127">
            <v>0</v>
          </cell>
          <cell r="I127" t="str">
            <v>Signal from potential free contact.</v>
          </cell>
          <cell r="K127" t="str">
            <v>Electrical Vendor</v>
          </cell>
        </row>
        <row r="128">
          <cell r="A128">
            <v>14</v>
          </cell>
          <cell r="B128" t="str">
            <v>Irrigation pump Auto / Manual status</v>
          </cell>
          <cell r="G128">
            <v>3</v>
          </cell>
          <cell r="H128">
            <v>0</v>
          </cell>
          <cell r="I128" t="str">
            <v>Signal from potential free contact.</v>
          </cell>
          <cell r="K128" t="str">
            <v>Electrical Vendor</v>
          </cell>
        </row>
        <row r="129">
          <cell r="B129" t="str">
            <v>Fire Pumps</v>
          </cell>
        </row>
        <row r="130">
          <cell r="A130">
            <v>15</v>
          </cell>
          <cell r="B130" t="str">
            <v>Fire pump ON/OFF status</v>
          </cell>
          <cell r="G130">
            <v>3</v>
          </cell>
          <cell r="I130" t="str">
            <v>Signal from potential free contact.</v>
          </cell>
          <cell r="K130" t="str">
            <v>Electrical Vendor</v>
          </cell>
        </row>
        <row r="131">
          <cell r="A131">
            <v>16</v>
          </cell>
          <cell r="B131" t="str">
            <v>Fire pump trip status</v>
          </cell>
          <cell r="G131">
            <v>3</v>
          </cell>
          <cell r="I131" t="str">
            <v>Signal from potential free contact.</v>
          </cell>
          <cell r="K131" t="str">
            <v>Electrical Vendor</v>
          </cell>
        </row>
        <row r="132">
          <cell r="A132">
            <v>17</v>
          </cell>
          <cell r="B132" t="str">
            <v>Sprinkler Line pressure sensor</v>
          </cell>
          <cell r="E132">
            <v>1</v>
          </cell>
          <cell r="I132" t="str">
            <v>Pressure sensor</v>
          </cell>
          <cell r="J132" t="str">
            <v>S</v>
          </cell>
          <cell r="K132" t="str">
            <v>BAS Vendor</v>
          </cell>
          <cell r="M132">
            <v>1</v>
          </cell>
        </row>
        <row r="133">
          <cell r="B133" t="str">
            <v>Spare 10%</v>
          </cell>
          <cell r="D133">
            <v>0</v>
          </cell>
          <cell r="E133">
            <v>1</v>
          </cell>
          <cell r="F133">
            <v>0</v>
          </cell>
          <cell r="G133">
            <v>5</v>
          </cell>
          <cell r="H133">
            <v>2</v>
          </cell>
        </row>
        <row r="134">
          <cell r="A134" t="str">
            <v>GX</v>
          </cell>
          <cell r="B134" t="str">
            <v>Total I/O for water management in complex</v>
          </cell>
          <cell r="D134">
            <v>0</v>
          </cell>
          <cell r="E134">
            <v>10</v>
          </cell>
          <cell r="F134">
            <v>0</v>
          </cell>
          <cell r="G134">
            <v>53</v>
          </cell>
          <cell r="H134">
            <v>14</v>
          </cell>
          <cell r="I134">
            <v>1</v>
          </cell>
          <cell r="L134">
            <v>3</v>
          </cell>
          <cell r="M134">
            <v>5</v>
          </cell>
          <cell r="N134">
            <v>0</v>
          </cell>
          <cell r="O134">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Tickmarks"/>
      <sheetName val="1-8"/>
      <sheetName val="IO LIST"/>
      <sheetName val="xref"/>
      <sheetName val="Reference"/>
      <sheetName val="instructions"/>
      <sheetName val="Sheet2"/>
      <sheetName val="Überblick"/>
      <sheetName val="Content Instructions"/>
      <sheetName val="MSS Enagement Summary Form"/>
    </sheetNames>
    <sheetDataSet>
      <sheetData sheetId="0" refreshError="1">
        <row r="1">
          <cell r="F1">
            <v>39172</v>
          </cell>
        </row>
        <row r="2">
          <cell r="D2">
            <v>39172</v>
          </cell>
        </row>
        <row r="4">
          <cell r="D4">
            <v>0</v>
          </cell>
        </row>
        <row r="5">
          <cell r="D5">
            <v>0</v>
          </cell>
        </row>
        <row r="6">
          <cell r="D6">
            <v>0</v>
          </cell>
        </row>
        <row r="7">
          <cell r="D7">
            <v>8934724.4800000004</v>
          </cell>
        </row>
        <row r="8">
          <cell r="D8">
            <v>0</v>
          </cell>
        </row>
        <row r="9">
          <cell r="D9">
            <v>0</v>
          </cell>
        </row>
        <row r="10">
          <cell r="D10">
            <v>63862</v>
          </cell>
        </row>
        <row r="11">
          <cell r="D11">
            <v>85000</v>
          </cell>
        </row>
        <row r="12">
          <cell r="D12">
            <v>54440</v>
          </cell>
        </row>
        <row r="13">
          <cell r="D13">
            <v>0</v>
          </cell>
        </row>
        <row r="14">
          <cell r="D14">
            <v>0</v>
          </cell>
        </row>
        <row r="15">
          <cell r="D15">
            <v>0</v>
          </cell>
        </row>
        <row r="16">
          <cell r="D16">
            <v>0</v>
          </cell>
        </row>
        <row r="17">
          <cell r="D17">
            <v>952316</v>
          </cell>
        </row>
        <row r="18">
          <cell r="D18">
            <v>0</v>
          </cell>
        </row>
        <row r="19">
          <cell r="D19">
            <v>168</v>
          </cell>
        </row>
        <row r="20">
          <cell r="D20">
            <v>0</v>
          </cell>
        </row>
        <row r="21">
          <cell r="D21">
            <v>68711.8</v>
          </cell>
        </row>
        <row r="22">
          <cell r="D22">
            <v>2080052.89</v>
          </cell>
        </row>
        <row r="23">
          <cell r="D23">
            <v>19425.22</v>
          </cell>
        </row>
        <row r="24">
          <cell r="D24">
            <v>0</v>
          </cell>
        </row>
        <row r="25">
          <cell r="D25">
            <v>0</v>
          </cell>
        </row>
        <row r="26">
          <cell r="D26">
            <v>0</v>
          </cell>
        </row>
        <row r="27">
          <cell r="D27">
            <v>0</v>
          </cell>
        </row>
        <row r="28">
          <cell r="D28">
            <v>0</v>
          </cell>
        </row>
        <row r="29">
          <cell r="D29">
            <v>2464537.44</v>
          </cell>
        </row>
        <row r="30">
          <cell r="D30">
            <v>97636.32</v>
          </cell>
        </row>
        <row r="31">
          <cell r="D31">
            <v>3222299.6</v>
          </cell>
        </row>
        <row r="32">
          <cell r="D32">
            <v>80367.25</v>
          </cell>
        </row>
        <row r="33">
          <cell r="D33">
            <v>12733685.359999999</v>
          </cell>
        </row>
        <row r="34">
          <cell r="D34">
            <v>14943966.300000001</v>
          </cell>
        </row>
        <row r="35">
          <cell r="D35">
            <v>398125</v>
          </cell>
        </row>
        <row r="36">
          <cell r="D36">
            <v>0</v>
          </cell>
        </row>
        <row r="37">
          <cell r="D37">
            <v>321814</v>
          </cell>
        </row>
        <row r="38">
          <cell r="D38">
            <v>2751708.69</v>
          </cell>
        </row>
        <row r="39">
          <cell r="D39">
            <v>4745</v>
          </cell>
        </row>
        <row r="40">
          <cell r="D40">
            <v>4006617.71</v>
          </cell>
        </row>
        <row r="41">
          <cell r="D41">
            <v>0</v>
          </cell>
        </row>
        <row r="42">
          <cell r="D42">
            <v>0</v>
          </cell>
        </row>
        <row r="43">
          <cell r="D43">
            <v>43747.5</v>
          </cell>
        </row>
        <row r="44">
          <cell r="D44">
            <v>0</v>
          </cell>
        </row>
        <row r="45">
          <cell r="D45">
            <v>18094</v>
          </cell>
        </row>
        <row r="46">
          <cell r="D46">
            <v>78683.94</v>
          </cell>
        </row>
        <row r="47">
          <cell r="D47">
            <v>0</v>
          </cell>
        </row>
        <row r="48">
          <cell r="D48">
            <v>0</v>
          </cell>
        </row>
        <row r="49">
          <cell r="D49">
            <v>2281441.48</v>
          </cell>
        </row>
        <row r="50">
          <cell r="D50">
            <v>0</v>
          </cell>
        </row>
        <row r="51">
          <cell r="D51">
            <v>9894481.6099999994</v>
          </cell>
        </row>
        <row r="52">
          <cell r="D52">
            <v>0</v>
          </cell>
        </row>
        <row r="53">
          <cell r="D53">
            <v>0</v>
          </cell>
        </row>
        <row r="54">
          <cell r="D54">
            <v>1232414.31</v>
          </cell>
        </row>
        <row r="55">
          <cell r="D55">
            <v>24814.400000000001</v>
          </cell>
        </row>
        <row r="56">
          <cell r="D56">
            <v>158697</v>
          </cell>
        </row>
        <row r="57">
          <cell r="D57">
            <v>2053377.28</v>
          </cell>
        </row>
        <row r="58">
          <cell r="D58">
            <v>0</v>
          </cell>
        </row>
        <row r="59">
          <cell r="D59">
            <v>5467693</v>
          </cell>
        </row>
        <row r="60">
          <cell r="D60">
            <v>10586098.26</v>
          </cell>
        </row>
        <row r="61">
          <cell r="D61">
            <v>215400</v>
          </cell>
        </row>
        <row r="62">
          <cell r="D62">
            <v>471669</v>
          </cell>
        </row>
        <row r="63">
          <cell r="D63">
            <v>0</v>
          </cell>
        </row>
        <row r="64">
          <cell r="D64">
            <v>0</v>
          </cell>
        </row>
        <row r="65">
          <cell r="D65">
            <v>0</v>
          </cell>
        </row>
        <row r="66">
          <cell r="D66">
            <v>0</v>
          </cell>
        </row>
        <row r="67">
          <cell r="D67">
            <v>48668553.270000003</v>
          </cell>
        </row>
        <row r="68">
          <cell r="D68">
            <v>3212025</v>
          </cell>
        </row>
        <row r="69">
          <cell r="D69">
            <v>193968.53</v>
          </cell>
        </row>
        <row r="70">
          <cell r="D70">
            <v>5324572.22</v>
          </cell>
        </row>
        <row r="71">
          <cell r="D71">
            <v>334</v>
          </cell>
        </row>
        <row r="72">
          <cell r="D72">
            <v>626526.38</v>
          </cell>
        </row>
        <row r="73">
          <cell r="D73">
            <v>1305255.55</v>
          </cell>
        </row>
        <row r="74">
          <cell r="D74">
            <v>0</v>
          </cell>
        </row>
        <row r="75">
          <cell r="D75">
            <v>1420520.46</v>
          </cell>
        </row>
        <row r="76">
          <cell r="D76">
            <v>310007.87</v>
          </cell>
        </row>
        <row r="77">
          <cell r="D77">
            <v>93090</v>
          </cell>
        </row>
        <row r="78">
          <cell r="D78">
            <v>0</v>
          </cell>
        </row>
        <row r="79">
          <cell r="D79">
            <v>609391</v>
          </cell>
        </row>
        <row r="80">
          <cell r="D80">
            <v>498648.7</v>
          </cell>
        </row>
        <row r="81">
          <cell r="D81">
            <v>536261.35</v>
          </cell>
        </row>
        <row r="82">
          <cell r="D82">
            <v>41884.9</v>
          </cell>
        </row>
        <row r="83">
          <cell r="D83">
            <v>0</v>
          </cell>
        </row>
        <row r="84">
          <cell r="D84">
            <v>0</v>
          </cell>
        </row>
        <row r="85">
          <cell r="D85">
            <v>23050</v>
          </cell>
        </row>
        <row r="86">
          <cell r="D86">
            <v>501027</v>
          </cell>
        </row>
        <row r="87">
          <cell r="D87">
            <v>0</v>
          </cell>
        </row>
        <row r="88">
          <cell r="D88">
            <v>242347</v>
          </cell>
        </row>
        <row r="89">
          <cell r="D89">
            <v>1022737.8</v>
          </cell>
        </row>
        <row r="90">
          <cell r="D90">
            <v>904587.74</v>
          </cell>
        </row>
        <row r="91">
          <cell r="D91">
            <v>3165823</v>
          </cell>
        </row>
        <row r="92">
          <cell r="D92">
            <v>0</v>
          </cell>
        </row>
        <row r="93">
          <cell r="D93">
            <v>229573657.27000001</v>
          </cell>
        </row>
        <row r="94">
          <cell r="D94">
            <v>35295926.399999999</v>
          </cell>
        </row>
        <row r="95">
          <cell r="D95">
            <v>0</v>
          </cell>
        </row>
        <row r="96">
          <cell r="D96">
            <v>0</v>
          </cell>
        </row>
        <row r="97">
          <cell r="D97">
            <v>858943.51</v>
          </cell>
        </row>
        <row r="98">
          <cell r="D98">
            <v>0</v>
          </cell>
        </row>
        <row r="99">
          <cell r="D99">
            <v>0</v>
          </cell>
        </row>
        <row r="100">
          <cell r="D100">
            <v>0</v>
          </cell>
        </row>
        <row r="101">
          <cell r="D101">
            <v>3500</v>
          </cell>
        </row>
        <row r="102">
          <cell r="D102">
            <v>0</v>
          </cell>
        </row>
        <row r="103">
          <cell r="D103">
            <v>1137640.93</v>
          </cell>
        </row>
        <row r="104">
          <cell r="D104">
            <v>0</v>
          </cell>
        </row>
        <row r="105">
          <cell r="D105">
            <v>11457250.300000001</v>
          </cell>
        </row>
        <row r="106">
          <cell r="D106">
            <v>0</v>
          </cell>
        </row>
        <row r="107">
          <cell r="D107">
            <v>0</v>
          </cell>
        </row>
        <row r="108">
          <cell r="D108">
            <v>4777722.96</v>
          </cell>
        </row>
        <row r="109">
          <cell r="D109">
            <v>25771305.289999999</v>
          </cell>
        </row>
        <row r="110">
          <cell r="D110">
            <v>5024662</v>
          </cell>
        </row>
        <row r="111">
          <cell r="D111">
            <v>0</v>
          </cell>
        </row>
        <row r="112">
          <cell r="D112">
            <v>0</v>
          </cell>
        </row>
        <row r="113">
          <cell r="D113">
            <v>0</v>
          </cell>
        </row>
        <row r="114">
          <cell r="D114">
            <v>0</v>
          </cell>
        </row>
        <row r="115">
          <cell r="D115">
            <v>1559420</v>
          </cell>
        </row>
        <row r="116">
          <cell r="D116">
            <v>2359365</v>
          </cell>
        </row>
        <row r="117">
          <cell r="D117">
            <v>11019778.5</v>
          </cell>
        </row>
        <row r="118">
          <cell r="D118">
            <v>106040.4</v>
          </cell>
        </row>
        <row r="119">
          <cell r="D119">
            <v>0</v>
          </cell>
        </row>
        <row r="120">
          <cell r="D120">
            <v>4853151.3099999996</v>
          </cell>
        </row>
        <row r="121">
          <cell r="D121">
            <v>0</v>
          </cell>
        </row>
        <row r="122">
          <cell r="D122">
            <v>0</v>
          </cell>
        </row>
        <row r="123">
          <cell r="D123">
            <v>1325984.21</v>
          </cell>
        </row>
        <row r="124">
          <cell r="D124">
            <v>363801</v>
          </cell>
        </row>
        <row r="125">
          <cell r="D125">
            <v>5274722.5599999996</v>
          </cell>
        </row>
        <row r="126">
          <cell r="D126">
            <v>0</v>
          </cell>
        </row>
        <row r="127">
          <cell r="D127">
            <v>0</v>
          </cell>
        </row>
        <row r="128">
          <cell r="D128">
            <v>0</v>
          </cell>
        </row>
        <row r="129">
          <cell r="D129">
            <v>0</v>
          </cell>
        </row>
        <row r="130">
          <cell r="D130">
            <v>2715701</v>
          </cell>
        </row>
        <row r="131">
          <cell r="D131">
            <v>0</v>
          </cell>
        </row>
        <row r="132">
          <cell r="D132">
            <v>81696.5</v>
          </cell>
        </row>
        <row r="133">
          <cell r="D133">
            <v>498071695.75</v>
          </cell>
        </row>
        <row r="135">
          <cell r="D135">
            <v>0</v>
          </cell>
        </row>
        <row r="136">
          <cell r="D136">
            <v>0</v>
          </cell>
        </row>
        <row r="138">
          <cell r="D138">
            <v>0</v>
          </cell>
        </row>
        <row r="139">
          <cell r="D139">
            <v>39318.68</v>
          </cell>
        </row>
        <row r="140">
          <cell r="D140">
            <v>0</v>
          </cell>
        </row>
        <row r="141">
          <cell r="D141">
            <v>0</v>
          </cell>
        </row>
        <row r="142">
          <cell r="D142">
            <v>2683549.14</v>
          </cell>
        </row>
        <row r="143">
          <cell r="D143">
            <v>280306.89</v>
          </cell>
        </row>
        <row r="144">
          <cell r="D144">
            <v>474373.35</v>
          </cell>
        </row>
        <row r="145">
          <cell r="D145">
            <v>0</v>
          </cell>
        </row>
        <row r="146">
          <cell r="D146">
            <v>0</v>
          </cell>
        </row>
        <row r="147">
          <cell r="D147">
            <v>1984472.2</v>
          </cell>
        </row>
        <row r="148">
          <cell r="D148">
            <v>5462020.2600000007</v>
          </cell>
        </row>
        <row r="150">
          <cell r="D150">
            <v>0</v>
          </cell>
        </row>
        <row r="151">
          <cell r="D151">
            <v>503533716.00999999</v>
          </cell>
        </row>
      </sheetData>
      <sheetData sheetId="1" refreshError="1">
        <row r="1">
          <cell r="F1">
            <v>39172</v>
          </cell>
        </row>
        <row r="3">
          <cell r="F3">
            <v>0</v>
          </cell>
        </row>
        <row r="4">
          <cell r="F4">
            <v>0</v>
          </cell>
        </row>
        <row r="5">
          <cell r="F5">
            <v>0</v>
          </cell>
        </row>
        <row r="6">
          <cell r="F6">
            <v>8934724.4800000004</v>
          </cell>
        </row>
        <row r="7">
          <cell r="F7">
            <v>0</v>
          </cell>
        </row>
        <row r="8">
          <cell r="F8">
            <v>0</v>
          </cell>
        </row>
        <row r="9">
          <cell r="F9">
            <v>63862</v>
          </cell>
        </row>
        <row r="10">
          <cell r="F10">
            <v>85000</v>
          </cell>
        </row>
        <row r="11">
          <cell r="F11">
            <v>54440</v>
          </cell>
        </row>
        <row r="12">
          <cell r="F12">
            <v>0</v>
          </cell>
        </row>
        <row r="13">
          <cell r="F13">
            <v>0</v>
          </cell>
        </row>
        <row r="14">
          <cell r="F14">
            <v>0</v>
          </cell>
        </row>
        <row r="15">
          <cell r="F15">
            <v>0</v>
          </cell>
        </row>
        <row r="16">
          <cell r="F16">
            <v>952316</v>
          </cell>
        </row>
        <row r="17">
          <cell r="F17">
            <v>0</v>
          </cell>
        </row>
        <row r="18">
          <cell r="F18">
            <v>168</v>
          </cell>
        </row>
        <row r="19">
          <cell r="F19">
            <v>0</v>
          </cell>
        </row>
        <row r="20">
          <cell r="F20">
            <v>68711.8</v>
          </cell>
        </row>
        <row r="21">
          <cell r="F21">
            <v>2080052.89</v>
          </cell>
        </row>
        <row r="22">
          <cell r="F22">
            <v>19425.22</v>
          </cell>
        </row>
        <row r="23">
          <cell r="F23">
            <v>0</v>
          </cell>
        </row>
        <row r="24">
          <cell r="F24">
            <v>0</v>
          </cell>
        </row>
        <row r="25">
          <cell r="F25">
            <v>0</v>
          </cell>
        </row>
        <row r="26">
          <cell r="F26">
            <v>0</v>
          </cell>
        </row>
        <row r="27">
          <cell r="F27">
            <v>0</v>
          </cell>
        </row>
        <row r="28">
          <cell r="F28">
            <v>2464537.44</v>
          </cell>
        </row>
        <row r="29">
          <cell r="F29">
            <v>97636.32</v>
          </cell>
        </row>
        <row r="30">
          <cell r="F30">
            <v>3222299.6</v>
          </cell>
        </row>
        <row r="31">
          <cell r="F31">
            <v>80367.25</v>
          </cell>
        </row>
        <row r="32">
          <cell r="F32">
            <v>12733685.359999999</v>
          </cell>
        </row>
        <row r="33">
          <cell r="F33">
            <v>14943966.300000001</v>
          </cell>
        </row>
        <row r="34">
          <cell r="F34">
            <v>398125</v>
          </cell>
        </row>
        <row r="35">
          <cell r="F35">
            <v>0</v>
          </cell>
        </row>
        <row r="36">
          <cell r="F36">
            <v>321814</v>
          </cell>
        </row>
        <row r="37">
          <cell r="F37">
            <v>2751708.69</v>
          </cell>
        </row>
        <row r="38">
          <cell r="F38">
            <v>4745</v>
          </cell>
        </row>
        <row r="39">
          <cell r="F39">
            <v>4006617.71</v>
          </cell>
        </row>
        <row r="40">
          <cell r="F40">
            <v>0</v>
          </cell>
        </row>
        <row r="41">
          <cell r="F41">
            <v>0</v>
          </cell>
        </row>
        <row r="42">
          <cell r="F42">
            <v>43747.5</v>
          </cell>
        </row>
        <row r="43">
          <cell r="F43">
            <v>0</v>
          </cell>
        </row>
        <row r="44">
          <cell r="F44">
            <v>18094</v>
          </cell>
        </row>
        <row r="45">
          <cell r="F45">
            <v>78683.94</v>
          </cell>
        </row>
        <row r="46">
          <cell r="F46">
            <v>0</v>
          </cell>
        </row>
        <row r="47">
          <cell r="F47">
            <v>0</v>
          </cell>
        </row>
        <row r="48">
          <cell r="F48">
            <v>2281441.48</v>
          </cell>
        </row>
        <row r="49">
          <cell r="F49">
            <v>0</v>
          </cell>
        </row>
        <row r="50">
          <cell r="F50">
            <v>9894481.6099999994</v>
          </cell>
        </row>
        <row r="51">
          <cell r="F51">
            <v>0</v>
          </cell>
        </row>
        <row r="52">
          <cell r="F52">
            <v>0</v>
          </cell>
        </row>
        <row r="53">
          <cell r="F53">
            <v>1232414.31</v>
          </cell>
        </row>
        <row r="54">
          <cell r="F54">
            <v>24814.400000000001</v>
          </cell>
        </row>
        <row r="55">
          <cell r="F55">
            <v>158697</v>
          </cell>
        </row>
        <row r="56">
          <cell r="F56">
            <v>2053377.28</v>
          </cell>
        </row>
        <row r="57">
          <cell r="F57">
            <v>0</v>
          </cell>
        </row>
        <row r="58">
          <cell r="F58">
            <v>5467693</v>
          </cell>
        </row>
        <row r="59">
          <cell r="F59">
            <v>10586098.26</v>
          </cell>
        </row>
        <row r="60">
          <cell r="F60">
            <v>215400</v>
          </cell>
        </row>
        <row r="61">
          <cell r="F61">
            <v>471669</v>
          </cell>
        </row>
        <row r="62">
          <cell r="F62">
            <v>0</v>
          </cell>
        </row>
        <row r="63">
          <cell r="F63">
            <v>0</v>
          </cell>
        </row>
        <row r="64">
          <cell r="F64">
            <v>0</v>
          </cell>
        </row>
        <row r="65">
          <cell r="F65">
            <v>0</v>
          </cell>
        </row>
        <row r="66">
          <cell r="F66">
            <v>48668553.270000003</v>
          </cell>
        </row>
        <row r="67">
          <cell r="F67">
            <v>3212025</v>
          </cell>
        </row>
        <row r="68">
          <cell r="F68">
            <v>193968.53</v>
          </cell>
        </row>
        <row r="69">
          <cell r="F69">
            <v>5324572.22</v>
          </cell>
        </row>
        <row r="70">
          <cell r="F70">
            <v>334</v>
          </cell>
        </row>
        <row r="71">
          <cell r="F71">
            <v>626526.38</v>
          </cell>
        </row>
        <row r="72">
          <cell r="F72">
            <v>1305255.55</v>
          </cell>
        </row>
        <row r="73">
          <cell r="F73">
            <v>0</v>
          </cell>
        </row>
        <row r="74">
          <cell r="F74">
            <v>1420520.46</v>
          </cell>
        </row>
        <row r="75">
          <cell r="F75">
            <v>310007.87</v>
          </cell>
        </row>
        <row r="76">
          <cell r="F76">
            <v>93090</v>
          </cell>
        </row>
        <row r="77">
          <cell r="F77">
            <v>0</v>
          </cell>
        </row>
        <row r="78">
          <cell r="F78">
            <v>609391</v>
          </cell>
        </row>
        <row r="79">
          <cell r="F79">
            <v>498648.7</v>
          </cell>
        </row>
        <row r="80">
          <cell r="F80">
            <v>536261.35</v>
          </cell>
        </row>
        <row r="81">
          <cell r="F81">
            <v>41884.9</v>
          </cell>
        </row>
        <row r="82">
          <cell r="F82">
            <v>0</v>
          </cell>
        </row>
        <row r="83">
          <cell r="F83">
            <v>0</v>
          </cell>
        </row>
        <row r="84">
          <cell r="F84">
            <v>23050</v>
          </cell>
        </row>
        <row r="85">
          <cell r="F85">
            <v>501027</v>
          </cell>
        </row>
        <row r="86">
          <cell r="F86">
            <v>0</v>
          </cell>
        </row>
        <row r="87">
          <cell r="F87">
            <v>242347</v>
          </cell>
        </row>
        <row r="88">
          <cell r="F88">
            <v>1022737.8</v>
          </cell>
        </row>
        <row r="89">
          <cell r="F89">
            <v>904587.74</v>
          </cell>
        </row>
        <row r="90">
          <cell r="F90">
            <v>3165823</v>
          </cell>
        </row>
        <row r="91">
          <cell r="F91">
            <v>0</v>
          </cell>
        </row>
        <row r="92">
          <cell r="F92">
            <v>229573657.27000001</v>
          </cell>
        </row>
        <row r="93">
          <cell r="F93">
            <v>35295926.399999999</v>
          </cell>
        </row>
        <row r="94">
          <cell r="F94">
            <v>0</v>
          </cell>
        </row>
        <row r="95">
          <cell r="F95">
            <v>0</v>
          </cell>
        </row>
        <row r="96">
          <cell r="F96">
            <v>858943.51</v>
          </cell>
        </row>
        <row r="97">
          <cell r="F97">
            <v>0</v>
          </cell>
        </row>
        <row r="98">
          <cell r="F98">
            <v>0</v>
          </cell>
        </row>
        <row r="99">
          <cell r="F99">
            <v>0</v>
          </cell>
        </row>
        <row r="100">
          <cell r="F100">
            <v>3500</v>
          </cell>
        </row>
        <row r="101">
          <cell r="F101">
            <v>0</v>
          </cell>
        </row>
        <row r="102">
          <cell r="F102">
            <v>1137640.93</v>
          </cell>
        </row>
        <row r="103">
          <cell r="F103">
            <v>0</v>
          </cell>
        </row>
        <row r="104">
          <cell r="F104">
            <v>11457250.300000001</v>
          </cell>
        </row>
        <row r="105">
          <cell r="F105">
            <v>0</v>
          </cell>
        </row>
        <row r="106">
          <cell r="F106">
            <v>0</v>
          </cell>
        </row>
        <row r="107">
          <cell r="F107">
            <v>4777722.96</v>
          </cell>
        </row>
        <row r="108">
          <cell r="F108">
            <v>25771305.289999999</v>
          </cell>
        </row>
        <row r="109">
          <cell r="F109">
            <v>5024662</v>
          </cell>
        </row>
        <row r="110">
          <cell r="F110">
            <v>0</v>
          </cell>
        </row>
        <row r="111">
          <cell r="F111">
            <v>0</v>
          </cell>
        </row>
        <row r="112">
          <cell r="F112">
            <v>0</v>
          </cell>
        </row>
        <row r="113">
          <cell r="F113">
            <v>0</v>
          </cell>
        </row>
        <row r="114">
          <cell r="F114">
            <v>1559420</v>
          </cell>
        </row>
        <row r="115">
          <cell r="F115">
            <v>2359365</v>
          </cell>
        </row>
        <row r="116">
          <cell r="F116">
            <v>11019778.5</v>
          </cell>
        </row>
        <row r="117">
          <cell r="F117">
            <v>106040.4</v>
          </cell>
        </row>
        <row r="118">
          <cell r="F118">
            <v>0</v>
          </cell>
        </row>
        <row r="119">
          <cell r="F119">
            <v>4853151.3099999996</v>
          </cell>
        </row>
        <row r="120">
          <cell r="F120">
            <v>0</v>
          </cell>
        </row>
        <row r="121">
          <cell r="F121">
            <v>0</v>
          </cell>
        </row>
        <row r="122">
          <cell r="F122">
            <v>1325984.21</v>
          </cell>
        </row>
        <row r="123">
          <cell r="F123">
            <v>363801</v>
          </cell>
        </row>
        <row r="124">
          <cell r="F124">
            <v>5274722.5599999996</v>
          </cell>
        </row>
        <row r="125">
          <cell r="F125">
            <v>0</v>
          </cell>
        </row>
        <row r="126">
          <cell r="F126">
            <v>0</v>
          </cell>
        </row>
        <row r="127">
          <cell r="F127">
            <v>0</v>
          </cell>
        </row>
        <row r="128">
          <cell r="F128">
            <v>0</v>
          </cell>
        </row>
        <row r="129">
          <cell r="F129">
            <v>2715701</v>
          </cell>
        </row>
        <row r="130">
          <cell r="F130">
            <v>0</v>
          </cell>
        </row>
        <row r="131">
          <cell r="F131">
            <v>81696.5</v>
          </cell>
        </row>
        <row r="132">
          <cell r="F132">
            <v>498071695.75</v>
          </cell>
        </row>
        <row r="134">
          <cell r="F134">
            <v>0</v>
          </cell>
        </row>
        <row r="135">
          <cell r="F135">
            <v>0</v>
          </cell>
        </row>
        <row r="137">
          <cell r="F137">
            <v>0</v>
          </cell>
        </row>
        <row r="138">
          <cell r="F138">
            <v>39318.68</v>
          </cell>
        </row>
        <row r="139">
          <cell r="F139">
            <v>0</v>
          </cell>
        </row>
        <row r="140">
          <cell r="F140">
            <v>0</v>
          </cell>
        </row>
        <row r="141">
          <cell r="F141">
            <v>2683549.14</v>
          </cell>
        </row>
        <row r="142">
          <cell r="F142">
            <v>280306.89</v>
          </cell>
        </row>
        <row r="143">
          <cell r="F143">
            <v>474373.35</v>
          </cell>
        </row>
        <row r="144">
          <cell r="F144">
            <v>0</v>
          </cell>
        </row>
        <row r="145">
          <cell r="F145">
            <v>0</v>
          </cell>
        </row>
        <row r="146">
          <cell r="F146">
            <v>1984472.2</v>
          </cell>
        </row>
        <row r="147">
          <cell r="F147">
            <v>5462020.2600000007</v>
          </cell>
        </row>
        <row r="149">
          <cell r="F149">
            <v>0</v>
          </cell>
        </row>
        <row r="150">
          <cell r="F150">
            <v>503533716.00999999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 Order Details"/>
      <sheetName val="Service Configuration Details"/>
      <sheetName val="Drop down data"/>
      <sheetName val="Basement Budget"/>
      <sheetName val="Links"/>
      <sheetName val="Lead"/>
    </sheetNames>
    <sheetDataSet>
      <sheetData sheetId="0"/>
      <sheetData sheetId="1"/>
      <sheetData sheetId="2">
        <row r="11">
          <cell r="J11" t="str">
            <v>ICOM-VPS-BASE-1vCPU-1GBRAM-50GBDT-75GBSAN-VPDCS-ST-SHM</v>
          </cell>
        </row>
        <row r="12">
          <cell r="J12" t="str">
            <v>ICOM-VPS-BASE-1vCPU-PRSTNT-PM</v>
          </cell>
        </row>
        <row r="13">
          <cell r="J13" t="str">
            <v>ICOM-VPS-XPND-2vCPU-2GBRAM-100GBDT-100GBSAN-VPDCS-ST-SHM</v>
          </cell>
        </row>
        <row r="14">
          <cell r="J14" t="str">
            <v>ICOM-VPS-XPND-2vCPU-PRSTNT-PM</v>
          </cell>
        </row>
        <row r="15">
          <cell r="J15" t="str">
            <v>ICOM-HA-VPS-BASE-1vCPU-1GBRAM-50GBDT-75GBSAN-VPDCS-ST-SHM</v>
          </cell>
        </row>
        <row r="16">
          <cell r="J16" t="str">
            <v>ICOM-HA-VPS-BASE-1vCPU-PRSTNT-PM</v>
          </cell>
        </row>
        <row r="17">
          <cell r="J17" t="str">
            <v>ICOM-HA-VPS-XPND-2vCPU-2GBRAM-100GBDT-100GBSAN-VPDCS-ST-SHM</v>
          </cell>
        </row>
        <row r="18">
          <cell r="J18" t="str">
            <v>ICOM-HA-VPS-XPND-2vCPU-PRSTNT-PM</v>
          </cell>
        </row>
        <row r="19">
          <cell r="J19" t="str">
            <v>ICOM-HA-VPS-MAX-4vCPU-4GBRAM-200GBDT-200GBSAN-VPDCS-ST-SHM</v>
          </cell>
        </row>
        <row r="20">
          <cell r="J20" t="str">
            <v>ICOM-HA-VPS-MAX-4vCPU-PRSTNT-PM</v>
          </cell>
        </row>
        <row r="22">
          <cell r="J22" t="str">
            <v>ICOM-VPI-BASE-1vCPU-1GBRAM-50GBSAN-SHM</v>
          </cell>
        </row>
        <row r="23">
          <cell r="J23" t="str">
            <v>ICOM-VPI-BASE-1vCPU-PRSTNT-PM</v>
          </cell>
        </row>
        <row r="24">
          <cell r="J24" t="str">
            <v>ICOM-VPI-XPND-2vCPU-2GBRAM-50GBSAN-SHM</v>
          </cell>
        </row>
        <row r="25">
          <cell r="J25" t="str">
            <v>ICOM-VPI-XPND-2vCPU-PRSTNT-PM</v>
          </cell>
        </row>
        <row r="26">
          <cell r="J26" t="str">
            <v>ICOM-VPI-MAX-4vCPU-4GBRAM-50GBSAN-SHM</v>
          </cell>
        </row>
        <row r="27">
          <cell r="J27" t="str">
            <v>ICOM-VPI-MAX-4vCPU-PRSTNT-PM</v>
          </cell>
        </row>
        <row r="28">
          <cell r="J28" t="str">
            <v>ICOM-HA-VPI-BASE-1vCPU-1GBRAM-50GBSAN-SHM</v>
          </cell>
        </row>
        <row r="29">
          <cell r="J29" t="str">
            <v>ICOM-HA-VPI-BASE-1vCPU-PRSTNT-PM</v>
          </cell>
        </row>
        <row r="30">
          <cell r="J30" t="str">
            <v>ICOM-HA-VPI-XPND-2vCPU-2GBRAM-50GBSAN-SHM</v>
          </cell>
        </row>
        <row r="31">
          <cell r="J31" t="str">
            <v>ICOM-HA-VPI-XPND-2vCPU-PRSTNT-PM</v>
          </cell>
        </row>
        <row r="32">
          <cell r="J32" t="str">
            <v>ICOM-HA-VPI-MAX-4vCPU-4GBRAM-50GBSAN-SHM</v>
          </cell>
        </row>
        <row r="33">
          <cell r="J33" t="str">
            <v>ICOM-HA-VPI-MAX-4vCPU-PRSTNT-PM</v>
          </cell>
        </row>
        <row r="34">
          <cell r="J34" t="str">
            <v>ICOM-HA-VPI-XTRM-8vCPU-8GBRAM-50GBSAN-SHM</v>
          </cell>
        </row>
        <row r="35">
          <cell r="J35" t="str">
            <v>ICOM-HA-VPI-XTRM-8vCPU-PRSTNT-PM</v>
          </cell>
        </row>
        <row r="36">
          <cell r="J36" t="str">
            <v>ICOM-HA-VPI-PRM-16vCPU-16GBRAM-50GBSAN-SHM</v>
          </cell>
        </row>
        <row r="37">
          <cell r="J37" t="str">
            <v>ICOM-HA-VPI-PRM-16vCPU-PRSTNT-PM</v>
          </cell>
        </row>
        <row r="39">
          <cell r="J39" t="str">
            <v>ICOM-vCPU-Per CPU</v>
          </cell>
        </row>
        <row r="40">
          <cell r="J40" t="str">
            <v>ICOM-vRAM-Per GB</v>
          </cell>
        </row>
        <row r="42">
          <cell r="J42" t="str">
            <v>ICOM-MDS-XPND-1CPU-MULTICORE-4GBRAM-SHM</v>
          </cell>
        </row>
        <row r="43">
          <cell r="J43" t="str">
            <v>ICOM-MDS-MAX-2CPU-MULTICORE-8GBRAM-SHM</v>
          </cell>
        </row>
        <row r="44">
          <cell r="J44" t="str">
            <v>ICOM-MDS-XTRM-4CPU-MULTICORE-48GBRAM-SHM</v>
          </cell>
        </row>
        <row r="46">
          <cell r="J46" t="str">
            <v>ICOM-MDS-RAM-ADD-4GB</v>
          </cell>
        </row>
        <row r="47">
          <cell r="J47" t="str">
            <v>ICOM-MDS-HDD-ADD-64/100/200</v>
          </cell>
        </row>
        <row r="49">
          <cell r="J49" t="str">
            <v>ISTR-ENHNTIER-100GB-500 GB-PERGB</v>
          </cell>
        </row>
        <row r="50">
          <cell r="J50" t="str">
            <v>ISTR-ENHNTIER-500GB-1TB-PERGB</v>
          </cell>
        </row>
        <row r="51">
          <cell r="J51" t="str">
            <v>ISTR-ENHNTIER-1TB-2TB-PERGB</v>
          </cell>
        </row>
        <row r="52">
          <cell r="J52" t="str">
            <v>ISTR-ENHNTIER-2TB–5TB-PERGB</v>
          </cell>
        </row>
        <row r="53">
          <cell r="J53" t="str">
            <v>ISTR-ENHNTIER-&gt;5TB-PERGB</v>
          </cell>
        </row>
        <row r="54">
          <cell r="J54" t="str">
            <v>ISTR-ENHNTIER-ADD-ON-PER25GB-PM</v>
          </cell>
        </row>
        <row r="56">
          <cell r="J56" t="str">
            <v>ISTR-STNDTIER-100GB-500 GB-PERGB</v>
          </cell>
        </row>
        <row r="57">
          <cell r="J57" t="str">
            <v>ISTR-STNDTIER-500GB-1TB-PERGB</v>
          </cell>
        </row>
        <row r="58">
          <cell r="J58" t="str">
            <v>ISTR-STNDTIER-1TB-2TB-PERGB</v>
          </cell>
        </row>
        <row r="59">
          <cell r="J59" t="str">
            <v>ISTR-STNDTIER-2TB–5TB-PERGB</v>
          </cell>
        </row>
        <row r="60">
          <cell r="J60" t="str">
            <v>ISTR-STNDTIER-&gt;5TB-PERGB</v>
          </cell>
        </row>
        <row r="61">
          <cell r="J61" t="str">
            <v>ISTR-STNDTIER-ADD-ON-PER25GB-PM</v>
          </cell>
        </row>
        <row r="63">
          <cell r="J63" t="str">
            <v>ISTR-ECNMTIER-100GB-500 GB-PERGB</v>
          </cell>
        </row>
        <row r="64">
          <cell r="J64" t="str">
            <v>ISTR-ECNMTIER-500GB-1TB-PERGB</v>
          </cell>
        </row>
        <row r="65">
          <cell r="J65" t="str">
            <v>ISTR-ECNMTIER-1TB-2TB-PERGB</v>
          </cell>
        </row>
        <row r="66">
          <cell r="J66" t="str">
            <v>ISTR-ECNMTIER-2TB–5TB-PERGB</v>
          </cell>
        </row>
        <row r="67">
          <cell r="J67" t="str">
            <v>ISTR-ECNMTIER-&gt;5TB-PERGB</v>
          </cell>
        </row>
        <row r="68">
          <cell r="J68" t="str">
            <v>ISTR-ECNMTIER-ADD-ON-PER25GB-PM</v>
          </cell>
        </row>
        <row r="70">
          <cell r="J70" t="str">
            <v>ISTR-NAS-ENHNTIER-100GB-500 GB-PERGB</v>
          </cell>
        </row>
        <row r="71">
          <cell r="J71" t="str">
            <v>ISTR-NAS-ENHNTIER-500GB-1TB-PERGB</v>
          </cell>
        </row>
        <row r="72">
          <cell r="J72" t="str">
            <v>ISTR-NAS-ENHNTIER-1TB-2TB-PERGB</v>
          </cell>
        </row>
        <row r="73">
          <cell r="J73" t="str">
            <v>ISTR-NAS-ENHNTIER-2TB–5TB-PERGB</v>
          </cell>
        </row>
        <row r="74">
          <cell r="J74" t="str">
            <v>ISTR-NAS-ENHNTIER-&gt;5TB-PERGB</v>
          </cell>
        </row>
        <row r="75">
          <cell r="J75" t="str">
            <v>ISTR-NAS-ENHNTIER-ADD-ON-PER25GB-PM</v>
          </cell>
        </row>
        <row r="77">
          <cell r="J77" t="str">
            <v>ISTR-NAS-ENHNTIER-100GB-500 GB-PERGB</v>
          </cell>
        </row>
        <row r="78">
          <cell r="J78" t="str">
            <v>ISTR-NAS-STNDTIER-500GB-1TB-PERGB</v>
          </cell>
        </row>
        <row r="79">
          <cell r="J79" t="str">
            <v>ISTR-NAS-STNDTIER-1TB-2TB-PERGB</v>
          </cell>
        </row>
        <row r="80">
          <cell r="J80" t="str">
            <v>ISTR-NAS-STNDTIER-2TB–5TB-PERGB</v>
          </cell>
        </row>
        <row r="81">
          <cell r="J81" t="str">
            <v>ISTR-NAS-STNDTIER-&gt; 5TB-PERGB</v>
          </cell>
        </row>
        <row r="82">
          <cell r="J82" t="str">
            <v>ISTR-NAS-STNDTIER-ADD-ON-PER25GB-PM</v>
          </cell>
        </row>
        <row r="84">
          <cell r="J84" t="str">
            <v>ISTR-FCSANFABIC-2FC-PERHOST</v>
          </cell>
        </row>
        <row r="85">
          <cell r="J85" t="str">
            <v>ISTR-IPSANFABIC-2ISCSI-PERHOST</v>
          </cell>
        </row>
        <row r="87">
          <cell r="J87" t="str">
            <v>PAAS-VPS-VPI-WIN-03-STD-x86-AV-POS</v>
          </cell>
        </row>
        <row r="88">
          <cell r="J88" t="str">
            <v>PAAS-VPS-VPI-WIN-03-ENT-x86-AV-POS</v>
          </cell>
        </row>
        <row r="89">
          <cell r="J89" t="str">
            <v>PAAS-VPS-VPI-WIN-03-STD-x64-AV-POS</v>
          </cell>
        </row>
        <row r="90">
          <cell r="J90" t="str">
            <v>PAAS-VPS-VPI-WIN-03-ENT-x64-AV-POS</v>
          </cell>
        </row>
        <row r="91">
          <cell r="J91" t="str">
            <v>PAAS-VPS-VPI-WIN-08-STD-x86-AV-POS</v>
          </cell>
        </row>
        <row r="92">
          <cell r="J92" t="str">
            <v>PAAS-VPS-VPI-WIN-08-ENT-x86-AV-POS</v>
          </cell>
        </row>
        <row r="93">
          <cell r="J93" t="str">
            <v>PAAS-VPS-VPI-WIN-08-STD-x64-AV-POS</v>
          </cell>
        </row>
        <row r="94">
          <cell r="J94" t="str">
            <v>PAAS-VPS-VPI-WIN-08-ENT-x64-AV-POS</v>
          </cell>
        </row>
        <row r="95">
          <cell r="J95" t="str">
            <v>PAAS-WIN-STD-32/64-AV-PERPROC</v>
          </cell>
        </row>
        <row r="96">
          <cell r="J96" t="str">
            <v>PAAS-WIN-ENT-32/64-AV-PERPROC</v>
          </cell>
        </row>
        <row r="97">
          <cell r="J97" t="str">
            <v>PAAS-WIN-DC-32/64-AV-PERPROC</v>
          </cell>
        </row>
        <row r="98">
          <cell r="J98" t="str">
            <v>PAAS-VPS-VPI-LNX-ENT-32/64-POS</v>
          </cell>
        </row>
        <row r="99">
          <cell r="J99" t="str">
            <v>PAAS-VPS-VPI-LNX-6.1-32-POS</v>
          </cell>
        </row>
        <row r="100">
          <cell r="J100" t="str">
            <v>PAAS-VPS-VPI-LNX-6.1-64-POS</v>
          </cell>
        </row>
        <row r="101">
          <cell r="J101" t="str">
            <v>PAAS-VPS-VPI-LNX-5.6-32-POS</v>
          </cell>
        </row>
        <row r="102">
          <cell r="J102" t="str">
            <v>PAAS-VPS-VPI-LNX-5.6-64-POS</v>
          </cell>
        </row>
        <row r="103">
          <cell r="J103" t="str">
            <v>PAAS-LNX-ENT-32/64-POS</v>
          </cell>
        </row>
        <row r="104">
          <cell r="J104" t="str">
            <v>PAAS-CENT-5.5-32/64-POS</v>
          </cell>
        </row>
        <row r="105">
          <cell r="J105" t="str">
            <v>PAAS-VPS-VPI-CENT-5.5-32-POS</v>
          </cell>
        </row>
        <row r="106">
          <cell r="J106" t="str">
            <v>PAAS-VPS-VPI-CENT-5.5-64-POS</v>
          </cell>
        </row>
        <row r="107">
          <cell r="J107" t="str">
            <v>PAAS-UBUNTU-11.4-64-POS</v>
          </cell>
        </row>
        <row r="109">
          <cell r="J109" t="str">
            <v>PAAS-VPS-VPI-SQL-STD-ENT-PDB</v>
          </cell>
        </row>
        <row r="110">
          <cell r="J110" t="str">
            <v>PAAS-SQL-08-STD-x86-WIN-08-STD-x86-AV-PDB</v>
          </cell>
        </row>
        <row r="111">
          <cell r="J111" t="str">
            <v>PAAS-SQL-08-STD-x86-WIN-08-STD-x64-AV-PDB</v>
          </cell>
        </row>
        <row r="112">
          <cell r="J112" t="str">
            <v>PAAS-SQL-08-STD-x86-WIN-08-ENT-x86-AV-PDB</v>
          </cell>
        </row>
        <row r="113">
          <cell r="J113" t="str">
            <v>PAAS-SQL-08-STD-x86-WIN-08-ENT-x64-AV-PDB</v>
          </cell>
        </row>
        <row r="114">
          <cell r="J114" t="str">
            <v>PAAS-SQL-08-STD-x64-WIN-08-STD-x64-AV-PDB</v>
          </cell>
        </row>
        <row r="115">
          <cell r="J115" t="str">
            <v>PAAS-SQL-08-STD-x64-WIN-08-ENT-x64-AV-PDB</v>
          </cell>
        </row>
        <row r="116">
          <cell r="J116" t="str">
            <v>PAAS-SQL-08-ENT-x86-WIN-08-ENT-x86-AV-PDB</v>
          </cell>
        </row>
        <row r="117">
          <cell r="J117" t="str">
            <v>PAAS-SQL-08-ENT-x86-WIN-08-ENT-x64-AV-PDB</v>
          </cell>
        </row>
        <row r="118">
          <cell r="J118" t="str">
            <v>PAAS-SQL-08-ENT-x64-WIN-08-ENT-x64-AV-PDB</v>
          </cell>
        </row>
        <row r="119">
          <cell r="J119" t="str">
            <v>PAAS-MS-SQL-STD-PERPROC</v>
          </cell>
        </row>
        <row r="120">
          <cell r="J120" t="str">
            <v>PAAS-MS-SQL-ENT-PERPROC</v>
          </cell>
        </row>
        <row r="121">
          <cell r="J121" t="str">
            <v>PAAS-MS-SQL-WRG-PERPROC</v>
          </cell>
        </row>
        <row r="122">
          <cell r="J122" t="str">
            <v>PAAS-MS-SQL-WEB-PERPROC</v>
          </cell>
        </row>
        <row r="124">
          <cell r="J124" t="str">
            <v>PAAS-MYSQL-32-64-PERPROC</v>
          </cell>
        </row>
        <row r="125">
          <cell r="J125" t="str">
            <v>PAAS-MYSQL-5.5-WIN-08-STD-x86-AV-PDB</v>
          </cell>
        </row>
        <row r="126">
          <cell r="J126" t="str">
            <v>PAAS-MYSQL-5.5-WIN-08-STD-x64-AV-PDB</v>
          </cell>
        </row>
        <row r="127">
          <cell r="J127" t="str">
            <v>PAAS-MYSQL-5.5-CENT-5.5-32-PDB</v>
          </cell>
        </row>
        <row r="128">
          <cell r="J128" t="str">
            <v>PAAS-MYSQL-5.5-CENT-5.5-64-PDB</v>
          </cell>
        </row>
        <row r="129">
          <cell r="J129" t="str">
            <v>PAAS-MYSQL-5.5-LNX-5.6-32-PDB</v>
          </cell>
        </row>
        <row r="130">
          <cell r="J130" t="str">
            <v>PAAS-MYSQL-5.5-LNX-5.6-64-PDB</v>
          </cell>
        </row>
        <row r="131">
          <cell r="J131" t="str">
            <v>PAAS-MYSQL-5.5-LNX-6.1-32-PDB</v>
          </cell>
        </row>
        <row r="132">
          <cell r="J132" t="str">
            <v>PAAS-MYSQL-5.5-LNX-6.1-64-PDB</v>
          </cell>
        </row>
        <row r="134">
          <cell r="J134" t="str">
            <v>PAAS-MS-SHAREPOINT-INTERNET</v>
          </cell>
        </row>
        <row r="135">
          <cell r="J135" t="str">
            <v>PAAS-MS-FOREFRONT-TMG-ENT-PER PROC</v>
          </cell>
        </row>
        <row r="136">
          <cell r="J136" t="str">
            <v>PAAS-MS-WIN-RDS- PER SAL</v>
          </cell>
        </row>
        <row r="137">
          <cell r="J137" t="str">
            <v>PAAS-OTHER-SOFTWARE</v>
          </cell>
        </row>
        <row r="139">
          <cell r="J139" t="str">
            <v>PAAS-VMWARE-ESX-STD-PERVRAM</v>
          </cell>
        </row>
        <row r="140">
          <cell r="J140" t="str">
            <v>PAAS-VMWARE-ESX-PMR-PERVRAM</v>
          </cell>
        </row>
        <row r="142">
          <cell r="J142" t="str">
            <v>ISEC-VFW-IPS-100MBPS-100POLICIES</v>
          </cell>
        </row>
        <row r="143">
          <cell r="J143" t="str">
            <v>ISEC-OTHER-DEDICATED EQUIPMENT</v>
          </cell>
        </row>
        <row r="145">
          <cell r="J145" t="str">
            <v>PAAS-AV-WINOS-POS</v>
          </cell>
        </row>
        <row r="146">
          <cell r="J146" t="str">
            <v>PAAS-AV-LNXOS-POS</v>
          </cell>
        </row>
        <row r="147">
          <cell r="J147" t="str">
            <v>PAAS- SSLCERT-PERDOMAIN</v>
          </cell>
        </row>
        <row r="149">
          <cell r="J149" t="str">
            <v>ISEC-2FACTOR-RSA-M&amp;M-10USERPACK</v>
          </cell>
        </row>
        <row r="150">
          <cell r="J150" t="str">
            <v>ISEC-2FACTOR-RSA-M&amp;M-15USERPACK</v>
          </cell>
        </row>
        <row r="151">
          <cell r="J151" t="str">
            <v>ISEC-2FACTOR-RSA-M&amp;M-50USERPACK</v>
          </cell>
        </row>
        <row r="152">
          <cell r="J152" t="str">
            <v>ISEC-2FACTOR-RSA-M&amp;M-100USERPACK</v>
          </cell>
        </row>
        <row r="154">
          <cell r="J154" t="str">
            <v>INET-DDOS-NM-10-50Mbps</v>
          </cell>
        </row>
        <row r="155">
          <cell r="J155" t="str">
            <v>INET-DDOS-NM-51-100Mbps</v>
          </cell>
        </row>
        <row r="156">
          <cell r="J156" t="str">
            <v>INET-DDOS-NM-101-200Mbps</v>
          </cell>
        </row>
        <row r="157">
          <cell r="J157" t="str">
            <v>INET-DDOS-NM-201-500Mbps</v>
          </cell>
        </row>
        <row r="159">
          <cell r="J159" t="str">
            <v>INET-VPDC-SHIELD-ST</v>
          </cell>
        </row>
        <row r="160">
          <cell r="J160" t="str">
            <v>INET-VPDC-SHIELD-2T</v>
          </cell>
        </row>
        <row r="161">
          <cell r="J161" t="str">
            <v>INET-VPDC-ASSURE-ST</v>
          </cell>
        </row>
        <row r="162">
          <cell r="J162" t="str">
            <v>INET-VPDC-ASSURE-2T</v>
          </cell>
        </row>
        <row r="163">
          <cell r="J163" t="str">
            <v>INET-VPDC-ASSURE-3T</v>
          </cell>
        </row>
        <row r="165">
          <cell r="J165" t="str">
            <v>INET-VROUTER-PERPORT</v>
          </cell>
        </row>
        <row r="166">
          <cell r="J166" t="str">
            <v>INET-MLLB-1VIP-5RIP-PERPORT</v>
          </cell>
        </row>
        <row r="167">
          <cell r="J167" t="str">
            <v>INET-VLLB-100MBPS-2VIP-20RIP-40000CS-PERPORT</v>
          </cell>
        </row>
        <row r="168">
          <cell r="J168" t="str">
            <v>INET-VLLB-ADD-2VIP-10RIP-10000CS-PERPORT</v>
          </cell>
        </row>
        <row r="169">
          <cell r="J169" t="str">
            <v>INET-VSSLACCEL-100MBPS-2VIP-20RIP-40000CS-PERPORT</v>
          </cell>
        </row>
        <row r="170">
          <cell r="J170" t="str">
            <v>INET-GSLB-1D-2VS-RS-PERPORT</v>
          </cell>
        </row>
        <row r="171">
          <cell r="J171" t="str">
            <v>INET-SWITCH-PERPORT</v>
          </cell>
        </row>
        <row r="172">
          <cell r="J172" t="str">
            <v>INET-vLAN-PVLAN</v>
          </cell>
        </row>
        <row r="173">
          <cell r="J173" t="str">
            <v>INET-EXTIP-1IP</v>
          </cell>
        </row>
        <row r="174">
          <cell r="J174" t="str">
            <v>INET-EXDNS-1DOMAIN- UTD RECORDS</v>
          </cell>
        </row>
        <row r="175">
          <cell r="J175" t="str">
            <v>INET-OTHER-DEDICATED EQUIPMENT</v>
          </cell>
        </row>
        <row r="177">
          <cell r="J177" t="str">
            <v>INET-DT-50GB-2Mbps CIR</v>
          </cell>
        </row>
        <row r="178">
          <cell r="J178" t="str">
            <v>INET-DT-100GB-15Mbps-CIR</v>
          </cell>
        </row>
        <row r="179">
          <cell r="J179" t="str">
            <v>INET-DT-250GB-24Mbps-CIR</v>
          </cell>
        </row>
        <row r="180">
          <cell r="J180" t="str">
            <v>INET-DT-251TO1000GB-PERGB-45Mbps-CIR</v>
          </cell>
        </row>
        <row r="181">
          <cell r="J181" t="str">
            <v>INET-DT-1001TO2500GB-PERGB-100Mbps-CIR</v>
          </cell>
        </row>
        <row r="182">
          <cell r="J182" t="str">
            <v>INET-DT-2501TO5000GB-PERGB-100Mbps-CIR</v>
          </cell>
        </row>
        <row r="183">
          <cell r="J183" t="str">
            <v>INET-DT-5001TO10000GB-PERGB-100Mbps-CIR</v>
          </cell>
        </row>
        <row r="184">
          <cell r="J184" t="str">
            <v>INET-DT-10001GBTO-50000-PERGB-100Mbps-CIR</v>
          </cell>
        </row>
        <row r="185">
          <cell r="J185" t="str">
            <v>INET-DT-OVER50001GB-PERGB</v>
          </cell>
        </row>
        <row r="186">
          <cell r="J186" t="str">
            <v>INET-DT-OVERAGE-PERGB</v>
          </cell>
        </row>
        <row r="187">
          <cell r="J187" t="str">
            <v>INET-IBW-1:1-512 Kbps</v>
          </cell>
        </row>
        <row r="188">
          <cell r="J188" t="str">
            <v>INET-IBW-1:1-PERMBPS</v>
          </cell>
        </row>
        <row r="189">
          <cell r="J189" t="str">
            <v>INET-IBW-BURST-2-4MBPS</v>
          </cell>
        </row>
        <row r="190">
          <cell r="J190" t="str">
            <v>INET-IBW-BURST-4-8MBPS</v>
          </cell>
        </row>
        <row r="191">
          <cell r="J191" t="str">
            <v>INET-IBW-BURST-8-16MBPS</v>
          </cell>
        </row>
        <row r="192">
          <cell r="J192" t="str">
            <v>INET-IBW-BURST-16-32MBPS</v>
          </cell>
        </row>
        <row r="193">
          <cell r="J193" t="str">
            <v>INET-IBW-BURST-32-64MBPS</v>
          </cell>
        </row>
        <row r="194">
          <cell r="J194" t="str">
            <v>INET-IBW-BURST-64-128MBPS</v>
          </cell>
        </row>
        <row r="195">
          <cell r="J195" t="str">
            <v>INET-IBW-OVERAGE-PERMBPS-PM</v>
          </cell>
        </row>
        <row r="197">
          <cell r="J197" t="str">
            <v>INET-RVPN-SRC-512KbpsPort-10UserPack</v>
          </cell>
        </row>
        <row r="198">
          <cell r="J198" t="str">
            <v>INET-RVPN-SRC-512KbpsPort-25UserPack</v>
          </cell>
        </row>
        <row r="199">
          <cell r="J199" t="str">
            <v>INET-RVPN-SRC-2MbpsPort-50UserPack</v>
          </cell>
        </row>
        <row r="200">
          <cell r="J200" t="str">
            <v>INET-RVPN-SRC-2MbpsPort-100UserPack</v>
          </cell>
        </row>
        <row r="201">
          <cell r="J201" t="str">
            <v>INET-RVPN-SRC-4MbpsPort-250UserPack</v>
          </cell>
        </row>
        <row r="203">
          <cell r="J203" t="str">
            <v>INET-RVPN-SSC-256Kbps-MPLS</v>
          </cell>
        </row>
        <row r="204">
          <cell r="J204" t="str">
            <v>INET-RVPN-SSC-512Kbps-MPLS</v>
          </cell>
        </row>
        <row r="205">
          <cell r="J205" t="str">
            <v>INET-RVPN-SSC-1024Kbps-MPLS</v>
          </cell>
        </row>
        <row r="206">
          <cell r="J206" t="str">
            <v>INET-RVPN-SSC-2048Kbps-MPLS</v>
          </cell>
        </row>
        <row r="208">
          <cell r="J208" t="str">
            <v>IPTC-BKP-100GB-DT-PM-DD-WF-R14D-UTDLICENSE</v>
          </cell>
        </row>
        <row r="209">
          <cell r="J209" t="str">
            <v>IPTC-BKP-250GB-DT-PM-DD-WF-R14D-UTDLICENSE</v>
          </cell>
        </row>
        <row r="210">
          <cell r="J210" t="str">
            <v>IPTC-BKP-500GB-DT-PM-DD-WF-R14D-UTDLICENSE</v>
          </cell>
        </row>
        <row r="211">
          <cell r="J211" t="str">
            <v>IPTC-BKP-1000GB-DT-PM-UTDLICENSE</v>
          </cell>
        </row>
        <row r="212">
          <cell r="J212" t="str">
            <v>IPTC-BKP-1001TO2000GB-DT-PM-PGB-UTDLICENSE</v>
          </cell>
        </row>
        <row r="213">
          <cell r="J213" t="str">
            <v>IPTC-BKP-2001TO5000GB-DT-PM-PGB-UTDLICENSE</v>
          </cell>
        </row>
        <row r="214">
          <cell r="J214" t="str">
            <v>IPTC-BKP-5001TO10000GB-DT-PM-PGB-UTDLICENSE</v>
          </cell>
        </row>
        <row r="215">
          <cell r="J215" t="str">
            <v>IPTC-BKP-10001TO15000GB-DT-PM-PGB-UTDLICENSE</v>
          </cell>
        </row>
        <row r="216">
          <cell r="J216" t="str">
            <v>IPTC-BKP-OVERAGE-25GB-MULTIPLES-DT-PM</v>
          </cell>
        </row>
        <row r="218">
          <cell r="J218" t="str">
            <v>IPTC-BKP-EXRTN-1M-1500 GB-MULTIPLES-PERANNUM</v>
          </cell>
        </row>
        <row r="219">
          <cell r="J219" t="str">
            <v>IPTC-BKP-EXRTN-1Y-1500 GB-MULTIPLES-PERANNUM</v>
          </cell>
        </row>
        <row r="220">
          <cell r="J220" t="str">
            <v>IPTC-BKP-REMOTE SITE COPY-PERGB PER MONTH</v>
          </cell>
        </row>
        <row r="222">
          <cell r="J222" t="str">
            <v>IPTC-BKP-ENCRT-100GB-DT-PM-DD-WF-R14D-UTDLICENSE-PA</v>
          </cell>
        </row>
        <row r="223">
          <cell r="J223" t="str">
            <v>IPTC-BKP-ENCRT-2500GB-DT-PM-DD-WF-R14D-UTDLICENSE-PA</v>
          </cell>
        </row>
        <row r="224">
          <cell r="J224" t="str">
            <v>IPTC-BKP-ENCRT-500GB-DT-PM-DD-WF-R14D-UTDLICENSE-PA</v>
          </cell>
        </row>
        <row r="225">
          <cell r="J225" t="str">
            <v>IPTC-BKP-ENCRT-1000GB-DT-PM-UTDLICENSE-PA</v>
          </cell>
        </row>
        <row r="226">
          <cell r="J226" t="str">
            <v>IPTC-BKP-ENCRT-1001TO2000GB-DT-PM-PGB-UTDLICENSE-PA</v>
          </cell>
        </row>
        <row r="227">
          <cell r="J227" t="str">
            <v>IPTC-BKP-ENCRT-2001TO5000GB-DT-PM-PGB-UTDLICENSE-PA</v>
          </cell>
        </row>
        <row r="228">
          <cell r="J228" t="str">
            <v>IPTC-BKP-ENCRT-5001TO10000GB-DT-PM-PGB-UTDLICENSE-PA</v>
          </cell>
        </row>
        <row r="229">
          <cell r="J229" t="str">
            <v>IPTC-BKP-ENCRT-10001TO15000GB-DT-PM-PGB-UTDLICENSE-PA</v>
          </cell>
        </row>
        <row r="230">
          <cell r="J230" t="str">
            <v>IPTC-BKP-ENCRT-OVERAGE-25GB-MULTIPLES-DT-PM</v>
          </cell>
        </row>
        <row r="232">
          <cell r="J232" t="str">
            <v>IANLTCS-AIA-SHM-PER SERV</v>
          </cell>
        </row>
        <row r="233">
          <cell r="J233" t="str">
            <v>IANLTCS-AIA-OSR-PER OS</v>
          </cell>
        </row>
        <row r="234">
          <cell r="J234" t="str">
            <v>IANLTCS-AIA-DBR-PER DB</v>
          </cell>
        </row>
        <row r="235">
          <cell r="J235" t="str">
            <v>IANLTCS-AIA-WEB SERV-PER  APPS</v>
          </cell>
        </row>
        <row r="236">
          <cell r="J236" t="str">
            <v>IANLTCS-AIA-ADD-ON-REPORTS-PER25PACK</v>
          </cell>
        </row>
        <row r="238">
          <cell r="J238" t="str">
            <v>IANLTCS-AIA-EUE-STD-PER URL</v>
          </cell>
        </row>
        <row r="239">
          <cell r="J239" t="str">
            <v>IANLTCS-AIA-EUE-SSL-ADDON-PER SITE</v>
          </cell>
        </row>
        <row r="240">
          <cell r="J240" t="str">
            <v>IANLTCS-AIA-EUE-ADV DIAGNOSTIC-PER SITE</v>
          </cell>
        </row>
        <row r="241">
          <cell r="J241" t="str">
            <v>IANLTCS-AIA-ADV DIAGNOSTIC-WEBAPPS-PER SRV</v>
          </cell>
        </row>
        <row r="242">
          <cell r="J242" t="str">
            <v>IANLTCS-AIA-ADV DIAGNOSTIC-JAVA/.NET-PER SRV</v>
          </cell>
        </row>
        <row r="244">
          <cell r="J244" t="str">
            <v>IANLTCS-AIA-ADV DIAGNOSTIC-NETWORK-PER 2 NODES</v>
          </cell>
        </row>
        <row r="246">
          <cell r="J246" t="str">
            <v>IANLTCS-AIA-AMS-PER 'x' XF MEASUREMENT</v>
          </cell>
        </row>
        <row r="247">
          <cell r="J247" t="str">
            <v>IANLTCS-AIA-WLPT-PER X VIRTUAL USER HOUR</v>
          </cell>
        </row>
        <row r="249">
          <cell r="J249" t="str">
            <v>CI-PS-CONSULTING-L1-PERMANDAY</v>
          </cell>
        </row>
        <row r="250">
          <cell r="J250" t="str">
            <v>CI-PS-CONSULTING-L2-PERMANDAY</v>
          </cell>
        </row>
        <row r="251">
          <cell r="J251" t="str">
            <v>CI-PS-CONSULTING-L3-PERMANDAY</v>
          </cell>
        </row>
        <row r="252">
          <cell r="J252" t="str">
            <v>CI-PS-PROGMGMT-L1-PERMANDAY</v>
          </cell>
        </row>
        <row r="253">
          <cell r="J253" t="str">
            <v>CI-PS-PROGMGMT-L2-PERMANDAY</v>
          </cell>
        </row>
        <row r="254">
          <cell r="J254" t="str">
            <v>CI-PS-PROGMGMT-L3-PERMANDAY</v>
          </cell>
        </row>
        <row r="255">
          <cell r="J255" t="str">
            <v>CI-PS-FACILITYMGMT-L1-PERMANDAY</v>
          </cell>
        </row>
        <row r="256">
          <cell r="J256" t="str">
            <v>CI-PS-FACILITYMGMT-L2-PERMANDAY</v>
          </cell>
        </row>
        <row r="257">
          <cell r="J257" t="str">
            <v>CI-PS-FACILITYMGMT-L3-PERMANDAY</v>
          </cell>
        </row>
        <row r="258">
          <cell r="J258" t="str">
            <v>CI-PS-AUDIT-BASIC-PER MAN DAY</v>
          </cell>
        </row>
        <row r="259">
          <cell r="J259" t="str">
            <v>CI-PS-AUDIT-ADVANCED-PER MAN DAY</v>
          </cell>
        </row>
        <row r="261">
          <cell r="J261" t="str">
            <v>CI-MITS-ENGAGEMENT MGMNT-PER SETUP</v>
          </cell>
        </row>
        <row r="262">
          <cell r="J262" t="str">
            <v>CI-MITS-SMART-REMOTE SUPPORT-6RQST-PER QTR -PER SERVER -PA</v>
          </cell>
        </row>
        <row r="263">
          <cell r="J263" t="str">
            <v>CI-MITS-OS-WIN-PROFICIENT-1-OS</v>
          </cell>
        </row>
        <row r="264">
          <cell r="J264" t="str">
            <v>CI-MITS-OS-LNX-PROFICIENT-1-OS</v>
          </cell>
        </row>
        <row r="265">
          <cell r="J265" t="str">
            <v>CI-MITS-OS-SOLARIS-PROFICIENT-1-OS</v>
          </cell>
        </row>
        <row r="266">
          <cell r="J266" t="str">
            <v>CI-MITS-OS-AIX-PROFICIENT-1-OS</v>
          </cell>
        </row>
        <row r="267">
          <cell r="J267" t="str">
            <v>CI-MITS-OS-HP-UX-PROFICIENT-1-OS</v>
          </cell>
        </row>
        <row r="269">
          <cell r="J269" t="str">
            <v>CI-MITS-DB-MSSQL-PROFICIENT-1-DB</v>
          </cell>
        </row>
        <row r="270">
          <cell r="J270" t="str">
            <v>CI-MITS-DB-MYSQL-PROFICIENT-1-DB</v>
          </cell>
        </row>
        <row r="271">
          <cell r="J271" t="str">
            <v>CI-MITS-DB-ORACLE-PROFICIENT-1-DB</v>
          </cell>
        </row>
        <row r="273">
          <cell r="J273" t="str">
            <v>CI-MITS-VIRTUALIZATION-VMWARE-PROFICIENT-1-VS</v>
          </cell>
        </row>
        <row r="274">
          <cell r="J274" t="str">
            <v>CI-MITS-VIRTUALIZATION-XEN-PROFICIENT-1-VS</v>
          </cell>
        </row>
        <row r="275">
          <cell r="J275" t="str">
            <v>CI-MITS-VIRTUALIZATION-HYPERV-PROFICIENT-1-VS</v>
          </cell>
        </row>
        <row r="276">
          <cell r="J276" t="str">
            <v>CI-MITS-VIRTUALIZATION-RHEV-PROFICIENT-1-VS</v>
          </cell>
        </row>
        <row r="278">
          <cell r="J278" t="str">
            <v>CI-MITS-EMAIL-MSEX-PROFICIENT-1-ESRV</v>
          </cell>
        </row>
        <row r="279">
          <cell r="J279" t="str">
            <v>CI-MITS-EMAIL-QMAIL-PROFICIENT-1-ESRV</v>
          </cell>
        </row>
        <row r="280">
          <cell r="J280" t="str">
            <v>CI-MITS-EMAIL-POSTFIX-PROFICIENT-1-ESRV</v>
          </cell>
        </row>
        <row r="281">
          <cell r="J281" t="str">
            <v>CI-MITS-EMAIL-LOTUSNOTES-PROFICIENT-1-ESRV</v>
          </cell>
        </row>
        <row r="283">
          <cell r="J283" t="str">
            <v>CI-MITS-SEC-LE-FIREWALL-PROFICIENT-1-FIREWALL</v>
          </cell>
        </row>
        <row r="284">
          <cell r="J284" t="str">
            <v>CI-MITS-SEC-ME-FIREWALL-PROFICIENT-1-FIREWALL</v>
          </cell>
        </row>
        <row r="285">
          <cell r="J285" t="str">
            <v>CI-MITS-SEC-HE-FIREWALL-PROFICIENT-1-FIREWALL</v>
          </cell>
        </row>
        <row r="286">
          <cell r="J286" t="str">
            <v>CI-MITS-SEC-IPSIDS-PROFICIENT-1-IPSIDS</v>
          </cell>
        </row>
        <row r="287">
          <cell r="J287" t="str">
            <v>CI-MITS-SEC-FORTKNOX-PROFICIENT-1-SVR</v>
          </cell>
        </row>
        <row r="289">
          <cell r="J289" t="str">
            <v>CI-MITS-AM-WEBSERVER-PROFICIENT-1-APP</v>
          </cell>
        </row>
        <row r="290">
          <cell r="J290" t="str">
            <v>CI-MITS-AM-JBOSS-PROFICIENT-1-APP</v>
          </cell>
        </row>
        <row r="291">
          <cell r="J291" t="str">
            <v>CI-MITS-AM-IISSERVER-PROFICIENT-1-APP</v>
          </cell>
        </row>
        <row r="292">
          <cell r="J292" t="str">
            <v>CI-MITS-AM-MSFOREFRONT-PROFICIENT-1-APP</v>
          </cell>
        </row>
        <row r="293">
          <cell r="J293" t="str">
            <v>CI-MITS-AM-ACTIVEDIR-PROFICIENT-1-APP</v>
          </cell>
        </row>
        <row r="294">
          <cell r="J294" t="str">
            <v>CI-MITS-AM-DNS-PROFICIENT-1-APP</v>
          </cell>
        </row>
        <row r="296">
          <cell r="J296" t="str">
            <v>CI-MITS-AM-CITRIX-PROFICIENT-1-APP</v>
          </cell>
        </row>
        <row r="297">
          <cell r="J297" t="str">
            <v>CI-MITS-AM-WEBLOGIC-PROFICIENT-1-APP</v>
          </cell>
        </row>
        <row r="298">
          <cell r="J298" t="str">
            <v>CI-MITS-AM-WEBSPHERE-PROFICIENT-1-APP</v>
          </cell>
        </row>
        <row r="300">
          <cell r="J300" t="str">
            <v>CI-MITS-NW-HARDWARE-LB-APP-PROFICIENT-1-AP</v>
          </cell>
        </row>
        <row r="301">
          <cell r="J301" t="str">
            <v>CI-MITS-NW-HARDWARE-LB-LINK-PROFICIENT-1-LINK</v>
          </cell>
        </row>
        <row r="302">
          <cell r="J302" t="str">
            <v>CI-MITS-NW-LE-SWITCH-PROFICIENT-1-SWITCH</v>
          </cell>
        </row>
        <row r="303">
          <cell r="J303" t="str">
            <v>CI-MITS-NW-ME-SWITCH-PROFICIENT-1-SWITCH</v>
          </cell>
        </row>
        <row r="304">
          <cell r="J304" t="str">
            <v>CI-MITS-NW-HE-SWITCH-PROFICIENT-1-SWITCH</v>
          </cell>
        </row>
        <row r="305">
          <cell r="J305" t="str">
            <v>CI-MITS-NW-LE-ROUTER-PROFICIENT-1-ROUTER</v>
          </cell>
        </row>
        <row r="306">
          <cell r="J306" t="str">
            <v>CI-MITS-NW-ME-ROUTER-PROFICIENT-1-ROUTER</v>
          </cell>
        </row>
        <row r="307">
          <cell r="J307" t="str">
            <v>CI-MITS-NW-HE-ROUTER-PROFICIENT-1-ROUTER</v>
          </cell>
        </row>
        <row r="309">
          <cell r="J309" t="str">
            <v>DC-VAS-DFW-JUNIPER-SRX-240-PDEVICE</v>
          </cell>
        </row>
        <row r="310">
          <cell r="J310" t="str">
            <v>DC-VAS-DUTM-FORTINET-F50B-PDEVICE</v>
          </cell>
        </row>
        <row r="311">
          <cell r="J311" t="str">
            <v>DC-VAS-DNIPS-McAfee-2750-600Mbps-PDEVICE</v>
          </cell>
        </row>
        <row r="312">
          <cell r="J312" t="str">
            <v>DC-VAS-HIPS-McAfee-HIPS-WIN-LNX-PHOST</v>
          </cell>
        </row>
        <row r="314">
          <cell r="J314" t="str">
            <v>DC-VAS-COLO-PWR-PER100VA-PERU</v>
          </cell>
        </row>
        <row r="315">
          <cell r="J315" t="str">
            <v>DC-VAS-COLO-PWR-PERKVA-PERRACK</v>
          </cell>
        </row>
      </sheetData>
      <sheetData sheetId="3" refreshError="1"/>
      <sheetData sheetId="4" refreshError="1"/>
      <sheetData sheetId="5"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face"/>
      <sheetName val="Cover"/>
      <sheetName val="Master"/>
      <sheetName val="CoCu"/>
      <sheetName val="Parameter"/>
      <sheetName val="BOBJ_LocalisationRules"/>
      <sheetName val="CountryList_FX_Sep08"/>
      <sheetName val="SAP Budget rates09"/>
      <sheetName val="Sectors"/>
      <sheetName val="SoC"/>
      <sheetName val="Licensing Details"/>
      <sheetName val="UG"/>
      <sheetName val="Lex"/>
      <sheetName val="Disc"/>
      <sheetName val="Links"/>
      <sheetName val="Lead"/>
      <sheetName val="Base data Security Procedures"/>
      <sheetName val="MS NET"/>
      <sheetName val="12-Month Sales Forecast"/>
      <sheetName val="Labels"/>
      <sheetName val="Drop down data"/>
      <sheetName val="Data Domains"/>
    </sheetNames>
    <sheetDataSet>
      <sheetData sheetId="0"/>
      <sheetData sheetId="1"/>
      <sheetData sheetId="2">
        <row r="4">
          <cell r="AI4">
            <v>39692</v>
          </cell>
        </row>
        <row r="6">
          <cell r="AI6" t="str">
            <v>lo</v>
          </cell>
        </row>
        <row r="7">
          <cell r="AI7">
            <v>0</v>
          </cell>
        </row>
        <row r="9">
          <cell r="AI9">
            <v>0</v>
          </cell>
        </row>
        <row r="10">
          <cell r="AI10">
            <v>0</v>
          </cell>
        </row>
        <row r="20">
          <cell r="AI20">
            <v>0</v>
          </cell>
        </row>
        <row r="49">
          <cell r="AI49" t="b">
            <v>1</v>
          </cell>
        </row>
        <row r="50">
          <cell r="AI50" t="b">
            <v>1</v>
          </cell>
        </row>
        <row r="51">
          <cell r="AI51">
            <v>0</v>
          </cell>
        </row>
        <row r="61">
          <cell r="AI61">
            <v>0</v>
          </cell>
        </row>
        <row r="115">
          <cell r="AI115" t="b">
            <v>0</v>
          </cell>
        </row>
        <row r="116">
          <cell r="AI116">
            <v>0</v>
          </cell>
        </row>
        <row r="117">
          <cell r="AI117">
            <v>0</v>
          </cell>
        </row>
        <row r="118">
          <cell r="AI118">
            <v>0</v>
          </cell>
        </row>
        <row r="119">
          <cell r="AI119" t="b">
            <v>0</v>
          </cell>
        </row>
        <row r="120">
          <cell r="AI120" t="b">
            <v>0</v>
          </cell>
        </row>
        <row r="121">
          <cell r="AI121" t="b">
            <v>0</v>
          </cell>
        </row>
        <row r="122">
          <cell r="AI122" t="b">
            <v>0</v>
          </cell>
        </row>
        <row r="124">
          <cell r="AI124">
            <v>0</v>
          </cell>
        </row>
        <row r="125">
          <cell r="AI125">
            <v>0</v>
          </cell>
        </row>
        <row r="126">
          <cell r="AI126">
            <v>0</v>
          </cell>
        </row>
        <row r="127">
          <cell r="AI127">
            <v>0</v>
          </cell>
        </row>
        <row r="128">
          <cell r="AI128">
            <v>0</v>
          </cell>
        </row>
        <row r="129">
          <cell r="AI129">
            <v>0</v>
          </cell>
        </row>
        <row r="130">
          <cell r="AI130">
            <v>0</v>
          </cell>
        </row>
        <row r="131">
          <cell r="AI131">
            <v>0</v>
          </cell>
        </row>
        <row r="146">
          <cell r="AI146">
            <v>0</v>
          </cell>
        </row>
        <row r="147">
          <cell r="AI147">
            <v>0</v>
          </cell>
        </row>
        <row r="148">
          <cell r="AI148">
            <v>0</v>
          </cell>
        </row>
        <row r="149">
          <cell r="AI149">
            <v>0</v>
          </cell>
        </row>
        <row r="150">
          <cell r="AI150">
            <v>0</v>
          </cell>
        </row>
        <row r="151">
          <cell r="AI151">
            <v>0</v>
          </cell>
        </row>
        <row r="152">
          <cell r="AI152">
            <v>0</v>
          </cell>
        </row>
        <row r="153">
          <cell r="AI153">
            <v>0</v>
          </cell>
        </row>
        <row r="167">
          <cell r="AI167" t="b">
            <v>0</v>
          </cell>
        </row>
        <row r="168">
          <cell r="AI168" t="b">
            <v>0</v>
          </cell>
        </row>
        <row r="169">
          <cell r="AI169" t="b">
            <v>0</v>
          </cell>
        </row>
        <row r="170">
          <cell r="AI170" t="b">
            <v>0</v>
          </cell>
        </row>
        <row r="171">
          <cell r="AI171" t="b">
            <v>0</v>
          </cell>
        </row>
        <row r="172">
          <cell r="AI172">
            <v>0</v>
          </cell>
        </row>
        <row r="173">
          <cell r="AI173">
            <v>0</v>
          </cell>
        </row>
        <row r="174">
          <cell r="AI174">
            <v>0</v>
          </cell>
        </row>
        <row r="175">
          <cell r="AI175">
            <v>0</v>
          </cell>
        </row>
        <row r="176">
          <cell r="AI176">
            <v>0</v>
          </cell>
        </row>
        <row r="177">
          <cell r="AI177">
            <v>0</v>
          </cell>
        </row>
        <row r="178">
          <cell r="AI178">
            <v>0</v>
          </cell>
        </row>
        <row r="179">
          <cell r="AI179">
            <v>0</v>
          </cell>
        </row>
        <row r="180">
          <cell r="AI180">
            <v>0</v>
          </cell>
        </row>
        <row r="181">
          <cell r="AI181">
            <v>0</v>
          </cell>
        </row>
        <row r="182">
          <cell r="AI182">
            <v>0</v>
          </cell>
        </row>
        <row r="183">
          <cell r="AI183">
            <v>0</v>
          </cell>
        </row>
        <row r="185">
          <cell r="AI185">
            <v>0</v>
          </cell>
        </row>
        <row r="186">
          <cell r="AI186">
            <v>0</v>
          </cell>
        </row>
        <row r="187">
          <cell r="AI187">
            <v>0</v>
          </cell>
        </row>
        <row r="188">
          <cell r="AI188">
            <v>0</v>
          </cell>
        </row>
        <row r="189">
          <cell r="AI189">
            <v>0</v>
          </cell>
        </row>
        <row r="190">
          <cell r="AI190">
            <v>0</v>
          </cell>
        </row>
        <row r="191">
          <cell r="AI191">
            <v>0</v>
          </cell>
        </row>
        <row r="192">
          <cell r="AI192">
            <v>0</v>
          </cell>
        </row>
        <row r="195">
          <cell r="AI195">
            <v>0</v>
          </cell>
        </row>
        <row r="196">
          <cell r="AI196">
            <v>0</v>
          </cell>
        </row>
        <row r="197">
          <cell r="AI197">
            <v>0</v>
          </cell>
        </row>
        <row r="198">
          <cell r="AI198">
            <v>0</v>
          </cell>
        </row>
        <row r="199">
          <cell r="AI199">
            <v>0</v>
          </cell>
        </row>
        <row r="200">
          <cell r="AI200">
            <v>0</v>
          </cell>
        </row>
        <row r="201">
          <cell r="AI201">
            <v>0</v>
          </cell>
        </row>
        <row r="202">
          <cell r="AI202">
            <v>0</v>
          </cell>
        </row>
        <row r="203">
          <cell r="AI203">
            <v>0</v>
          </cell>
        </row>
        <row r="204">
          <cell r="AI204">
            <v>0</v>
          </cell>
        </row>
        <row r="205">
          <cell r="AI205">
            <v>0</v>
          </cell>
        </row>
        <row r="206">
          <cell r="AI206">
            <v>0</v>
          </cell>
        </row>
        <row r="207">
          <cell r="AI207">
            <v>0</v>
          </cell>
        </row>
        <row r="208">
          <cell r="AI208">
            <v>0</v>
          </cell>
        </row>
        <row r="209">
          <cell r="AI209">
            <v>0</v>
          </cell>
        </row>
        <row r="210">
          <cell r="AI210">
            <v>0</v>
          </cell>
        </row>
        <row r="211">
          <cell r="AI211">
            <v>0</v>
          </cell>
        </row>
        <row r="212">
          <cell r="AI212">
            <v>0</v>
          </cell>
        </row>
        <row r="213">
          <cell r="AI213">
            <v>0</v>
          </cell>
        </row>
        <row r="214">
          <cell r="AI214">
            <v>0</v>
          </cell>
        </row>
        <row r="215">
          <cell r="AI215">
            <v>0</v>
          </cell>
        </row>
        <row r="216">
          <cell r="AI216">
            <v>0</v>
          </cell>
        </row>
        <row r="217">
          <cell r="AI217">
            <v>0</v>
          </cell>
        </row>
        <row r="218">
          <cell r="AI218">
            <v>0</v>
          </cell>
        </row>
        <row r="219">
          <cell r="AI219">
            <v>0</v>
          </cell>
        </row>
        <row r="220">
          <cell r="AI220">
            <v>0</v>
          </cell>
        </row>
        <row r="221">
          <cell r="AI221">
            <v>0</v>
          </cell>
        </row>
        <row r="222">
          <cell r="AI222">
            <v>0</v>
          </cell>
        </row>
        <row r="223">
          <cell r="AI223">
            <v>0</v>
          </cell>
        </row>
        <row r="224">
          <cell r="AI224">
            <v>0</v>
          </cell>
        </row>
        <row r="225">
          <cell r="AI225">
            <v>0</v>
          </cell>
        </row>
        <row r="226">
          <cell r="AI226">
            <v>0</v>
          </cell>
        </row>
        <row r="227">
          <cell r="AI227">
            <v>0</v>
          </cell>
        </row>
        <row r="228">
          <cell r="AI228">
            <v>0</v>
          </cell>
        </row>
        <row r="229">
          <cell r="AI229">
            <v>0</v>
          </cell>
        </row>
        <row r="230">
          <cell r="AI230">
            <v>0</v>
          </cell>
        </row>
        <row r="231">
          <cell r="AI231">
            <v>0</v>
          </cell>
        </row>
        <row r="232">
          <cell r="AI232">
            <v>0</v>
          </cell>
        </row>
        <row r="233">
          <cell r="AI233">
            <v>0</v>
          </cell>
        </row>
        <row r="234">
          <cell r="AI234">
            <v>0</v>
          </cell>
        </row>
        <row r="235">
          <cell r="AI235">
            <v>0</v>
          </cell>
        </row>
        <row r="236">
          <cell r="AI236">
            <v>0</v>
          </cell>
        </row>
        <row r="237">
          <cell r="AI237">
            <v>0</v>
          </cell>
        </row>
        <row r="238">
          <cell r="AI238">
            <v>0</v>
          </cell>
        </row>
        <row r="239">
          <cell r="AI239">
            <v>0</v>
          </cell>
        </row>
        <row r="240">
          <cell r="AI240">
            <v>0</v>
          </cell>
        </row>
        <row r="241">
          <cell r="AI241">
            <v>0</v>
          </cell>
        </row>
        <row r="242">
          <cell r="AI242">
            <v>0</v>
          </cell>
        </row>
        <row r="243">
          <cell r="AI243">
            <v>0</v>
          </cell>
        </row>
        <row r="244">
          <cell r="AI244">
            <v>0</v>
          </cell>
        </row>
        <row r="245">
          <cell r="AI245">
            <v>0</v>
          </cell>
        </row>
        <row r="246">
          <cell r="AI246">
            <v>0</v>
          </cell>
        </row>
        <row r="247">
          <cell r="AI247">
            <v>0</v>
          </cell>
        </row>
        <row r="248">
          <cell r="AI248">
            <v>0</v>
          </cell>
        </row>
        <row r="249">
          <cell r="AI249">
            <v>0</v>
          </cell>
        </row>
        <row r="250">
          <cell r="AI250">
            <v>0</v>
          </cell>
        </row>
        <row r="251">
          <cell r="AI251">
            <v>0</v>
          </cell>
        </row>
        <row r="252">
          <cell r="AI252">
            <v>0</v>
          </cell>
        </row>
        <row r="253">
          <cell r="AI253">
            <v>0</v>
          </cell>
        </row>
        <row r="254">
          <cell r="AI254">
            <v>0</v>
          </cell>
        </row>
        <row r="255">
          <cell r="AI255">
            <v>0</v>
          </cell>
        </row>
        <row r="256">
          <cell r="AI256">
            <v>0</v>
          </cell>
        </row>
        <row r="257">
          <cell r="AI257">
            <v>0</v>
          </cell>
        </row>
        <row r="258">
          <cell r="AI258">
            <v>0</v>
          </cell>
        </row>
        <row r="259">
          <cell r="AI259">
            <v>0</v>
          </cell>
        </row>
        <row r="260">
          <cell r="AI260">
            <v>0</v>
          </cell>
        </row>
        <row r="261">
          <cell r="AI261">
            <v>0</v>
          </cell>
        </row>
        <row r="262">
          <cell r="AI262">
            <v>0</v>
          </cell>
        </row>
        <row r="263">
          <cell r="AI263">
            <v>0</v>
          </cell>
        </row>
        <row r="264">
          <cell r="AI264">
            <v>0</v>
          </cell>
        </row>
        <row r="265">
          <cell r="AI265">
            <v>0</v>
          </cell>
        </row>
        <row r="266">
          <cell r="AI266">
            <v>0</v>
          </cell>
        </row>
        <row r="267">
          <cell r="AI267">
            <v>0</v>
          </cell>
        </row>
        <row r="268">
          <cell r="AI268">
            <v>0</v>
          </cell>
        </row>
        <row r="269">
          <cell r="AI269">
            <v>0</v>
          </cell>
        </row>
        <row r="270">
          <cell r="AI270">
            <v>0</v>
          </cell>
        </row>
        <row r="271">
          <cell r="AI271">
            <v>0</v>
          </cell>
        </row>
        <row r="272">
          <cell r="AI272">
            <v>0</v>
          </cell>
        </row>
        <row r="273">
          <cell r="AI273">
            <v>0</v>
          </cell>
        </row>
        <row r="274">
          <cell r="AI274">
            <v>0</v>
          </cell>
        </row>
        <row r="275">
          <cell r="AI275">
            <v>0</v>
          </cell>
        </row>
        <row r="276">
          <cell r="AI276">
            <v>0</v>
          </cell>
        </row>
        <row r="277">
          <cell r="AI277">
            <v>0</v>
          </cell>
        </row>
        <row r="278">
          <cell r="AI278">
            <v>0</v>
          </cell>
        </row>
        <row r="279">
          <cell r="AI279">
            <v>0</v>
          </cell>
        </row>
        <row r="280">
          <cell r="AI280">
            <v>0</v>
          </cell>
        </row>
        <row r="281">
          <cell r="AI281">
            <v>0</v>
          </cell>
        </row>
        <row r="282">
          <cell r="AI282">
            <v>0</v>
          </cell>
        </row>
        <row r="283">
          <cell r="AI283">
            <v>0</v>
          </cell>
        </row>
        <row r="284">
          <cell r="AI284">
            <v>0</v>
          </cell>
        </row>
        <row r="285">
          <cell r="AI285">
            <v>0</v>
          </cell>
        </row>
        <row r="286">
          <cell r="AI286">
            <v>0</v>
          </cell>
        </row>
        <row r="287">
          <cell r="AI287">
            <v>0</v>
          </cell>
        </row>
        <row r="288">
          <cell r="AI288">
            <v>0</v>
          </cell>
        </row>
        <row r="289">
          <cell r="AI289">
            <v>0</v>
          </cell>
        </row>
        <row r="290">
          <cell r="AI290">
            <v>0</v>
          </cell>
        </row>
        <row r="291">
          <cell r="AI291">
            <v>0</v>
          </cell>
        </row>
        <row r="292">
          <cell r="AI292">
            <v>0</v>
          </cell>
        </row>
        <row r="293">
          <cell r="AI293">
            <v>0</v>
          </cell>
        </row>
        <row r="294">
          <cell r="AI294">
            <v>0</v>
          </cell>
        </row>
        <row r="295">
          <cell r="AI295">
            <v>0</v>
          </cell>
        </row>
        <row r="296">
          <cell r="AI296">
            <v>0</v>
          </cell>
        </row>
        <row r="297">
          <cell r="AI297">
            <v>0</v>
          </cell>
        </row>
        <row r="298">
          <cell r="AI298">
            <v>0</v>
          </cell>
        </row>
        <row r="299">
          <cell r="AI299">
            <v>0</v>
          </cell>
        </row>
        <row r="300">
          <cell r="AI300">
            <v>0</v>
          </cell>
        </row>
        <row r="301">
          <cell r="AI301">
            <v>0</v>
          </cell>
        </row>
        <row r="302">
          <cell r="AI302">
            <v>0</v>
          </cell>
        </row>
        <row r="303">
          <cell r="AI303">
            <v>0</v>
          </cell>
        </row>
        <row r="304">
          <cell r="AI304">
            <v>0</v>
          </cell>
        </row>
        <row r="305">
          <cell r="AI305">
            <v>0</v>
          </cell>
        </row>
        <row r="306">
          <cell r="AI306">
            <v>0</v>
          </cell>
        </row>
        <row r="307">
          <cell r="AI307">
            <v>0</v>
          </cell>
        </row>
        <row r="308">
          <cell r="AI308" t="b">
            <v>0</v>
          </cell>
        </row>
        <row r="309">
          <cell r="AI309">
            <v>0</v>
          </cell>
        </row>
        <row r="310">
          <cell r="AI310">
            <v>0</v>
          </cell>
        </row>
        <row r="311">
          <cell r="AI311">
            <v>0</v>
          </cell>
        </row>
        <row r="312">
          <cell r="AI312">
            <v>0</v>
          </cell>
        </row>
        <row r="313">
          <cell r="AI313" t="b">
            <v>1</v>
          </cell>
        </row>
        <row r="314">
          <cell r="AI314">
            <v>0</v>
          </cell>
        </row>
        <row r="315">
          <cell r="AI315">
            <v>0</v>
          </cell>
        </row>
        <row r="316">
          <cell r="AI316">
            <v>0</v>
          </cell>
        </row>
        <row r="317">
          <cell r="AI317">
            <v>0</v>
          </cell>
        </row>
        <row r="318">
          <cell r="AI318">
            <v>0</v>
          </cell>
        </row>
        <row r="319">
          <cell r="AI319">
            <v>0</v>
          </cell>
        </row>
        <row r="320">
          <cell r="AI320">
            <v>0</v>
          </cell>
        </row>
        <row r="321">
          <cell r="AI321">
            <v>0</v>
          </cell>
        </row>
        <row r="322">
          <cell r="AI322">
            <v>0</v>
          </cell>
        </row>
        <row r="323">
          <cell r="AI323">
            <v>0</v>
          </cell>
        </row>
        <row r="324">
          <cell r="AI324">
            <v>0</v>
          </cell>
        </row>
        <row r="325">
          <cell r="AI325">
            <v>0</v>
          </cell>
        </row>
        <row r="326">
          <cell r="AI326">
            <v>0</v>
          </cell>
        </row>
        <row r="327">
          <cell r="AI327">
            <v>0</v>
          </cell>
        </row>
        <row r="328">
          <cell r="AI328">
            <v>0</v>
          </cell>
        </row>
        <row r="329">
          <cell r="AI329">
            <v>0</v>
          </cell>
        </row>
        <row r="330">
          <cell r="AI330">
            <v>0</v>
          </cell>
        </row>
        <row r="331">
          <cell r="AI331">
            <v>0</v>
          </cell>
        </row>
        <row r="332">
          <cell r="AI332">
            <v>0</v>
          </cell>
        </row>
        <row r="337">
          <cell r="AI337">
            <v>0</v>
          </cell>
        </row>
        <row r="338">
          <cell r="AI338">
            <v>0</v>
          </cell>
        </row>
        <row r="339">
          <cell r="AI339">
            <v>0</v>
          </cell>
        </row>
        <row r="340">
          <cell r="AI340">
            <v>0</v>
          </cell>
        </row>
        <row r="341">
          <cell r="AI341">
            <v>0</v>
          </cell>
        </row>
        <row r="342">
          <cell r="AI342">
            <v>0</v>
          </cell>
        </row>
        <row r="343">
          <cell r="AI343">
            <v>0</v>
          </cell>
        </row>
        <row r="344">
          <cell r="AI344">
            <v>0</v>
          </cell>
        </row>
        <row r="345">
          <cell r="AI345">
            <v>0</v>
          </cell>
        </row>
        <row r="346">
          <cell r="AI346">
            <v>0</v>
          </cell>
        </row>
        <row r="347">
          <cell r="AI347">
            <v>0</v>
          </cell>
        </row>
        <row r="348">
          <cell r="AI348">
            <v>0</v>
          </cell>
        </row>
        <row r="349">
          <cell r="AI349">
            <v>0</v>
          </cell>
        </row>
        <row r="350">
          <cell r="AI350">
            <v>0</v>
          </cell>
        </row>
        <row r="351">
          <cell r="AI351">
            <v>0</v>
          </cell>
        </row>
        <row r="352">
          <cell r="AI352">
            <v>0</v>
          </cell>
        </row>
        <row r="353">
          <cell r="AI353">
            <v>0</v>
          </cell>
        </row>
        <row r="354">
          <cell r="AI354">
            <v>0</v>
          </cell>
        </row>
        <row r="355">
          <cell r="AI355">
            <v>0</v>
          </cell>
        </row>
        <row r="356">
          <cell r="AI356">
            <v>0</v>
          </cell>
        </row>
        <row r="357">
          <cell r="AI357">
            <v>0</v>
          </cell>
        </row>
        <row r="358">
          <cell r="AI358">
            <v>0</v>
          </cell>
        </row>
        <row r="359">
          <cell r="AI359">
            <v>0</v>
          </cell>
        </row>
        <row r="360">
          <cell r="AI360">
            <v>0</v>
          </cell>
        </row>
        <row r="361">
          <cell r="AI361">
            <v>0</v>
          </cell>
        </row>
        <row r="406">
          <cell r="AI406" t="b">
            <v>0</v>
          </cell>
        </row>
        <row r="407">
          <cell r="AI407" t="b">
            <v>0</v>
          </cell>
        </row>
        <row r="408">
          <cell r="AI408" t="b">
            <v>0</v>
          </cell>
        </row>
        <row r="409">
          <cell r="AI409" t="b">
            <v>0</v>
          </cell>
        </row>
        <row r="420">
          <cell r="AI420" t="b">
            <v>0</v>
          </cell>
        </row>
        <row r="438">
          <cell r="AI438" t="b">
            <v>0</v>
          </cell>
        </row>
        <row r="439">
          <cell r="AI439">
            <v>0</v>
          </cell>
        </row>
        <row r="511">
          <cell r="AI511" t="b">
            <v>0</v>
          </cell>
        </row>
        <row r="512">
          <cell r="AI512" t="b">
            <v>0</v>
          </cell>
        </row>
        <row r="515">
          <cell r="AI515" t="b">
            <v>1</v>
          </cell>
        </row>
        <row r="516">
          <cell r="AI516" t="b">
            <v>1</v>
          </cell>
        </row>
        <row r="517">
          <cell r="AI517" t="b">
            <v>1</v>
          </cell>
        </row>
        <row r="523">
          <cell r="AI523" t="b">
            <v>0</v>
          </cell>
        </row>
        <row r="524">
          <cell r="AI524" t="b">
            <v>0</v>
          </cell>
        </row>
        <row r="525">
          <cell r="AI525" t="b">
            <v>0</v>
          </cell>
        </row>
        <row r="526">
          <cell r="AI526" t="b">
            <v>0</v>
          </cell>
        </row>
        <row r="611">
          <cell r="AI611" t="b">
            <v>0</v>
          </cell>
        </row>
        <row r="612">
          <cell r="AI612">
            <v>0</v>
          </cell>
        </row>
        <row r="613">
          <cell r="AI613">
            <v>0</v>
          </cell>
        </row>
        <row r="614">
          <cell r="AI614">
            <v>0</v>
          </cell>
        </row>
        <row r="615">
          <cell r="AI615">
            <v>0</v>
          </cell>
        </row>
        <row r="616">
          <cell r="AI616">
            <v>0</v>
          </cell>
        </row>
        <row r="617">
          <cell r="AI617">
            <v>0</v>
          </cell>
        </row>
        <row r="618">
          <cell r="AI618">
            <v>0</v>
          </cell>
        </row>
        <row r="619">
          <cell r="AI619">
            <v>0</v>
          </cell>
        </row>
        <row r="620">
          <cell r="AI620">
            <v>0</v>
          </cell>
        </row>
        <row r="621">
          <cell r="AI621">
            <v>0</v>
          </cell>
        </row>
        <row r="622">
          <cell r="AI622">
            <v>0</v>
          </cell>
        </row>
        <row r="623">
          <cell r="AI623">
            <v>0</v>
          </cell>
        </row>
        <row r="624">
          <cell r="AI624">
            <v>0</v>
          </cell>
        </row>
        <row r="625">
          <cell r="AI625">
            <v>0</v>
          </cell>
        </row>
        <row r="626">
          <cell r="AI626">
            <v>0</v>
          </cell>
        </row>
        <row r="627">
          <cell r="AI627">
            <v>0</v>
          </cell>
        </row>
        <row r="628">
          <cell r="AI628">
            <v>0</v>
          </cell>
        </row>
        <row r="629">
          <cell r="AI629">
            <v>0</v>
          </cell>
        </row>
        <row r="630">
          <cell r="AI630">
            <v>0</v>
          </cell>
        </row>
        <row r="631">
          <cell r="AI631">
            <v>0</v>
          </cell>
        </row>
        <row r="632">
          <cell r="AI632">
            <v>0</v>
          </cell>
        </row>
        <row r="633">
          <cell r="AI633">
            <v>0</v>
          </cell>
        </row>
        <row r="634">
          <cell r="AI634">
            <v>0</v>
          </cell>
        </row>
        <row r="635">
          <cell r="AI635">
            <v>0</v>
          </cell>
        </row>
        <row r="636">
          <cell r="AI636">
            <v>0</v>
          </cell>
        </row>
        <row r="637">
          <cell r="AI637">
            <v>0</v>
          </cell>
        </row>
        <row r="648">
          <cell r="AI648" t="b">
            <v>0</v>
          </cell>
        </row>
        <row r="649">
          <cell r="AI649" t="b">
            <v>0</v>
          </cell>
        </row>
        <row r="650">
          <cell r="AI650">
            <v>0</v>
          </cell>
        </row>
        <row r="651">
          <cell r="AI651">
            <v>0</v>
          </cell>
        </row>
        <row r="652">
          <cell r="AI652">
            <v>0</v>
          </cell>
        </row>
        <row r="653">
          <cell r="AI653">
            <v>0</v>
          </cell>
        </row>
        <row r="654">
          <cell r="AI654">
            <v>0</v>
          </cell>
        </row>
        <row r="655">
          <cell r="AI655">
            <v>0</v>
          </cell>
        </row>
        <row r="656">
          <cell r="AI656">
            <v>0</v>
          </cell>
        </row>
        <row r="657">
          <cell r="AI657" t="b">
            <v>0</v>
          </cell>
        </row>
        <row r="658">
          <cell r="AI658" t="b">
            <v>0</v>
          </cell>
        </row>
        <row r="659">
          <cell r="AI659" t="b">
            <v>0</v>
          </cell>
        </row>
        <row r="660">
          <cell r="AI660" t="b">
            <v>0</v>
          </cell>
        </row>
        <row r="661">
          <cell r="AI661" t="b">
            <v>0</v>
          </cell>
        </row>
        <row r="662">
          <cell r="AI662" t="b">
            <v>0</v>
          </cell>
        </row>
        <row r="698">
          <cell r="AI698" t="b">
            <v>0</v>
          </cell>
        </row>
        <row r="718">
          <cell r="AI718" t="b">
            <v>1</v>
          </cell>
        </row>
        <row r="719">
          <cell r="AI719" t="b">
            <v>1</v>
          </cell>
        </row>
        <row r="720">
          <cell r="AI720" t="b">
            <v>1</v>
          </cell>
        </row>
        <row r="721">
          <cell r="AI721" t="b">
            <v>1</v>
          </cell>
        </row>
        <row r="722">
          <cell r="AI722" t="b">
            <v>0</v>
          </cell>
        </row>
        <row r="723">
          <cell r="AI723" t="b">
            <v>0</v>
          </cell>
        </row>
        <row r="724">
          <cell r="AI724" t="b">
            <v>0</v>
          </cell>
        </row>
        <row r="725">
          <cell r="AI725" t="b">
            <v>0</v>
          </cell>
        </row>
        <row r="776">
          <cell r="AI776" t="b">
            <v>0</v>
          </cell>
        </row>
        <row r="777">
          <cell r="AI777" t="b">
            <v>0</v>
          </cell>
        </row>
        <row r="778">
          <cell r="AI778" t="b">
            <v>0</v>
          </cell>
        </row>
        <row r="779">
          <cell r="AI779" t="b">
            <v>0</v>
          </cell>
        </row>
        <row r="780">
          <cell r="AI780" t="b">
            <v>0</v>
          </cell>
        </row>
        <row r="781">
          <cell r="AI781" t="b">
            <v>0</v>
          </cell>
        </row>
        <row r="782">
          <cell r="AI782" t="b">
            <v>0</v>
          </cell>
        </row>
        <row r="783">
          <cell r="AI783" t="b">
            <v>0</v>
          </cell>
        </row>
        <row r="791">
          <cell r="AI791" t="b">
            <v>1</v>
          </cell>
        </row>
        <row r="792">
          <cell r="AI792">
            <v>0</v>
          </cell>
        </row>
        <row r="793">
          <cell r="AI793">
            <v>0</v>
          </cell>
        </row>
        <row r="794">
          <cell r="AI794">
            <v>0</v>
          </cell>
        </row>
        <row r="795">
          <cell r="AI795">
            <v>0</v>
          </cell>
        </row>
        <row r="796">
          <cell r="AI796">
            <v>0</v>
          </cell>
        </row>
        <row r="797">
          <cell r="AI797">
            <v>0</v>
          </cell>
        </row>
        <row r="824">
          <cell r="AI824">
            <v>0</v>
          </cell>
        </row>
        <row r="893">
          <cell r="AI893">
            <v>0</v>
          </cell>
        </row>
        <row r="894">
          <cell r="AI894">
            <v>0</v>
          </cell>
        </row>
        <row r="895">
          <cell r="AI895">
            <v>0</v>
          </cell>
        </row>
        <row r="896">
          <cell r="AI896">
            <v>0</v>
          </cell>
        </row>
        <row r="897">
          <cell r="AI897">
            <v>0</v>
          </cell>
        </row>
        <row r="898">
          <cell r="AI898">
            <v>0</v>
          </cell>
        </row>
        <row r="899">
          <cell r="AI899">
            <v>0</v>
          </cell>
        </row>
        <row r="900">
          <cell r="AI900">
            <v>0</v>
          </cell>
        </row>
        <row r="901">
          <cell r="AI901">
            <v>0</v>
          </cell>
        </row>
        <row r="902">
          <cell r="AI902">
            <v>0</v>
          </cell>
        </row>
        <row r="903">
          <cell r="AI903">
            <v>0</v>
          </cell>
        </row>
        <row r="904">
          <cell r="AI904">
            <v>0</v>
          </cell>
        </row>
        <row r="905">
          <cell r="AI905">
            <v>0</v>
          </cell>
        </row>
        <row r="906">
          <cell r="AI906">
            <v>0</v>
          </cell>
        </row>
        <row r="907">
          <cell r="AI907">
            <v>0</v>
          </cell>
        </row>
        <row r="908">
          <cell r="AI908">
            <v>0</v>
          </cell>
        </row>
        <row r="909">
          <cell r="AI909">
            <v>0</v>
          </cell>
        </row>
        <row r="910">
          <cell r="AI910">
            <v>0</v>
          </cell>
        </row>
        <row r="911">
          <cell r="AI911">
            <v>0</v>
          </cell>
        </row>
        <row r="912">
          <cell r="AI912">
            <v>0</v>
          </cell>
        </row>
        <row r="913">
          <cell r="AI913">
            <v>0</v>
          </cell>
        </row>
        <row r="914">
          <cell r="AI914">
            <v>0</v>
          </cell>
        </row>
        <row r="915">
          <cell r="AI915">
            <v>0</v>
          </cell>
        </row>
        <row r="916">
          <cell r="AI916">
            <v>0</v>
          </cell>
        </row>
        <row r="917">
          <cell r="AI917">
            <v>0</v>
          </cell>
        </row>
        <row r="918">
          <cell r="AI918">
            <v>0</v>
          </cell>
        </row>
        <row r="920">
          <cell r="AI920">
            <v>0</v>
          </cell>
        </row>
        <row r="921">
          <cell r="AI921">
            <v>0</v>
          </cell>
        </row>
        <row r="922">
          <cell r="AI922">
            <v>0</v>
          </cell>
        </row>
        <row r="923">
          <cell r="AI923">
            <v>0</v>
          </cell>
        </row>
        <row r="925">
          <cell r="AI925">
            <v>0</v>
          </cell>
        </row>
        <row r="926">
          <cell r="AI926">
            <v>0</v>
          </cell>
        </row>
        <row r="933">
          <cell r="AI933">
            <v>0</v>
          </cell>
        </row>
        <row r="935">
          <cell r="AI935">
            <v>0</v>
          </cell>
        </row>
        <row r="936">
          <cell r="AI936">
            <v>0</v>
          </cell>
        </row>
        <row r="937">
          <cell r="AI937">
            <v>0</v>
          </cell>
        </row>
        <row r="938">
          <cell r="AI938">
            <v>0</v>
          </cell>
        </row>
        <row r="939">
          <cell r="AI939">
            <v>0</v>
          </cell>
        </row>
        <row r="940">
          <cell r="AI940">
            <v>0</v>
          </cell>
        </row>
        <row r="941">
          <cell r="AI941">
            <v>0</v>
          </cell>
        </row>
        <row r="942">
          <cell r="AI942">
            <v>0</v>
          </cell>
        </row>
        <row r="943">
          <cell r="AI943">
            <v>0</v>
          </cell>
        </row>
        <row r="944">
          <cell r="AI944">
            <v>0</v>
          </cell>
        </row>
        <row r="945">
          <cell r="AI945">
            <v>0</v>
          </cell>
        </row>
        <row r="946">
          <cell r="AI946">
            <v>0</v>
          </cell>
        </row>
        <row r="947">
          <cell r="AI947">
            <v>0</v>
          </cell>
        </row>
        <row r="948">
          <cell r="AI948">
            <v>0</v>
          </cell>
        </row>
        <row r="949">
          <cell r="AI949">
            <v>0</v>
          </cell>
        </row>
        <row r="950">
          <cell r="AI950">
            <v>0</v>
          </cell>
        </row>
        <row r="951">
          <cell r="AI951">
            <v>0</v>
          </cell>
        </row>
        <row r="952">
          <cell r="AI952">
            <v>0</v>
          </cell>
        </row>
        <row r="953">
          <cell r="AI953">
            <v>0</v>
          </cell>
        </row>
        <row r="954">
          <cell r="AI954">
            <v>0</v>
          </cell>
        </row>
        <row r="955">
          <cell r="AI955">
            <v>0</v>
          </cell>
        </row>
        <row r="956">
          <cell r="AI956">
            <v>0</v>
          </cell>
        </row>
        <row r="957">
          <cell r="AI957">
            <v>0</v>
          </cell>
        </row>
        <row r="958">
          <cell r="AI958">
            <v>0</v>
          </cell>
        </row>
        <row r="959">
          <cell r="AI959">
            <v>0</v>
          </cell>
        </row>
        <row r="960">
          <cell r="AI960">
            <v>0</v>
          </cell>
        </row>
        <row r="961">
          <cell r="AI961">
            <v>0</v>
          </cell>
        </row>
        <row r="962">
          <cell r="AI962">
            <v>0</v>
          </cell>
        </row>
        <row r="963">
          <cell r="AI963">
            <v>0</v>
          </cell>
        </row>
        <row r="964">
          <cell r="AI964">
            <v>0</v>
          </cell>
        </row>
        <row r="965">
          <cell r="AI965">
            <v>0</v>
          </cell>
        </row>
        <row r="1013">
          <cell r="AI1013">
            <v>0</v>
          </cell>
        </row>
        <row r="1014">
          <cell r="AI1014">
            <v>0</v>
          </cell>
        </row>
        <row r="1039">
          <cell r="AI1039">
            <v>0</v>
          </cell>
        </row>
        <row r="1040">
          <cell r="AI1040">
            <v>0</v>
          </cell>
        </row>
        <row r="1041">
          <cell r="AI1041">
            <v>0</v>
          </cell>
        </row>
        <row r="1042">
          <cell r="AI1042">
            <v>0</v>
          </cell>
        </row>
        <row r="1043">
          <cell r="AI1043">
            <v>0</v>
          </cell>
        </row>
        <row r="1044">
          <cell r="AI1044">
            <v>0</v>
          </cell>
        </row>
        <row r="1045">
          <cell r="AI1045">
            <v>0</v>
          </cell>
        </row>
        <row r="1046">
          <cell r="AI1046">
            <v>0</v>
          </cell>
        </row>
        <row r="1047">
          <cell r="AI1047">
            <v>0</v>
          </cell>
        </row>
        <row r="1139">
          <cell r="AI1139">
            <v>0</v>
          </cell>
        </row>
        <row r="1140">
          <cell r="AI1140">
            <v>0</v>
          </cell>
        </row>
        <row r="1141">
          <cell r="AI1141">
            <v>0</v>
          </cell>
        </row>
        <row r="1142">
          <cell r="AI1142">
            <v>0</v>
          </cell>
        </row>
        <row r="1143">
          <cell r="AI1143">
            <v>0</v>
          </cell>
        </row>
        <row r="1144">
          <cell r="AI1144">
            <v>0</v>
          </cell>
        </row>
        <row r="1145">
          <cell r="AI1145">
            <v>0</v>
          </cell>
        </row>
        <row r="1146">
          <cell r="AI1146">
            <v>0</v>
          </cell>
        </row>
        <row r="1149">
          <cell r="AI1149">
            <v>0</v>
          </cell>
        </row>
        <row r="1150">
          <cell r="AI1150">
            <v>0</v>
          </cell>
        </row>
        <row r="1151">
          <cell r="AI1151">
            <v>0</v>
          </cell>
        </row>
        <row r="1152">
          <cell r="AI1152">
            <v>0</v>
          </cell>
        </row>
        <row r="1153">
          <cell r="AI1153">
            <v>0</v>
          </cell>
        </row>
        <row r="1154">
          <cell r="AI1154">
            <v>0</v>
          </cell>
        </row>
        <row r="1155">
          <cell r="AI1155">
            <v>0</v>
          </cell>
        </row>
        <row r="1156">
          <cell r="AI1156">
            <v>0</v>
          </cell>
        </row>
        <row r="1157">
          <cell r="AI1157">
            <v>0</v>
          </cell>
        </row>
        <row r="1158">
          <cell r="AI1158">
            <v>0</v>
          </cell>
        </row>
        <row r="1159">
          <cell r="AI1159">
            <v>0</v>
          </cell>
        </row>
        <row r="1160">
          <cell r="AI1160">
            <v>0</v>
          </cell>
        </row>
        <row r="1161">
          <cell r="AI1161">
            <v>0</v>
          </cell>
        </row>
        <row r="1162">
          <cell r="AI1162">
            <v>0</v>
          </cell>
        </row>
        <row r="1163">
          <cell r="AI1163">
            <v>0</v>
          </cell>
        </row>
        <row r="1164">
          <cell r="AI1164">
            <v>0</v>
          </cell>
        </row>
        <row r="1165">
          <cell r="AI1165">
            <v>0</v>
          </cell>
        </row>
        <row r="1166">
          <cell r="AI1166">
            <v>0</v>
          </cell>
        </row>
        <row r="1167">
          <cell r="AI1167">
            <v>0</v>
          </cell>
        </row>
        <row r="1168">
          <cell r="AI1168">
            <v>0</v>
          </cell>
        </row>
        <row r="1169">
          <cell r="AI1169">
            <v>0</v>
          </cell>
        </row>
        <row r="1170">
          <cell r="AI1170">
            <v>0</v>
          </cell>
        </row>
        <row r="1171">
          <cell r="AI1171">
            <v>0</v>
          </cell>
        </row>
        <row r="1172">
          <cell r="AI1172">
            <v>0</v>
          </cell>
        </row>
        <row r="1173">
          <cell r="AI1173">
            <v>0</v>
          </cell>
        </row>
        <row r="1174">
          <cell r="AI1174">
            <v>0</v>
          </cell>
        </row>
        <row r="1175">
          <cell r="AI1175">
            <v>0</v>
          </cell>
        </row>
        <row r="1176">
          <cell r="AI1176">
            <v>0</v>
          </cell>
        </row>
        <row r="1177">
          <cell r="AI1177">
            <v>0</v>
          </cell>
        </row>
        <row r="1178">
          <cell r="AI1178">
            <v>0</v>
          </cell>
        </row>
        <row r="1179">
          <cell r="AI1179">
            <v>0</v>
          </cell>
        </row>
        <row r="1180">
          <cell r="AI1180">
            <v>0</v>
          </cell>
        </row>
        <row r="1181">
          <cell r="AI1181">
            <v>0</v>
          </cell>
        </row>
        <row r="1182">
          <cell r="AI1182">
            <v>0</v>
          </cell>
        </row>
        <row r="1183">
          <cell r="AI1183">
            <v>0</v>
          </cell>
        </row>
        <row r="1184">
          <cell r="AI1184">
            <v>0</v>
          </cell>
        </row>
        <row r="1185">
          <cell r="AI1185">
            <v>0</v>
          </cell>
        </row>
        <row r="1186">
          <cell r="AI1186">
            <v>0</v>
          </cell>
        </row>
        <row r="1187">
          <cell r="AI1187">
            <v>0</v>
          </cell>
        </row>
        <row r="1188">
          <cell r="AI1188">
            <v>0</v>
          </cell>
        </row>
        <row r="1189">
          <cell r="AI1189">
            <v>0</v>
          </cell>
        </row>
        <row r="1190">
          <cell r="AI1190">
            <v>0</v>
          </cell>
        </row>
        <row r="1191">
          <cell r="AI1191">
            <v>0</v>
          </cell>
        </row>
        <row r="1192">
          <cell r="AI1192">
            <v>0</v>
          </cell>
        </row>
        <row r="1193">
          <cell r="AI1193">
            <v>0</v>
          </cell>
        </row>
        <row r="1194">
          <cell r="AI1194">
            <v>0</v>
          </cell>
        </row>
        <row r="1195">
          <cell r="AI1195">
            <v>0</v>
          </cell>
        </row>
        <row r="1196">
          <cell r="AI1196">
            <v>0</v>
          </cell>
        </row>
        <row r="1197">
          <cell r="AI1197">
            <v>0</v>
          </cell>
        </row>
        <row r="1198">
          <cell r="AI1198">
            <v>0</v>
          </cell>
        </row>
        <row r="1199">
          <cell r="AI1199">
            <v>0</v>
          </cell>
        </row>
        <row r="1200">
          <cell r="AI1200">
            <v>0</v>
          </cell>
        </row>
        <row r="1201">
          <cell r="AI1201">
            <v>0</v>
          </cell>
        </row>
        <row r="1202">
          <cell r="AI1202">
            <v>0</v>
          </cell>
        </row>
        <row r="1203">
          <cell r="AI1203">
            <v>0</v>
          </cell>
        </row>
        <row r="1204">
          <cell r="AI1204">
            <v>0</v>
          </cell>
        </row>
        <row r="1205">
          <cell r="AI1205">
            <v>0</v>
          </cell>
        </row>
        <row r="1206">
          <cell r="AI1206">
            <v>0</v>
          </cell>
        </row>
        <row r="1207">
          <cell r="AI1207">
            <v>0</v>
          </cell>
        </row>
        <row r="1208">
          <cell r="AI1208">
            <v>0</v>
          </cell>
        </row>
        <row r="1209">
          <cell r="AI1209">
            <v>0</v>
          </cell>
        </row>
        <row r="1211">
          <cell r="AI1211">
            <v>0</v>
          </cell>
        </row>
        <row r="1212">
          <cell r="AI1212" t="b">
            <v>1</v>
          </cell>
        </row>
        <row r="1213">
          <cell r="AI1213">
            <v>0</v>
          </cell>
        </row>
        <row r="1214">
          <cell r="AI1214">
            <v>0</v>
          </cell>
        </row>
        <row r="1215">
          <cell r="AI1215">
            <v>0</v>
          </cell>
        </row>
        <row r="1216">
          <cell r="AI1216">
            <v>0</v>
          </cell>
        </row>
        <row r="1217">
          <cell r="AI1217">
            <v>0</v>
          </cell>
        </row>
        <row r="1218">
          <cell r="AI1218">
            <v>0</v>
          </cell>
        </row>
        <row r="1219">
          <cell r="AI1219">
            <v>0</v>
          </cell>
        </row>
        <row r="1220">
          <cell r="AI1220">
            <v>0</v>
          </cell>
        </row>
        <row r="1221">
          <cell r="AI1221">
            <v>0</v>
          </cell>
        </row>
        <row r="1222">
          <cell r="AI1222">
            <v>0</v>
          </cell>
        </row>
        <row r="1223">
          <cell r="AI1223">
            <v>0</v>
          </cell>
        </row>
        <row r="1224">
          <cell r="AI1224">
            <v>0</v>
          </cell>
        </row>
        <row r="1225">
          <cell r="AI1225">
            <v>0</v>
          </cell>
        </row>
        <row r="1226">
          <cell r="AI1226">
            <v>0</v>
          </cell>
        </row>
        <row r="1227">
          <cell r="AI1227">
            <v>0</v>
          </cell>
        </row>
        <row r="1228">
          <cell r="AI1228">
            <v>0</v>
          </cell>
        </row>
        <row r="1229">
          <cell r="AI1229">
            <v>0</v>
          </cell>
        </row>
        <row r="1230">
          <cell r="AI1230">
            <v>0</v>
          </cell>
        </row>
        <row r="1231">
          <cell r="AI1231">
            <v>0</v>
          </cell>
        </row>
        <row r="1232">
          <cell r="AI1232">
            <v>0</v>
          </cell>
        </row>
        <row r="1233">
          <cell r="AI1233">
            <v>0</v>
          </cell>
        </row>
        <row r="1234">
          <cell r="AI1234">
            <v>0</v>
          </cell>
        </row>
        <row r="1235">
          <cell r="AI1235">
            <v>0</v>
          </cell>
        </row>
        <row r="1236">
          <cell r="AI1236">
            <v>0</v>
          </cell>
        </row>
        <row r="1237">
          <cell r="AI1237">
            <v>0</v>
          </cell>
        </row>
        <row r="1238">
          <cell r="AI1238">
            <v>0</v>
          </cell>
        </row>
        <row r="1239">
          <cell r="AI1239">
            <v>0</v>
          </cell>
        </row>
        <row r="1240">
          <cell r="AI1240">
            <v>0</v>
          </cell>
        </row>
        <row r="1241">
          <cell r="AI1241">
            <v>0</v>
          </cell>
        </row>
        <row r="1242">
          <cell r="AI1242">
            <v>0</v>
          </cell>
        </row>
        <row r="1243">
          <cell r="AI1243">
            <v>0</v>
          </cell>
        </row>
        <row r="1244">
          <cell r="AI1244">
            <v>0</v>
          </cell>
        </row>
        <row r="1245">
          <cell r="AI1245">
            <v>0</v>
          </cell>
        </row>
        <row r="1246">
          <cell r="AI1246">
            <v>0</v>
          </cell>
        </row>
        <row r="1247">
          <cell r="AI1247">
            <v>0</v>
          </cell>
        </row>
        <row r="1248">
          <cell r="AI1248">
            <v>0</v>
          </cell>
        </row>
        <row r="1249">
          <cell r="AI1249">
            <v>0</v>
          </cell>
        </row>
        <row r="1250">
          <cell r="AI1250">
            <v>0</v>
          </cell>
        </row>
        <row r="1251">
          <cell r="AI1251">
            <v>0</v>
          </cell>
        </row>
        <row r="1252">
          <cell r="AI1252">
            <v>0</v>
          </cell>
        </row>
        <row r="1253">
          <cell r="AI1253">
            <v>0</v>
          </cell>
        </row>
        <row r="1254">
          <cell r="AI1254">
            <v>0</v>
          </cell>
        </row>
        <row r="1255">
          <cell r="AI1255">
            <v>0</v>
          </cell>
        </row>
        <row r="1256">
          <cell r="AI1256">
            <v>0</v>
          </cell>
        </row>
        <row r="1257">
          <cell r="AI1257">
            <v>0</v>
          </cell>
        </row>
        <row r="1258">
          <cell r="AI1258">
            <v>0</v>
          </cell>
        </row>
        <row r="1259">
          <cell r="AI1259">
            <v>0</v>
          </cell>
        </row>
        <row r="1260">
          <cell r="AI1260">
            <v>0</v>
          </cell>
        </row>
        <row r="1261">
          <cell r="AI1261">
            <v>0</v>
          </cell>
        </row>
        <row r="1262">
          <cell r="AI1262">
            <v>0</v>
          </cell>
        </row>
        <row r="1263">
          <cell r="AI1263">
            <v>0</v>
          </cell>
        </row>
        <row r="1264">
          <cell r="AI1264">
            <v>0</v>
          </cell>
        </row>
        <row r="1265">
          <cell r="AI1265">
            <v>0</v>
          </cell>
        </row>
        <row r="1266">
          <cell r="AI1266">
            <v>0</v>
          </cell>
        </row>
        <row r="1267">
          <cell r="AI1267">
            <v>0</v>
          </cell>
        </row>
        <row r="1268">
          <cell r="AI1268">
            <v>0</v>
          </cell>
        </row>
        <row r="1269">
          <cell r="AI1269">
            <v>0</v>
          </cell>
        </row>
        <row r="1270">
          <cell r="AI1270">
            <v>0</v>
          </cell>
        </row>
        <row r="1271">
          <cell r="AI1271">
            <v>0</v>
          </cell>
        </row>
        <row r="1272">
          <cell r="AI1272">
            <v>0</v>
          </cell>
        </row>
        <row r="1273">
          <cell r="AI1273">
            <v>0</v>
          </cell>
        </row>
        <row r="1274">
          <cell r="AI1274">
            <v>0</v>
          </cell>
        </row>
        <row r="1275">
          <cell r="AI1275">
            <v>0</v>
          </cell>
        </row>
        <row r="1276">
          <cell r="AI1276">
            <v>0</v>
          </cell>
        </row>
        <row r="1277">
          <cell r="AI1277">
            <v>0</v>
          </cell>
        </row>
        <row r="1278">
          <cell r="AI1278">
            <v>0</v>
          </cell>
        </row>
        <row r="1279">
          <cell r="AI1279">
            <v>0</v>
          </cell>
        </row>
        <row r="1280">
          <cell r="AI1280">
            <v>0</v>
          </cell>
        </row>
        <row r="1281">
          <cell r="AI1281">
            <v>0</v>
          </cell>
        </row>
        <row r="1282">
          <cell r="AI1282">
            <v>0</v>
          </cell>
        </row>
        <row r="1283">
          <cell r="AI1283">
            <v>0</v>
          </cell>
        </row>
        <row r="1284">
          <cell r="AI1284">
            <v>0</v>
          </cell>
        </row>
        <row r="1285">
          <cell r="AI1285">
            <v>0</v>
          </cell>
        </row>
        <row r="1286">
          <cell r="AI1286">
            <v>0</v>
          </cell>
        </row>
        <row r="1287">
          <cell r="AI1287">
            <v>0</v>
          </cell>
        </row>
        <row r="1288">
          <cell r="AI1288">
            <v>0</v>
          </cell>
        </row>
        <row r="1289">
          <cell r="AI1289">
            <v>0</v>
          </cell>
        </row>
        <row r="1290">
          <cell r="AI1290">
            <v>0</v>
          </cell>
        </row>
        <row r="1291">
          <cell r="AI1291">
            <v>0</v>
          </cell>
        </row>
        <row r="1292">
          <cell r="AI1292">
            <v>0</v>
          </cell>
        </row>
        <row r="1293">
          <cell r="AI1293">
            <v>0</v>
          </cell>
        </row>
        <row r="1294">
          <cell r="AI1294">
            <v>0</v>
          </cell>
        </row>
        <row r="1295">
          <cell r="AI1295">
            <v>0</v>
          </cell>
        </row>
        <row r="1296">
          <cell r="AI1296">
            <v>0</v>
          </cell>
        </row>
        <row r="1297">
          <cell r="AI1297">
            <v>0</v>
          </cell>
        </row>
        <row r="1298">
          <cell r="AI1298">
            <v>0</v>
          </cell>
        </row>
        <row r="1299">
          <cell r="AI1299">
            <v>0</v>
          </cell>
        </row>
        <row r="1300">
          <cell r="AI1300">
            <v>0</v>
          </cell>
        </row>
        <row r="1301">
          <cell r="AI1301">
            <v>0</v>
          </cell>
        </row>
        <row r="1302">
          <cell r="AI1302">
            <v>0</v>
          </cell>
        </row>
        <row r="1303">
          <cell r="AI1303">
            <v>0</v>
          </cell>
        </row>
        <row r="1304">
          <cell r="AI1304">
            <v>0</v>
          </cell>
        </row>
        <row r="1305">
          <cell r="AI1305">
            <v>0</v>
          </cell>
        </row>
        <row r="1306">
          <cell r="AI1306">
            <v>0</v>
          </cell>
        </row>
        <row r="1307">
          <cell r="AI1307">
            <v>0</v>
          </cell>
        </row>
        <row r="1308">
          <cell r="AI1308">
            <v>0</v>
          </cell>
        </row>
        <row r="1309">
          <cell r="AI1309">
            <v>0</v>
          </cell>
        </row>
        <row r="1310">
          <cell r="AI1310">
            <v>0</v>
          </cell>
        </row>
        <row r="1311">
          <cell r="AI1311">
            <v>0</v>
          </cell>
        </row>
        <row r="1312">
          <cell r="AI1312">
            <v>0</v>
          </cell>
        </row>
        <row r="1313">
          <cell r="AI1313">
            <v>0</v>
          </cell>
        </row>
        <row r="1314">
          <cell r="AI1314">
            <v>0</v>
          </cell>
        </row>
        <row r="1315">
          <cell r="AI1315">
            <v>0</v>
          </cell>
        </row>
        <row r="1316">
          <cell r="AI1316">
            <v>0</v>
          </cell>
        </row>
        <row r="1317">
          <cell r="AI1317">
            <v>0</v>
          </cell>
        </row>
        <row r="1318">
          <cell r="AI1318">
            <v>0</v>
          </cell>
        </row>
        <row r="1319">
          <cell r="AI1319">
            <v>0</v>
          </cell>
        </row>
        <row r="1320">
          <cell r="AI1320">
            <v>0</v>
          </cell>
        </row>
        <row r="1321">
          <cell r="AI1321" t="str">
            <v>OD con fac</v>
          </cell>
        </row>
        <row r="1396">
          <cell r="AI1396" t="b">
            <v>0</v>
          </cell>
        </row>
        <row r="1397">
          <cell r="AI1397" t="b">
            <v>0</v>
          </cell>
        </row>
        <row r="1398">
          <cell r="AI1398" t="b">
            <v>0</v>
          </cell>
        </row>
        <row r="1399">
          <cell r="AI1399" t="b">
            <v>0</v>
          </cell>
        </row>
        <row r="1400">
          <cell r="AI1400" t="b">
            <v>0</v>
          </cell>
        </row>
        <row r="1401">
          <cell r="AI1401" t="b">
            <v>0</v>
          </cell>
        </row>
        <row r="1402">
          <cell r="AI1402" t="b">
            <v>0</v>
          </cell>
        </row>
        <row r="1403">
          <cell r="AI1403">
            <v>0</v>
          </cell>
        </row>
        <row r="1404">
          <cell r="AI1404">
            <v>0</v>
          </cell>
        </row>
        <row r="1405">
          <cell r="AI1405">
            <v>0</v>
          </cell>
        </row>
        <row r="1406">
          <cell r="AI1406">
            <v>0</v>
          </cell>
        </row>
        <row r="1407">
          <cell r="AI1407">
            <v>0</v>
          </cell>
        </row>
        <row r="1408">
          <cell r="AI1408">
            <v>0</v>
          </cell>
        </row>
        <row r="1409">
          <cell r="AI1409">
            <v>0</v>
          </cell>
        </row>
        <row r="1410">
          <cell r="AI1410">
            <v>0</v>
          </cell>
        </row>
        <row r="1411">
          <cell r="AI1411">
            <v>0</v>
          </cell>
        </row>
        <row r="1412">
          <cell r="AI1412">
            <v>0</v>
          </cell>
        </row>
        <row r="1413">
          <cell r="AI1413">
            <v>0</v>
          </cell>
        </row>
        <row r="1414">
          <cell r="AI1414">
            <v>0</v>
          </cell>
        </row>
        <row r="1415">
          <cell r="AI1415">
            <v>0</v>
          </cell>
        </row>
        <row r="1416">
          <cell r="AI1416">
            <v>0</v>
          </cell>
        </row>
      </sheetData>
      <sheetData sheetId="3"/>
      <sheetData sheetId="4">
        <row r="9">
          <cell r="A9">
            <v>0</v>
          </cell>
        </row>
      </sheetData>
      <sheetData sheetId="5">
        <row r="24">
          <cell r="C24">
            <v>479</v>
          </cell>
        </row>
      </sheetData>
      <sheetData sheetId="6"/>
      <sheetData sheetId="7"/>
      <sheetData sheetId="8">
        <row r="2">
          <cell r="C2" t="str">
            <v>Named Users</v>
          </cell>
        </row>
      </sheetData>
      <sheetData sheetId="9"/>
      <sheetData sheetId="10"/>
      <sheetData sheetId="11"/>
      <sheetData sheetId="12"/>
      <sheetData sheetId="13"/>
      <sheetData sheetId="14" refreshError="1"/>
      <sheetData sheetId="15" refreshError="1"/>
      <sheetData sheetId="16"/>
      <sheetData sheetId="17"/>
      <sheetData sheetId="18" refreshError="1"/>
      <sheetData sheetId="19" refreshError="1"/>
      <sheetData sheetId="20" refreshError="1"/>
      <sheetData sheetId="21"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
      <sheetName val="Jan Server"/>
      <sheetName val="Jan Network"/>
      <sheetName val="Jan Dtps &amp; Ltps"/>
      <sheetName val="Jan Printers"/>
      <sheetName val="Feb Server"/>
      <sheetName val="Feb Network"/>
      <sheetName val="Feb Dtps &amp; Ltps"/>
      <sheetName val="Feb Printers"/>
      <sheetName val="March Server"/>
      <sheetName val="March Network"/>
      <sheetName val="March Dtps &amp; Ltps"/>
      <sheetName val="March Printers"/>
      <sheetName val="Junk"/>
      <sheetName val="Standby &amp; Stock"/>
      <sheetName val="Apr Server"/>
      <sheetName val="Apr Network"/>
      <sheetName val="Apr Dtps &amp; Ltps"/>
      <sheetName val="Apr Printers"/>
      <sheetName val="May Server"/>
      <sheetName val="May Network"/>
      <sheetName val="May Dtps &amp; Ltps"/>
      <sheetName val="May Printers"/>
      <sheetName val="Jun Server"/>
      <sheetName val="Jun Network"/>
      <sheetName val="Jun Dtps &amp; Ltps"/>
      <sheetName val="Jun Printers"/>
      <sheetName val="Jul Server"/>
      <sheetName val="Jul Network"/>
      <sheetName val="Jul Dtps &amp; Ltps"/>
      <sheetName val="Jul Printers"/>
      <sheetName val="Aug Server"/>
      <sheetName val="Aug Network"/>
      <sheetName val="Aug Dtps &amp; Ltps"/>
      <sheetName val="Aug Printers"/>
      <sheetName val="Sep Server"/>
      <sheetName val="Sep Network"/>
      <sheetName val="Sep Dtps &amp; Ltps"/>
      <sheetName val="Sep Printers"/>
      <sheetName val="Oct Server"/>
      <sheetName val="Oct Network"/>
      <sheetName val="Oct Dtps &amp; Ltps"/>
      <sheetName val="Oct Printers"/>
      <sheetName val="Nov Server"/>
      <sheetName val="Nov Network"/>
      <sheetName val="Nov Dtps &amp; Ltps"/>
      <sheetName val="Nov Printers"/>
      <sheetName val="Dec Server"/>
      <sheetName val="Dec Network"/>
      <sheetName val="Dec Dtps &amp; Ltps"/>
      <sheetName val="Dec Printers"/>
      <sheetName val="Data"/>
      <sheetName val="Dec EHR Server"/>
      <sheetName val="Dec EHR Printer"/>
      <sheetName val="Dec EHR dtps &amp;Laps"/>
      <sheetName val="Jan Server 2012"/>
      <sheetName val="Jan Network 2012"/>
      <sheetName val="Jan Dtps&amp;Lpts 2012"/>
      <sheetName val="Jan Printers 2012"/>
      <sheetName val="Jan EHR Printer 2012"/>
      <sheetName val="Jan EHR dpts&amp;laps 2012"/>
      <sheetName val="Feb Mailbox 2012"/>
      <sheetName val="Feb EHR Server 2012"/>
      <sheetName val="Feb EHR Printer 2012"/>
      <sheetName val="Server 2012"/>
      <sheetName val="Routers &amp; Firewalls"/>
      <sheetName val="Network-Switch 2012"/>
      <sheetName val="March EHR Dpts&amp;Laps 2012"/>
      <sheetName val="March EHR Server 2012"/>
      <sheetName val="Printer 2012"/>
      <sheetName val="EHR Laptops &amp; Desktops"/>
      <sheetName val="EHR Printer 2012"/>
      <sheetName val="Laptops and Desktops"/>
      <sheetName val="PIVOT"/>
      <sheetName val="Dashboard"/>
      <sheetName val="LPTP_DSPT_Validation"/>
      <sheetName val="Drop down data"/>
      <sheetName val="Mas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4">
          <cell r="A4" t="str">
            <v>Gurgaon</v>
          </cell>
        </row>
      </sheetData>
      <sheetData sheetId="51">
        <row r="4">
          <cell r="A4" t="str">
            <v>Gurgaon</v>
          </cell>
        </row>
        <row r="5">
          <cell r="A5" t="str">
            <v>Noida</v>
          </cell>
        </row>
        <row r="6">
          <cell r="A6" t="str">
            <v>Okhla</v>
          </cell>
        </row>
        <row r="7">
          <cell r="A7" t="str">
            <v>Panchsheel Park</v>
          </cell>
        </row>
        <row r="8">
          <cell r="A8" t="str">
            <v>Patparganj</v>
          </cell>
        </row>
        <row r="9">
          <cell r="A9" t="str">
            <v>Pitampura</v>
          </cell>
        </row>
        <row r="10">
          <cell r="A10" t="str">
            <v>Dell Noida</v>
          </cell>
        </row>
        <row r="11">
          <cell r="A11" t="str">
            <v>Saket</v>
          </cell>
        </row>
        <row r="12">
          <cell r="A12" t="str">
            <v>Saket DDF</v>
          </cell>
        </row>
        <row r="13">
          <cell r="A13" t="str">
            <v>Saket MSSH</v>
          </cell>
        </row>
        <row r="14">
          <cell r="A14" t="str">
            <v>SaketMCC</v>
          </cell>
        </row>
        <row r="15">
          <cell r="A15" t="str">
            <v>Mohali</v>
          </cell>
        </row>
        <row r="16">
          <cell r="A16" t="str">
            <v>Bhatinda</v>
          </cell>
        </row>
        <row r="17">
          <cell r="A17" t="str">
            <v>Dehradun</v>
          </cell>
        </row>
        <row r="18">
          <cell r="A18" t="str">
            <v>Shalimar Bagh</v>
          </cell>
        </row>
      </sheetData>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HOB Components"/>
      <sheetName val="Capacity Inputs"/>
      <sheetName val="SizingSummary_Work"/>
      <sheetName val="SizingSummary_Assumptions"/>
      <sheetName val="Transactions Per Flow"/>
      <sheetName val="ModelActivation_Portin_PrePay"/>
      <sheetName val="PreactivationModel"/>
      <sheetName val="MCD"/>
      <sheetName val="OverallThroughput"/>
      <sheetName val="ProcessingMetrics"/>
      <sheetName val="UserProfile"/>
      <sheetName val="Processor_Load_Estimates_JBPM"/>
      <sheetName val="Leap_HW_Summary"/>
      <sheetName val="BillingHWEstimates"/>
      <sheetName val="CRM-UI"/>
      <sheetName val="Calls-Agents-Calc"/>
      <sheetName val="CRM-Tibbilling-CRMS-Services"/>
      <sheetName val="Selfcare-invoiceusageandall"/>
      <sheetName val="Selfcare-UI"/>
      <sheetName val="Batch jobs"/>
      <sheetName val="OBRM-1.2M accounts-reference"/>
      <sheetName val="BillingCapacityInputs"/>
      <sheetName val="Summary - Storage"/>
      <sheetName val="Postpaid- storage-cdr"/>
      <sheetName val="Prepaid-storage-cdr-billsnap"/>
      <sheetName val="storage-crm-om-billpdfs"/>
      <sheetName val="Space by schema reference"/>
      <sheetName val="ETL"/>
      <sheetName val="NetworkLayout"/>
      <sheetName val="Constants"/>
      <sheetName val="BO"/>
      <sheetName val="SanRequirements_old"/>
      <sheetName val="Formulae"/>
      <sheetName val="ContactCenter"/>
      <sheetName val="Speed"/>
      <sheetName val="Activation Screens"/>
      <sheetName val="Post Sales Screens"/>
      <sheetName val="BOM-Physical  PrimarysiteNotuse"/>
      <sheetName val="SizingSummary_VMMapping_notused"/>
      <sheetName val="hw ref"/>
      <sheetName val="Sizing Summary- Physical-notuse"/>
      <sheetName val="ProcessorLoading_Tcare_notused"/>
    </sheetNames>
    <sheetDataSet>
      <sheetData sheetId="0"/>
      <sheetData sheetId="1"/>
      <sheetData sheetId="2">
        <row r="29">
          <cell r="B29">
            <v>5461.54</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DRP Punjab Primary"/>
      <sheetName val="Master Part List 7-1-09"/>
      <sheetName val="Reference"/>
      <sheetName val="Data"/>
      <sheetName val="Master"/>
    </sheetNames>
    <sheetDataSet>
      <sheetData sheetId="0"/>
      <sheetData sheetId="1"/>
      <sheetData sheetId="2" refreshError="1">
        <row r="19">
          <cell r="M19">
            <v>1</v>
          </cell>
        </row>
        <row r="20">
          <cell r="M20">
            <v>2</v>
          </cell>
        </row>
        <row r="21">
          <cell r="M21">
            <v>3</v>
          </cell>
        </row>
        <row r="22">
          <cell r="D22" t="str">
            <v>900010-000</v>
          </cell>
          <cell r="E22" t="str">
            <v>900050-000</v>
          </cell>
          <cell r="M22">
            <v>4</v>
          </cell>
        </row>
        <row r="23">
          <cell r="D23" t="str">
            <v>900010-MON</v>
          </cell>
          <cell r="E23" t="str">
            <v>900060-000</v>
          </cell>
          <cell r="M23">
            <v>5</v>
          </cell>
        </row>
        <row r="24">
          <cell r="D24" t="str">
            <v>900020-000</v>
          </cell>
          <cell r="M24">
            <v>6</v>
          </cell>
        </row>
        <row r="25">
          <cell r="D25" t="str">
            <v>900020-MON</v>
          </cell>
          <cell r="M25">
            <v>7</v>
          </cell>
        </row>
        <row r="26">
          <cell r="M26">
            <v>8</v>
          </cell>
        </row>
        <row r="27">
          <cell r="M27">
            <v>9</v>
          </cell>
        </row>
        <row r="28">
          <cell r="M28">
            <v>10</v>
          </cell>
        </row>
        <row r="29">
          <cell r="M29">
            <v>11</v>
          </cell>
        </row>
        <row r="30">
          <cell r="M30">
            <v>12</v>
          </cell>
        </row>
      </sheetData>
      <sheetData sheetId="3" refreshError="1"/>
      <sheetData sheetId="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Index"/>
      <sheetName val="Document revision"/>
      <sheetName val="Milestone &amp; WBS"/>
      <sheetName val="SLA"/>
      <sheetName val="Project Summary"/>
      <sheetName val="Financial Plan And Actual Perf"/>
      <sheetName val="An-II (Tot Margin)"/>
      <sheetName val="An-III (Itemwise Margin)"/>
      <sheetName val="An-V (COG)  "/>
      <sheetName val="An-IV (Cash Flow)"/>
      <sheetName val="PA System Details "/>
      <sheetName val="PA Revised"/>
      <sheetName val="FMS Details "/>
      <sheetName val="An- Va SI Sheet Assumptions"/>
      <sheetName val="SI Task Plan"/>
      <sheetName val="Proj Unbudgetted Cost"/>
      <sheetName val="Config"/>
      <sheetName val="MTO"/>
      <sheetName val="Power"/>
      <sheetName val="Motor Data"/>
      <sheetName val="Stackers 1 &amp; 2 LV"/>
      <sheetName val="Base data Security Procedures"/>
      <sheetName val="xSeries255"/>
      <sheetName val="Links"/>
      <sheetName val="Lead"/>
      <sheetName val="acs(1)"/>
      <sheetName val="fas-c(4)"/>
      <sheetName val="cctv(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tInfo"/>
      <sheetName val="PartsInfo"/>
      <sheetName val="PricingPage"/>
      <sheetName val="Roadmap"/>
      <sheetName val="LineSummary"/>
      <sheetName val="Summary"/>
      <sheetName val="Notes"/>
      <sheetName val="Intl Shipping"/>
      <sheetName val="GCO Intl"/>
      <sheetName val="IBMPrinters"/>
      <sheetName val="Import"/>
      <sheetName val="Export"/>
      <sheetName val="ShipCost"/>
      <sheetName val="ShipPrice"/>
      <sheetName val="Royalty"/>
      <sheetName val="Formulas"/>
      <sheetName val="SaveLoad"/>
      <sheetName val="SaveLoad2"/>
      <sheetName val="TempRoadmap"/>
      <sheetName val="War Room"/>
      <sheetName val="Country"/>
      <sheetName val="Updates"/>
      <sheetName val="Menu"/>
      <sheetName val="Referen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54">
          <cell r="B54" t="str">
            <v>Not In Parts Database</v>
          </cell>
        </row>
      </sheetData>
      <sheetData sheetId="16"/>
      <sheetData sheetId="17"/>
      <sheetData sheetId="18"/>
      <sheetData sheetId="19"/>
      <sheetData sheetId="20"/>
      <sheetData sheetId="21"/>
      <sheetData sheetId="22"/>
      <sheetData sheetId="23"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s>
    <sheetDataSet>
      <sheetData sheetId="0"/>
      <sheetData sheetId="1">
        <row r="14">
          <cell r="G14">
            <v>3.7079999999999997</v>
          </cell>
        </row>
      </sheetData>
      <sheetData sheetId="2"/>
      <sheetData sheetId="3"/>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Unpriced BOM"/>
      <sheetName val="Hardware Config"/>
      <sheetName val="Other Line Items"/>
      <sheetName val="Lists"/>
      <sheetName val="Commercials"/>
      <sheetName val="Formulas"/>
      <sheetName val="Master"/>
      <sheetName val="Other_Input"/>
      <sheetName val="Cover sheet"/>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isclaimer"/>
      <sheetName val="Basic Information"/>
      <sheetName val="Discount"/>
      <sheetName val="Huawei solutions for SAP HANA-2"/>
      <sheetName val="Huawei solutions for SAP HANA_3"/>
      <sheetName val="Huawei solutions for SAP HANA_2"/>
      <sheetName val="2288H V5"/>
      <sheetName val="Huawei solutions for SAP HANA_1"/>
      <sheetName val="Huawei solutions for SAP HANA_4"/>
      <sheetName val="Technical Support Service"/>
      <sheetName val="Installation Service"/>
      <sheetName val="tmp"/>
    </sheetNames>
    <sheetDataSet>
      <sheetData sheetId="0" refreshError="1"/>
      <sheetData sheetId="1" refreshError="1"/>
      <sheetData sheetId="2" refreshError="1"/>
      <sheetData sheetId="3" refreshError="1">
        <row r="11">
          <cell r="F11" t="str">
            <v>USD</v>
          </cell>
        </row>
        <row r="14">
          <cell r="F14" t="str">
            <v>FOB</v>
          </cell>
        </row>
        <row r="15">
          <cell r="F15" t="str">
            <v>Explicit</v>
          </cell>
        </row>
        <row r="16">
          <cell r="F16" t="str">
            <v>Hongkong_China</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_data"/>
      <sheetName val="Cable-data"/>
      <sheetName val="XLPE. ALLUMINIUM) (2)"/>
      <sheetName val="XLPE. ALLUMINIUM)"/>
      <sheetName val="XLPE COPPER"/>
      <sheetName val="PVC ALLUMINIUM"/>
      <sheetName val="PVC COPPER"/>
      <sheetName val="IO LIST"/>
      <sheetName val="Sheet1"/>
      <sheetName val="R20_R30_work"/>
      <sheetName val="Formulas"/>
      <sheetName val="PRSH"/>
      <sheetName val="Factors "/>
      <sheetName val="RCC,Ret. Wall"/>
      <sheetName val="96수출"/>
      <sheetName val="CABLE DATA"/>
      <sheetName val="PCS"/>
      <sheetName val="Field Values"/>
      <sheetName val="horizontal"/>
      <sheetName val="Rate Card"/>
      <sheetName val="Variation Statement"/>
      <sheetName val="Costing"/>
      <sheetName val="XLPE__ALLUMINIUM)_(2)"/>
      <sheetName val="XLPE__ALLUMINIUM)"/>
      <sheetName val="XLPE_COPPER"/>
      <sheetName val="PVC_ALLUMINIUM"/>
      <sheetName val="PVC_COPPER"/>
      <sheetName val="Labels"/>
      <sheetName val="Query Results ALL"/>
      <sheetName val="RCC,Ret__Wall"/>
      <sheetName val="Factors_"/>
      <sheetName val="XLPE__ALLUMINIUM)_(2)1"/>
      <sheetName val="XLPE__ALLUMINIUM)1"/>
      <sheetName val="XLPE_COPPER1"/>
      <sheetName val="PVC_ALLUMINIUM1"/>
      <sheetName val="PVC_COPPER1"/>
      <sheetName val="RCC,Ret__Wall1"/>
      <sheetName val="Factors_1"/>
      <sheetName val="IO_LIST"/>
      <sheetName val="RCC_Ret_ Wall"/>
      <sheetName val="RA-markate"/>
      <sheetName val="Approved MTD Proj #'s"/>
      <sheetName val="Headings"/>
      <sheetName val="10. &amp; 11. Rate Code &amp; BQ"/>
      <sheetName val="Footings"/>
      <sheetName val="Sheet2"/>
      <sheetName val="Originating Station"/>
      <sheetName val="Particulars"/>
      <sheetName val="EMC BOM"/>
      <sheetName val="Lists"/>
    </sheetNames>
    <sheetDataSet>
      <sheetData sheetId="0"/>
      <sheetData sheetId="1" refreshError="1">
        <row r="33">
          <cell r="A33">
            <v>2.5</v>
          </cell>
          <cell r="B33">
            <v>0</v>
          </cell>
          <cell r="C33">
            <v>0</v>
          </cell>
          <cell r="D33">
            <v>0</v>
          </cell>
          <cell r="E33">
            <v>2.5</v>
          </cell>
          <cell r="F33" t="str">
            <v>-</v>
          </cell>
          <cell r="I33">
            <v>25</v>
          </cell>
          <cell r="J33" t="str">
            <v>-</v>
          </cell>
          <cell r="K33" t="str">
            <v>-</v>
          </cell>
        </row>
        <row r="34">
          <cell r="A34">
            <v>4</v>
          </cell>
          <cell r="B34">
            <v>8.89</v>
          </cell>
          <cell r="C34">
            <v>9.6000000000000002E-2</v>
          </cell>
          <cell r="D34">
            <v>14.339200000000002</v>
          </cell>
          <cell r="E34">
            <v>4</v>
          </cell>
          <cell r="F34" t="str">
            <v>-</v>
          </cell>
          <cell r="G34">
            <v>29</v>
          </cell>
          <cell r="H34">
            <v>23</v>
          </cell>
          <cell r="I34">
            <v>15.7</v>
          </cell>
          <cell r="J34">
            <v>38</v>
          </cell>
          <cell r="K34">
            <v>32</v>
          </cell>
        </row>
        <row r="35">
          <cell r="A35">
            <v>6</v>
          </cell>
          <cell r="B35">
            <v>5.53</v>
          </cell>
          <cell r="C35">
            <v>9.11E-2</v>
          </cell>
          <cell r="D35">
            <v>8.9573200000000011</v>
          </cell>
          <cell r="E35">
            <v>6</v>
          </cell>
          <cell r="F35" t="str">
            <v>-</v>
          </cell>
          <cell r="G35">
            <v>36</v>
          </cell>
          <cell r="H35">
            <v>30</v>
          </cell>
          <cell r="I35">
            <v>10.4</v>
          </cell>
          <cell r="J35">
            <v>47</v>
          </cell>
          <cell r="K35">
            <v>41</v>
          </cell>
        </row>
        <row r="36">
          <cell r="A36">
            <v>10</v>
          </cell>
          <cell r="B36">
            <v>3.7</v>
          </cell>
          <cell r="C36">
            <v>8.5099999999999995E-2</v>
          </cell>
          <cell r="D36">
            <v>6.022120000000001</v>
          </cell>
          <cell r="E36">
            <v>10</v>
          </cell>
          <cell r="F36" t="str">
            <v>-</v>
          </cell>
          <cell r="G36">
            <v>49</v>
          </cell>
          <cell r="H36">
            <v>40</v>
          </cell>
          <cell r="I36">
            <v>6.2</v>
          </cell>
          <cell r="J36">
            <v>63</v>
          </cell>
          <cell r="K36">
            <v>53</v>
          </cell>
        </row>
        <row r="37">
          <cell r="A37">
            <v>16</v>
          </cell>
          <cell r="B37">
            <v>2.29</v>
          </cell>
          <cell r="C37">
            <v>7.2999999999999995E-2</v>
          </cell>
          <cell r="D37">
            <v>3.7516000000000003</v>
          </cell>
          <cell r="E37">
            <v>16</v>
          </cell>
          <cell r="F37" t="str">
            <v>-</v>
          </cell>
          <cell r="G37">
            <v>66</v>
          </cell>
          <cell r="H37">
            <v>51</v>
          </cell>
          <cell r="I37">
            <v>4</v>
          </cell>
          <cell r="J37">
            <v>82</v>
          </cell>
          <cell r="K37">
            <v>69</v>
          </cell>
        </row>
        <row r="38">
          <cell r="A38">
            <v>25</v>
          </cell>
          <cell r="B38">
            <v>1.44</v>
          </cell>
          <cell r="C38">
            <v>7.2099999999999997E-2</v>
          </cell>
          <cell r="D38">
            <v>2.39052</v>
          </cell>
          <cell r="E38">
            <v>25</v>
          </cell>
          <cell r="F38" t="str">
            <v>-</v>
          </cell>
          <cell r="G38">
            <v>86</v>
          </cell>
          <cell r="H38">
            <v>70</v>
          </cell>
          <cell r="I38">
            <v>2.5</v>
          </cell>
          <cell r="J38">
            <v>105</v>
          </cell>
          <cell r="K38">
            <v>89</v>
          </cell>
        </row>
        <row r="39">
          <cell r="A39">
            <v>35</v>
          </cell>
          <cell r="B39">
            <v>1.04</v>
          </cell>
          <cell r="C39">
            <v>6.88E-2</v>
          </cell>
          <cell r="D39">
            <v>1.7465600000000001</v>
          </cell>
          <cell r="E39">
            <v>35</v>
          </cell>
          <cell r="F39" t="str">
            <v>-</v>
          </cell>
          <cell r="G39">
            <v>105</v>
          </cell>
          <cell r="H39">
            <v>86</v>
          </cell>
          <cell r="I39">
            <v>1.8</v>
          </cell>
          <cell r="J39">
            <v>130</v>
          </cell>
          <cell r="K39">
            <v>105</v>
          </cell>
        </row>
        <row r="40">
          <cell r="A40">
            <v>50</v>
          </cell>
          <cell r="B40">
            <v>0.77</v>
          </cell>
          <cell r="C40">
            <v>6.88E-2</v>
          </cell>
          <cell r="D40">
            <v>1.3145600000000002</v>
          </cell>
          <cell r="E40">
            <v>50</v>
          </cell>
          <cell r="F40">
            <v>150</v>
          </cell>
          <cell r="G40">
            <v>125</v>
          </cell>
          <cell r="H40">
            <v>105</v>
          </cell>
          <cell r="I40">
            <v>1.3</v>
          </cell>
          <cell r="J40">
            <v>150</v>
          </cell>
          <cell r="K40">
            <v>125</v>
          </cell>
        </row>
        <row r="41">
          <cell r="A41">
            <v>70</v>
          </cell>
          <cell r="B41">
            <v>0.53200000000000003</v>
          </cell>
          <cell r="C41">
            <v>6.5799999999999997E-2</v>
          </cell>
          <cell r="D41">
            <v>0.9301600000000001</v>
          </cell>
          <cell r="E41">
            <v>70</v>
          </cell>
          <cell r="F41">
            <v>185</v>
          </cell>
          <cell r="G41">
            <v>170</v>
          </cell>
          <cell r="H41">
            <v>130</v>
          </cell>
          <cell r="I41">
            <v>0.93</v>
          </cell>
          <cell r="J41">
            <v>190</v>
          </cell>
          <cell r="K41">
            <v>155</v>
          </cell>
        </row>
        <row r="42">
          <cell r="A42">
            <v>95</v>
          </cell>
          <cell r="B42">
            <v>0.38500000000000001</v>
          </cell>
          <cell r="C42">
            <v>6.54E-2</v>
          </cell>
          <cell r="D42">
            <v>0.6944800000000001</v>
          </cell>
          <cell r="E42">
            <v>95</v>
          </cell>
          <cell r="F42">
            <v>220</v>
          </cell>
          <cell r="G42">
            <v>205</v>
          </cell>
          <cell r="H42">
            <v>155</v>
          </cell>
          <cell r="I42">
            <v>0.68</v>
          </cell>
          <cell r="J42">
            <v>225</v>
          </cell>
          <cell r="K42">
            <v>185</v>
          </cell>
        </row>
        <row r="43">
          <cell r="A43">
            <v>120</v>
          </cell>
          <cell r="B43">
            <v>0.30499999999999999</v>
          </cell>
          <cell r="C43">
            <v>6.3700000000000007E-2</v>
          </cell>
          <cell r="D43">
            <v>0.56444000000000005</v>
          </cell>
          <cell r="E43">
            <v>120</v>
          </cell>
          <cell r="F43">
            <v>265</v>
          </cell>
          <cell r="G43">
            <v>230</v>
          </cell>
          <cell r="H43">
            <v>180</v>
          </cell>
          <cell r="I43">
            <v>0.54</v>
          </cell>
          <cell r="J43">
            <v>260</v>
          </cell>
          <cell r="K43">
            <v>215</v>
          </cell>
        </row>
        <row r="44">
          <cell r="A44">
            <v>150</v>
          </cell>
          <cell r="B44">
            <v>0.248</v>
          </cell>
          <cell r="C44">
            <v>6.3799999999999996E-2</v>
          </cell>
          <cell r="D44">
            <v>0.47336</v>
          </cell>
          <cell r="E44">
            <v>150</v>
          </cell>
          <cell r="F44">
            <v>285</v>
          </cell>
          <cell r="G44">
            <v>270</v>
          </cell>
          <cell r="H44">
            <v>205</v>
          </cell>
          <cell r="I44">
            <v>0.46</v>
          </cell>
          <cell r="J44">
            <v>285</v>
          </cell>
          <cell r="K44">
            <v>240</v>
          </cell>
        </row>
        <row r="45">
          <cell r="A45">
            <v>185</v>
          </cell>
          <cell r="B45">
            <v>0.19800000000000001</v>
          </cell>
          <cell r="C45">
            <v>6.3799999999999996E-2</v>
          </cell>
          <cell r="D45">
            <v>0.39336000000000004</v>
          </cell>
          <cell r="E45">
            <v>185</v>
          </cell>
          <cell r="F45">
            <v>350</v>
          </cell>
          <cell r="G45">
            <v>305</v>
          </cell>
          <cell r="H45">
            <v>240</v>
          </cell>
          <cell r="I45">
            <v>0.38</v>
          </cell>
          <cell r="J45">
            <v>325</v>
          </cell>
          <cell r="K45">
            <v>270</v>
          </cell>
        </row>
        <row r="46">
          <cell r="A46">
            <v>240</v>
          </cell>
          <cell r="B46">
            <v>0.152</v>
          </cell>
          <cell r="C46">
            <v>6.3200000000000006E-2</v>
          </cell>
          <cell r="D46">
            <v>0.31903999999999999</v>
          </cell>
          <cell r="E46">
            <v>240</v>
          </cell>
          <cell r="F46">
            <v>405</v>
          </cell>
          <cell r="G46">
            <v>360</v>
          </cell>
          <cell r="H46">
            <v>280</v>
          </cell>
          <cell r="I46">
            <v>0.28000000000000003</v>
          </cell>
          <cell r="J46">
            <v>380</v>
          </cell>
          <cell r="K46">
            <v>320</v>
          </cell>
        </row>
        <row r="47">
          <cell r="A47">
            <v>300</v>
          </cell>
          <cell r="B47">
            <v>0.123</v>
          </cell>
          <cell r="C47">
            <v>6.2799999999999995E-2</v>
          </cell>
          <cell r="D47">
            <v>0.27216000000000001</v>
          </cell>
          <cell r="E47">
            <v>300</v>
          </cell>
          <cell r="F47">
            <v>460</v>
          </cell>
          <cell r="G47">
            <v>420</v>
          </cell>
          <cell r="H47">
            <v>315</v>
          </cell>
          <cell r="I47">
            <v>0.25</v>
          </cell>
          <cell r="J47">
            <v>430</v>
          </cell>
          <cell r="K47">
            <v>355</v>
          </cell>
        </row>
        <row r="48">
          <cell r="A48">
            <v>400</v>
          </cell>
          <cell r="B48">
            <v>9.6600000000000005E-2</v>
          </cell>
          <cell r="C48">
            <v>6.2300000000000001E-2</v>
          </cell>
          <cell r="D48">
            <v>0.22932000000000002</v>
          </cell>
          <cell r="E48">
            <v>400</v>
          </cell>
          <cell r="F48">
            <v>570</v>
          </cell>
          <cell r="G48" t="str">
            <v>-</v>
          </cell>
          <cell r="H48">
            <v>375</v>
          </cell>
          <cell r="I48">
            <v>0.22</v>
          </cell>
          <cell r="J48" t="str">
            <v>-</v>
          </cell>
          <cell r="K48">
            <v>375</v>
          </cell>
        </row>
      </sheetData>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DATA"/>
      <sheetName val="      "/>
      <sheetName val="VD FOR LIGHTING"/>
      <sheetName val="Sheet1"/>
      <sheetName val="Cable-data"/>
      <sheetName val="R20_R30_work"/>
      <sheetName val="Formulas"/>
      <sheetName val="Rates_PVC"/>
      <sheetName val="PRSH"/>
      <sheetName val="BOQ "/>
      <sheetName val="Flooring"/>
      <sheetName val="ELEC_BOQ"/>
      <sheetName val="______"/>
      <sheetName val="VD_FOR_LIGHTING"/>
      <sheetName val="CABLE_DATA"/>
      <sheetName val="______1"/>
      <sheetName val="VD_FOR_LIGHTING1"/>
      <sheetName val="CABLE_DATA1"/>
      <sheetName val="Basement Budget"/>
      <sheetName val="Sheet2"/>
      <sheetName val="horizontal"/>
      <sheetName val="Footings"/>
      <sheetName val="Originating Station"/>
    </sheetNames>
    <sheetDataSet>
      <sheetData sheetId="0" refreshError="1">
        <row r="31">
          <cell r="A31">
            <v>2.5</v>
          </cell>
          <cell r="B31" t="str">
            <v>-</v>
          </cell>
          <cell r="C31" t="str">
            <v>-</v>
          </cell>
        </row>
        <row r="32">
          <cell r="A32">
            <v>4</v>
          </cell>
          <cell r="B32">
            <v>8.89</v>
          </cell>
          <cell r="C32">
            <v>9.6000000000000002E-2</v>
          </cell>
        </row>
        <row r="33">
          <cell r="A33">
            <v>6</v>
          </cell>
          <cell r="B33">
            <v>5.53</v>
          </cell>
          <cell r="C33">
            <v>9.11E-2</v>
          </cell>
        </row>
        <row r="34">
          <cell r="A34">
            <v>10</v>
          </cell>
          <cell r="B34">
            <v>3.7</v>
          </cell>
          <cell r="C34">
            <v>8.5099999999999995E-2</v>
          </cell>
        </row>
        <row r="35">
          <cell r="A35">
            <v>16</v>
          </cell>
          <cell r="B35">
            <v>2.29</v>
          </cell>
          <cell r="C35">
            <v>7.2999999999999995E-2</v>
          </cell>
        </row>
        <row r="36">
          <cell r="A36">
            <v>25</v>
          </cell>
          <cell r="B36">
            <v>1.44</v>
          </cell>
          <cell r="C36">
            <v>7.2099999999999997E-2</v>
          </cell>
        </row>
        <row r="37">
          <cell r="A37">
            <v>35</v>
          </cell>
          <cell r="B37">
            <v>1.04</v>
          </cell>
          <cell r="C37">
            <v>6.88E-2</v>
          </cell>
        </row>
        <row r="38">
          <cell r="A38">
            <v>50</v>
          </cell>
          <cell r="B38">
            <v>0.77</v>
          </cell>
          <cell r="C38">
            <v>6.88E-2</v>
          </cell>
        </row>
        <row r="39">
          <cell r="A39">
            <v>70</v>
          </cell>
          <cell r="B39">
            <v>0.53200000000000003</v>
          </cell>
          <cell r="C39">
            <v>6.5799999999999997E-2</v>
          </cell>
        </row>
        <row r="40">
          <cell r="A40">
            <v>95</v>
          </cell>
          <cell r="B40">
            <v>0.38500000000000001</v>
          </cell>
          <cell r="C40">
            <v>6.54E-2</v>
          </cell>
        </row>
        <row r="41">
          <cell r="A41">
            <v>120</v>
          </cell>
          <cell r="B41">
            <v>0.30499999999999999</v>
          </cell>
          <cell r="C41">
            <v>6.3700000000000007E-2</v>
          </cell>
        </row>
        <row r="42">
          <cell r="A42">
            <v>150</v>
          </cell>
          <cell r="B42">
            <v>0.248</v>
          </cell>
          <cell r="C42">
            <v>6.3799999999999996E-2</v>
          </cell>
        </row>
        <row r="43">
          <cell r="A43">
            <v>185</v>
          </cell>
          <cell r="B43">
            <v>0.19800000000000001</v>
          </cell>
          <cell r="C43">
            <v>6.3799999999999996E-2</v>
          </cell>
        </row>
        <row r="44">
          <cell r="A44">
            <v>240</v>
          </cell>
          <cell r="B44">
            <v>0.152</v>
          </cell>
          <cell r="C44">
            <v>6.3200000000000006E-2</v>
          </cell>
        </row>
        <row r="45">
          <cell r="A45">
            <v>300</v>
          </cell>
          <cell r="B45">
            <v>0.123</v>
          </cell>
          <cell r="C45">
            <v>6.2799999999999995E-2</v>
          </cell>
        </row>
        <row r="46">
          <cell r="A46">
            <v>400</v>
          </cell>
          <cell r="B46">
            <v>9.6600000000000005E-2</v>
          </cell>
          <cell r="C46">
            <v>6.2300000000000001E-2</v>
          </cell>
        </row>
      </sheetData>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dd &amp; co Fdr Tds01-02"/>
      <sheetName val="mdd &amp; co Fdr  Feb02)"/>
      <sheetName val="Company ICD"/>
      <sheetName val="mdd &amp; co Fdr jan.02 "/>
      <sheetName val="TDS sCH"/>
      <sheetName val="mdd &amp; co Fdr Tds00-01"/>
      <sheetName val="money doubling"/>
      <sheetName val="CABLE DATA"/>
      <sheetName val="Ref"/>
      <sheetName val="Controls"/>
      <sheetName val="strip sizing"/>
      <sheetName val="LCS SCHEDULE "/>
      <sheetName val="Config"/>
    </sheetNames>
    <sheetDataSet>
      <sheetData sheetId="0"/>
      <sheetData sheetId="1"/>
      <sheetData sheetId="2"/>
      <sheetData sheetId="3" refreshError="1">
        <row r="33">
          <cell r="C33">
            <v>2500000</v>
          </cell>
          <cell r="J33">
            <v>834392.70785440668</v>
          </cell>
        </row>
        <row r="35">
          <cell r="A35" t="str">
            <v>P &amp; S Bank,Ghaziabad Br.</v>
          </cell>
        </row>
        <row r="36">
          <cell r="A36">
            <v>1</v>
          </cell>
          <cell r="B36">
            <v>569215</v>
          </cell>
          <cell r="C36">
            <v>500000</v>
          </cell>
          <cell r="D36">
            <v>10</v>
          </cell>
          <cell r="E36">
            <v>36779</v>
          </cell>
          <cell r="F36">
            <v>37965</v>
          </cell>
          <cell r="G36">
            <v>509</v>
          </cell>
          <cell r="H36">
            <v>5.5780821917808217</v>
          </cell>
          <cell r="J36">
            <v>73837.078681478277</v>
          </cell>
        </row>
        <row r="37">
          <cell r="A37">
            <v>2</v>
          </cell>
          <cell r="B37">
            <v>317416</v>
          </cell>
          <cell r="C37">
            <v>500000</v>
          </cell>
          <cell r="D37">
            <v>10</v>
          </cell>
          <cell r="E37">
            <v>36912</v>
          </cell>
          <cell r="F37">
            <v>38098</v>
          </cell>
          <cell r="G37">
            <v>376</v>
          </cell>
          <cell r="H37">
            <v>4.1205479452054794</v>
          </cell>
          <cell r="J37">
            <v>53551.721647092956</v>
          </cell>
        </row>
        <row r="38">
          <cell r="C38">
            <v>1000000</v>
          </cell>
          <cell r="J38">
            <v>127388.80032857123</v>
          </cell>
        </row>
        <row r="40">
          <cell r="C40">
            <v>948720099</v>
          </cell>
          <cell r="D40" t="str">
            <v>current FDR</v>
          </cell>
          <cell r="E40">
            <v>544720099</v>
          </cell>
          <cell r="I40">
            <v>12678383.458619684</v>
          </cell>
          <cell r="J40">
            <v>202842985.45861968</v>
          </cell>
        </row>
        <row r="42">
          <cell r="F42">
            <v>4140027.458619684</v>
          </cell>
          <cell r="G42" t="str">
            <v>Int. Acc For The Month</v>
          </cell>
        </row>
        <row r="43">
          <cell r="A43" t="str">
            <v>MOTHER DAIRYFRUIT &amp; VEGETABLE LIMITED</v>
          </cell>
        </row>
        <row r="45">
          <cell r="A45" t="str">
            <v>STAEMENT OF  FIXED DEPOSITS WITH State Bank of India</v>
          </cell>
        </row>
        <row r="47">
          <cell r="J47">
            <v>37287</v>
          </cell>
        </row>
        <row r="48">
          <cell r="A48" t="str">
            <v>SN.</v>
          </cell>
          <cell r="B48" t="str">
            <v>FDRN.</v>
          </cell>
          <cell r="C48" t="str">
            <v>AMT.OF FDR</v>
          </cell>
          <cell r="D48" t="str">
            <v>INT.RT.</v>
          </cell>
          <cell r="E48" t="str">
            <v>Issue Dt</v>
          </cell>
          <cell r="F48" t="str">
            <v>Maturity Dt</v>
          </cell>
          <cell r="G48" t="str">
            <v>DAYS</v>
          </cell>
          <cell r="H48" t="str">
            <v>QTR.</v>
          </cell>
          <cell r="I48" t="str">
            <v>Maturity Day</v>
          </cell>
          <cell r="J48" t="str">
            <v>INT.ACC.RS.</v>
          </cell>
        </row>
        <row r="49">
          <cell r="A49">
            <v>1</v>
          </cell>
          <cell r="B49" t="str">
            <v>Under B/G</v>
          </cell>
          <cell r="C49">
            <v>15000</v>
          </cell>
          <cell r="D49">
            <v>9.5</v>
          </cell>
          <cell r="E49">
            <v>36731</v>
          </cell>
          <cell r="F49">
            <v>37735</v>
          </cell>
          <cell r="G49">
            <v>557</v>
          </cell>
          <cell r="H49">
            <v>6.1041095890410961</v>
          </cell>
          <cell r="J49">
            <v>2310.7558815618613</v>
          </cell>
        </row>
        <row r="50">
          <cell r="A50">
            <v>2</v>
          </cell>
          <cell r="B50" t="str">
            <v>Under B/G</v>
          </cell>
          <cell r="C50">
            <v>30000</v>
          </cell>
          <cell r="D50">
            <v>10</v>
          </cell>
          <cell r="E50">
            <v>36949</v>
          </cell>
          <cell r="F50">
            <v>38134</v>
          </cell>
          <cell r="G50">
            <v>339</v>
          </cell>
          <cell r="H50">
            <v>3.7150684931506848</v>
          </cell>
          <cell r="J50">
            <v>2882.2213992476609</v>
          </cell>
        </row>
        <row r="51">
          <cell r="A51">
            <v>3</v>
          </cell>
          <cell r="B51" t="str">
            <v>Under B/G</v>
          </cell>
          <cell r="C51">
            <v>15000</v>
          </cell>
          <cell r="D51">
            <v>10</v>
          </cell>
          <cell r="E51">
            <v>36949</v>
          </cell>
          <cell r="F51">
            <v>38134</v>
          </cell>
          <cell r="G51">
            <v>339</v>
          </cell>
          <cell r="H51">
            <v>3.7150684931506848</v>
          </cell>
          <cell r="J51">
            <v>1441.1106996238304</v>
          </cell>
        </row>
        <row r="52">
          <cell r="A52">
            <v>4</v>
          </cell>
          <cell r="B52" t="str">
            <v>Under B/G</v>
          </cell>
          <cell r="C52">
            <v>15000</v>
          </cell>
          <cell r="D52">
            <v>9.5</v>
          </cell>
          <cell r="E52">
            <v>36622</v>
          </cell>
          <cell r="F52">
            <v>38448</v>
          </cell>
          <cell r="G52">
            <v>666</v>
          </cell>
          <cell r="H52">
            <v>7.2986301369863016</v>
          </cell>
          <cell r="J52">
            <v>2802.9869133477841</v>
          </cell>
        </row>
        <row r="53">
          <cell r="A53">
            <v>5</v>
          </cell>
          <cell r="B53" t="str">
            <v>Under B/G</v>
          </cell>
          <cell r="C53">
            <v>2000000</v>
          </cell>
          <cell r="D53">
            <v>9.5</v>
          </cell>
          <cell r="E53">
            <v>36634</v>
          </cell>
          <cell r="F53">
            <v>38490</v>
          </cell>
          <cell r="G53">
            <v>654</v>
          </cell>
          <cell r="H53">
            <v>7.1671232876712327</v>
          </cell>
          <cell r="J53">
            <v>366415.70872788364</v>
          </cell>
        </row>
        <row r="54">
          <cell r="A54">
            <v>6</v>
          </cell>
          <cell r="B54">
            <v>201072</v>
          </cell>
          <cell r="C54">
            <v>10000000</v>
          </cell>
          <cell r="D54">
            <v>10.75</v>
          </cell>
          <cell r="E54">
            <v>36878</v>
          </cell>
          <cell r="F54">
            <v>37973</v>
          </cell>
          <cell r="G54">
            <v>410</v>
          </cell>
          <cell r="H54">
            <v>4.493150684931507</v>
          </cell>
          <cell r="J54">
            <v>1265493.620353153</v>
          </cell>
        </row>
        <row r="55">
          <cell r="A55">
            <v>7</v>
          </cell>
          <cell r="B55">
            <v>201201</v>
          </cell>
          <cell r="C55">
            <v>250000000</v>
          </cell>
          <cell r="D55">
            <v>10.75</v>
          </cell>
          <cell r="E55">
            <v>36930</v>
          </cell>
          <cell r="F55">
            <v>38025</v>
          </cell>
          <cell r="G55">
            <v>358</v>
          </cell>
          <cell r="H55">
            <v>3.9232876712328766</v>
          </cell>
          <cell r="J55">
            <v>27412988.772712409</v>
          </cell>
        </row>
        <row r="56">
          <cell r="A56">
            <v>8</v>
          </cell>
          <cell r="B56">
            <v>201240</v>
          </cell>
          <cell r="C56">
            <v>150000000</v>
          </cell>
          <cell r="D56">
            <v>10.75</v>
          </cell>
          <cell r="E56">
            <v>36942</v>
          </cell>
          <cell r="F56">
            <v>38037</v>
          </cell>
          <cell r="G56">
            <v>346</v>
          </cell>
          <cell r="H56">
            <v>3.7917808219178082</v>
          </cell>
          <cell r="J56">
            <v>15868302.831289113</v>
          </cell>
        </row>
        <row r="57">
          <cell r="A57">
            <v>9</v>
          </cell>
          <cell r="B57">
            <v>201476</v>
          </cell>
          <cell r="C57">
            <v>100000000</v>
          </cell>
          <cell r="D57">
            <v>9.5</v>
          </cell>
          <cell r="E57">
            <v>37070</v>
          </cell>
          <cell r="F57">
            <v>38166</v>
          </cell>
          <cell r="G57">
            <v>218</v>
          </cell>
          <cell r="H57">
            <v>2.3890410958904109</v>
          </cell>
          <cell r="J57">
            <v>5767851.2187951058</v>
          </cell>
        </row>
        <row r="58">
          <cell r="B58" t="str">
            <v>TOTAL</v>
          </cell>
          <cell r="C58">
            <v>512075000</v>
          </cell>
          <cell r="J58">
            <v>50690489.226771444</v>
          </cell>
        </row>
        <row r="60">
          <cell r="A60" t="str">
            <v>STAEMENT OF  FIXED DEPOSITS WITH PNB,Mumbai</v>
          </cell>
        </row>
        <row r="63">
          <cell r="A63">
            <v>1</v>
          </cell>
          <cell r="B63">
            <v>450879</v>
          </cell>
          <cell r="C63">
            <v>30000000</v>
          </cell>
          <cell r="D63">
            <v>9.5</v>
          </cell>
          <cell r="E63">
            <v>36975</v>
          </cell>
          <cell r="F63">
            <v>38071</v>
          </cell>
          <cell r="G63">
            <v>313</v>
          </cell>
          <cell r="H63">
            <v>3.43013698630137</v>
          </cell>
          <cell r="J63">
            <v>2515301.0072933994</v>
          </cell>
        </row>
        <row r="67">
          <cell r="A67" t="str">
            <v>STAEMENT OF  FIXED DEPOSITS WITH ICICI Bank, C.P. N.Delhi</v>
          </cell>
        </row>
        <row r="70">
          <cell r="A70">
            <v>1</v>
          </cell>
          <cell r="B70">
            <v>50680617</v>
          </cell>
          <cell r="C70">
            <v>150000000</v>
          </cell>
          <cell r="D70">
            <v>7.9</v>
          </cell>
          <cell r="E70">
            <v>37243</v>
          </cell>
          <cell r="F70">
            <v>37291</v>
          </cell>
          <cell r="G70">
            <v>45</v>
          </cell>
          <cell r="H70">
            <v>0.49315068493150682</v>
          </cell>
          <cell r="J70">
            <v>1453718.2577444017</v>
          </cell>
        </row>
        <row r="71">
          <cell r="A71">
            <v>2</v>
          </cell>
          <cell r="C71">
            <v>100000000</v>
          </cell>
          <cell r="D71">
            <v>8</v>
          </cell>
          <cell r="E71">
            <v>37257</v>
          </cell>
          <cell r="F71">
            <v>37305</v>
          </cell>
          <cell r="G71">
            <v>31</v>
          </cell>
          <cell r="H71">
            <v>0.33972602739726027</v>
          </cell>
          <cell r="J71">
            <v>675014.81472331285</v>
          </cell>
        </row>
        <row r="72">
          <cell r="B72" t="str">
            <v>TOTAL</v>
          </cell>
          <cell r="C72">
            <v>250000000</v>
          </cell>
          <cell r="J72">
            <v>2128733.0724677145</v>
          </cell>
        </row>
        <row r="74">
          <cell r="B74" t="str">
            <v>Grand total</v>
          </cell>
          <cell r="C74">
            <v>792075000</v>
          </cell>
          <cell r="I74">
            <v>17412911.306532562</v>
          </cell>
          <cell r="J74">
            <v>55334523.306532562</v>
          </cell>
        </row>
        <row r="75">
          <cell r="F75">
            <v>6872655.3065325618</v>
          </cell>
          <cell r="G75" t="str">
            <v>Int. Acc For The Month</v>
          </cell>
        </row>
        <row r="77">
          <cell r="B77" t="str">
            <v>Grand total</v>
          </cell>
          <cell r="D77" t="str">
            <v>Overall avg YTM 9.75% P.A.</v>
          </cell>
        </row>
        <row r="78">
          <cell r="B78" t="str">
            <v>Co &amp; MDD (current)</v>
          </cell>
          <cell r="C78">
            <v>133.6795099</v>
          </cell>
        </row>
        <row r="121">
          <cell r="A121" t="str">
            <v>STAEMENT OF  FIXED DEPOSITS WITH State Bank of India</v>
          </cell>
        </row>
        <row r="124">
          <cell r="A124" t="str">
            <v>MOTHER DAIRY DELHI</v>
          </cell>
        </row>
        <row r="127">
          <cell r="J127">
            <v>37134</v>
          </cell>
        </row>
        <row r="128">
          <cell r="A128" t="str">
            <v>SN.</v>
          </cell>
          <cell r="B128" t="str">
            <v>FDRN.</v>
          </cell>
          <cell r="C128" t="str">
            <v>AMT.OF FDR</v>
          </cell>
          <cell r="D128" t="str">
            <v>INT.RT.</v>
          </cell>
          <cell r="E128" t="str">
            <v>Issue Dt</v>
          </cell>
          <cell r="F128" t="str">
            <v>Maturity Dt</v>
          </cell>
          <cell r="G128" t="str">
            <v>DAYS</v>
          </cell>
          <cell r="H128" t="str">
            <v>QTR.</v>
          </cell>
          <cell r="I128" t="str">
            <v>Maturity Day</v>
          </cell>
          <cell r="J128" t="str">
            <v>INT.ACC.RS.</v>
          </cell>
        </row>
        <row r="129">
          <cell r="A129" t="str">
            <v>SBI,Mother Dairy Br.</v>
          </cell>
        </row>
        <row r="130">
          <cell r="A130">
            <v>1</v>
          </cell>
          <cell r="C130">
            <v>100000000</v>
          </cell>
          <cell r="D130">
            <v>12.5</v>
          </cell>
          <cell r="E130">
            <v>36057</v>
          </cell>
          <cell r="F130">
            <v>37153</v>
          </cell>
          <cell r="G130">
            <v>1097</v>
          </cell>
          <cell r="H130">
            <v>12.021917808219179</v>
          </cell>
          <cell r="I130" t="str">
            <v>Wednesday</v>
          </cell>
          <cell r="J130">
            <v>44763957.590823114</v>
          </cell>
        </row>
        <row r="131">
          <cell r="A131">
            <v>2</v>
          </cell>
          <cell r="C131">
            <v>100000000</v>
          </cell>
          <cell r="D131">
            <v>12.5</v>
          </cell>
          <cell r="E131">
            <v>36078</v>
          </cell>
          <cell r="F131">
            <v>37174</v>
          </cell>
          <cell r="G131">
            <v>1097</v>
          </cell>
          <cell r="H131">
            <v>12.021917808219179</v>
          </cell>
          <cell r="I131" t="str">
            <v>Wednesday</v>
          </cell>
          <cell r="J131">
            <v>44763957.590823114</v>
          </cell>
        </row>
        <row r="132">
          <cell r="A132">
            <v>3</v>
          </cell>
          <cell r="C132">
            <v>144000000</v>
          </cell>
          <cell r="D132">
            <v>9.5</v>
          </cell>
          <cell r="E132">
            <v>37108</v>
          </cell>
          <cell r="F132">
            <v>38204</v>
          </cell>
          <cell r="G132">
            <v>180</v>
          </cell>
          <cell r="H132">
            <v>1.9726027397260273</v>
          </cell>
          <cell r="I132" t="str">
            <v>Monday</v>
          </cell>
          <cell r="J132">
            <v>6824202.0425110459</v>
          </cell>
        </row>
        <row r="133">
          <cell r="A133">
            <v>4</v>
          </cell>
          <cell r="C133">
            <v>100000000</v>
          </cell>
          <cell r="D133">
            <v>12.5</v>
          </cell>
          <cell r="E133">
            <v>36035</v>
          </cell>
          <cell r="F133">
            <v>37223</v>
          </cell>
          <cell r="G133">
            <v>1189</v>
          </cell>
          <cell r="H133">
            <v>13.03013698630137</v>
          </cell>
          <cell r="I133" t="str">
            <v>Wednesday</v>
          </cell>
          <cell r="J133">
            <v>49325593.581976354</v>
          </cell>
        </row>
        <row r="136">
          <cell r="B136" t="str">
            <v>Total</v>
          </cell>
          <cell r="C136">
            <v>444000000</v>
          </cell>
          <cell r="J136">
            <v>145677710.80613363</v>
          </cell>
        </row>
        <row r="139">
          <cell r="A139" t="str">
            <v>MOTHER DAIRY FRUIT&amp; VEGETABLE LIMITED</v>
          </cell>
        </row>
        <row r="142">
          <cell r="A142" t="str">
            <v>SN.</v>
          </cell>
          <cell r="B142" t="str">
            <v>FDRN.</v>
          </cell>
          <cell r="C142" t="str">
            <v>AMT.OF FDR</v>
          </cell>
          <cell r="D142" t="str">
            <v>INT.RT.</v>
          </cell>
          <cell r="E142" t="str">
            <v>Issue Dt</v>
          </cell>
          <cell r="F142" t="str">
            <v>Maturity Dt</v>
          </cell>
          <cell r="G142" t="str">
            <v>DAYS</v>
          </cell>
          <cell r="H142" t="str">
            <v>QTR.</v>
          </cell>
          <cell r="I142" t="str">
            <v>Maturity Day</v>
          </cell>
          <cell r="J142" t="str">
            <v>INT.ACC.RS.</v>
          </cell>
        </row>
        <row r="143">
          <cell r="A143">
            <v>1</v>
          </cell>
          <cell r="C143">
            <v>15000</v>
          </cell>
          <cell r="D143">
            <v>9.5</v>
          </cell>
          <cell r="E143">
            <v>36731</v>
          </cell>
          <cell r="F143">
            <v>37735</v>
          </cell>
          <cell r="G143">
            <v>557</v>
          </cell>
          <cell r="H143">
            <v>6.1041095890410961</v>
          </cell>
          <cell r="J143">
            <v>2310.7558815618613</v>
          </cell>
        </row>
        <row r="144">
          <cell r="A144">
            <v>2</v>
          </cell>
          <cell r="C144">
            <v>15000</v>
          </cell>
          <cell r="D144">
            <v>9.5</v>
          </cell>
          <cell r="E144">
            <v>36622</v>
          </cell>
          <cell r="F144">
            <v>38448</v>
          </cell>
          <cell r="G144">
            <v>666</v>
          </cell>
          <cell r="H144">
            <v>7.2986301369863016</v>
          </cell>
          <cell r="J144">
            <v>2802.9869133477841</v>
          </cell>
        </row>
        <row r="145">
          <cell r="A145">
            <v>3</v>
          </cell>
          <cell r="C145">
            <v>2000000</v>
          </cell>
          <cell r="D145">
            <v>9.5</v>
          </cell>
          <cell r="E145">
            <v>36634</v>
          </cell>
          <cell r="F145">
            <v>38490</v>
          </cell>
          <cell r="G145">
            <v>654</v>
          </cell>
          <cell r="H145">
            <v>7.1671232876712327</v>
          </cell>
          <cell r="J145">
            <v>366415.70872788364</v>
          </cell>
        </row>
        <row r="146">
          <cell r="A146">
            <v>4</v>
          </cell>
          <cell r="C146">
            <v>10000000</v>
          </cell>
          <cell r="D146">
            <v>10.75</v>
          </cell>
          <cell r="E146">
            <v>36878</v>
          </cell>
          <cell r="F146">
            <v>37973</v>
          </cell>
          <cell r="G146">
            <v>410</v>
          </cell>
          <cell r="H146">
            <v>4.493150684931507</v>
          </cell>
          <cell r="J146">
            <v>1265493.620353153</v>
          </cell>
        </row>
        <row r="147">
          <cell r="A147">
            <v>5</v>
          </cell>
          <cell r="C147">
            <v>250000000</v>
          </cell>
          <cell r="D147">
            <v>10.75</v>
          </cell>
          <cell r="E147">
            <v>36930</v>
          </cell>
          <cell r="F147">
            <v>38025</v>
          </cell>
          <cell r="G147">
            <v>358</v>
          </cell>
          <cell r="H147">
            <v>3.9232876712328766</v>
          </cell>
          <cell r="J147">
            <v>27412988.772712409</v>
          </cell>
        </row>
      </sheetData>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rcial Proposal"/>
      <sheetName val="MPLS Connectivity ULB&amp;DMAOffice"/>
      <sheetName val="NonCommercial MPLS Details"/>
      <sheetName val="Central Application Support"/>
      <sheetName val="Training &amp; Change Mgmt"/>
      <sheetName val="ULB Level Support"/>
      <sheetName val="Final BoQ"/>
      <sheetName val="Cost sheet - Summary "/>
      <sheetName val="Software Dev Modules"/>
      <sheetName val="Implementation Costs"/>
      <sheetName val="Training Cost"/>
      <sheetName val="Change Management"/>
      <sheetName val="Data Migration"/>
      <sheetName val="Centralized Application Support"/>
      <sheetName val="Manpower PIS"/>
      <sheetName val="Cloud Hosting"/>
      <sheetName val="Connectivity"/>
      <sheetName val="Bought Out SW"/>
      <sheetName val="Certifications"/>
      <sheetName val="storage"/>
      <sheetName val="Lists"/>
      <sheetName val="mdd &amp; co Fdr jan.02 "/>
      <sheetName val="Commercial_Proposal"/>
      <sheetName val="MPLS_Connectivity_ULB&amp;DMAOffice"/>
      <sheetName val="NonCommercial_MPLS_Details"/>
      <sheetName val="Central_Application_Support"/>
      <sheetName val="Training_&amp;_Change_Mgmt"/>
      <sheetName val="ULB_Level_Support"/>
      <sheetName val="Final_BoQ"/>
      <sheetName val="Cost_sheet_-_Summary_"/>
      <sheetName val="Software_Dev_Modules"/>
      <sheetName val="Implementation_Costs"/>
      <sheetName val="Training_Cost"/>
      <sheetName val="Change_Management"/>
      <sheetName val="Data_Migration"/>
      <sheetName val="Centralized_Application_Support"/>
      <sheetName val="Manpower_PIS"/>
      <sheetName val="Cloud_Hosting"/>
      <sheetName val="Bought_Out_SW"/>
    </sheetNames>
    <sheetDataSet>
      <sheetData sheetId="0">
        <row r="4">
          <cell r="I4" t="str">
            <v>Program Manager / Director</v>
          </cell>
        </row>
      </sheetData>
      <sheetData sheetId="1">
        <row r="4">
          <cell r="I4" t="str">
            <v>Program Manager / Director</v>
          </cell>
        </row>
      </sheetData>
      <sheetData sheetId="2"/>
      <sheetData sheetId="3"/>
      <sheetData sheetId="4"/>
      <sheetData sheetId="5"/>
      <sheetData sheetId="6">
        <row r="4">
          <cell r="I4" t="str">
            <v>Program Manager / Director</v>
          </cell>
        </row>
      </sheetData>
      <sheetData sheetId="7">
        <row r="4">
          <cell r="I4" t="str">
            <v>Program Manager / Director</v>
          </cell>
        </row>
        <row r="5">
          <cell r="I5" t="str">
            <v>Project Manager</v>
          </cell>
        </row>
        <row r="6">
          <cell r="I6" t="str">
            <v>Solution Architect</v>
          </cell>
        </row>
        <row r="7">
          <cell r="I7" t="str">
            <v>Trainer</v>
          </cell>
        </row>
        <row r="8">
          <cell r="I8" t="str">
            <v>Technical Expert</v>
          </cell>
        </row>
        <row r="9">
          <cell r="I9" t="str">
            <v>Urban Domain Expert</v>
          </cell>
        </row>
        <row r="10">
          <cell r="I10" t="str">
            <v>Team Lead- Testing</v>
          </cell>
        </row>
        <row r="11">
          <cell r="I11" t="str">
            <v>Database Expert</v>
          </cell>
        </row>
        <row r="12">
          <cell r="I12" t="str">
            <v>Business Analysts</v>
          </cell>
        </row>
        <row r="13">
          <cell r="I13" t="str">
            <v>Operations Manager</v>
          </cell>
        </row>
        <row r="14">
          <cell r="I14" t="str">
            <v>Networking Expert</v>
          </cell>
        </row>
        <row r="15">
          <cell r="I15" t="str">
            <v>Project Co-ordinator (ULB Support)</v>
          </cell>
        </row>
        <row r="16">
          <cell r="I16" t="str">
            <v>OEM Senior Developer</v>
          </cell>
        </row>
        <row r="17">
          <cell r="I17" t="str">
            <v>Developer</v>
          </cell>
        </row>
        <row r="18">
          <cell r="I18" t="str">
            <v>Tester</v>
          </cell>
        </row>
        <row r="19">
          <cell r="I19" t="str">
            <v xml:space="preserve">Team lead Development </v>
          </cell>
        </row>
        <row r="20">
          <cell r="I20" t="str">
            <v xml:space="preserve">Implementation manager </v>
          </cell>
        </row>
        <row r="21">
          <cell r="I21" t="str">
            <v xml:space="preserve">PM - implmentation </v>
          </cell>
        </row>
        <row r="22">
          <cell r="I22" t="str">
            <v>Functional consultant</v>
          </cell>
        </row>
        <row r="23">
          <cell r="I23" t="str">
            <v>Help Desk Exec.</v>
          </cell>
        </row>
      </sheetData>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ow r="4">
          <cell r="I4" t="str">
            <v>Program Manager / Director</v>
          </cell>
        </row>
      </sheetData>
      <sheetData sheetId="23"/>
      <sheetData sheetId="24"/>
      <sheetData sheetId="25"/>
      <sheetData sheetId="26"/>
      <sheetData sheetId="27"/>
      <sheetData sheetId="28">
        <row r="4">
          <cell r="I4" t="str">
            <v>Program Manager / Director</v>
          </cell>
        </row>
      </sheetData>
      <sheetData sheetId="29">
        <row r="4">
          <cell r="I4" t="str">
            <v>Program Manager / Director</v>
          </cell>
        </row>
      </sheetData>
      <sheetData sheetId="30"/>
      <sheetData sheetId="31"/>
      <sheetData sheetId="32"/>
      <sheetData sheetId="33"/>
      <sheetData sheetId="34"/>
      <sheetData sheetId="35"/>
      <sheetData sheetId="36"/>
      <sheetData sheetId="37"/>
      <sheetData sheetId="38"/>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rcial Proposal"/>
      <sheetName val="MPLS Connectivity ULB&amp;DMAOffice"/>
      <sheetName val="NonCommercial MPLS Details"/>
      <sheetName val="Central Application Support"/>
      <sheetName val="Training &amp; Change Mgmt"/>
      <sheetName val="ULB Level Support"/>
      <sheetName val="Final BoQ"/>
      <sheetName val="Cost sheet - Summary "/>
      <sheetName val="Software Dev Modules"/>
      <sheetName val="Implementation Costs"/>
      <sheetName val="Training Cost"/>
      <sheetName val="Change Management"/>
      <sheetName val="Data Migration"/>
      <sheetName val="Centralized Application Support"/>
      <sheetName val="Manpower PIS"/>
      <sheetName val="Cloud Hosting"/>
      <sheetName val="Connectivity"/>
      <sheetName val="Bought Out SW"/>
      <sheetName val="Certifications"/>
      <sheetName val="storage"/>
      <sheetName val="Lists"/>
      <sheetName val="Commercial_Proposal"/>
      <sheetName val="MPLS_Connectivity_ULB&amp;DMAOffice"/>
      <sheetName val="NonCommercial_MPLS_Details"/>
      <sheetName val="Central_Application_Support"/>
      <sheetName val="Training_&amp;_Change_Mgmt"/>
      <sheetName val="ULB_Level_Support"/>
      <sheetName val="Final_BoQ"/>
      <sheetName val="Cost_sheet_-_Summary_"/>
      <sheetName val="Software_Dev_Modules"/>
      <sheetName val="Implementation_Costs"/>
      <sheetName val="Training_Cost"/>
      <sheetName val="Change_Management"/>
      <sheetName val="Data_Migration"/>
      <sheetName val="Centralized_Application_Support"/>
      <sheetName val="Manpower_PIS"/>
      <sheetName val="Cloud_Hosting"/>
      <sheetName val="Bought_Out_SW"/>
      <sheetName val="mdd &amp; co Fdr jan.02 "/>
    </sheetNames>
    <sheetDataSet>
      <sheetData sheetId="0">
        <row r="4">
          <cell r="I4" t="str">
            <v>Program Manager / Director</v>
          </cell>
        </row>
      </sheetData>
      <sheetData sheetId="1">
        <row r="4">
          <cell r="I4" t="str">
            <v>Program Manager / Director</v>
          </cell>
        </row>
      </sheetData>
      <sheetData sheetId="2"/>
      <sheetData sheetId="3"/>
      <sheetData sheetId="4"/>
      <sheetData sheetId="5"/>
      <sheetData sheetId="6">
        <row r="4">
          <cell r="I4" t="str">
            <v>Program Manager / Director</v>
          </cell>
        </row>
      </sheetData>
      <sheetData sheetId="7">
        <row r="4">
          <cell r="I4" t="str">
            <v>Program Manager / Director</v>
          </cell>
        </row>
        <row r="5">
          <cell r="I5" t="str">
            <v>Project Manager</v>
          </cell>
        </row>
        <row r="6">
          <cell r="I6" t="str">
            <v>Solution Architect</v>
          </cell>
        </row>
        <row r="7">
          <cell r="I7" t="str">
            <v>Trainer</v>
          </cell>
        </row>
        <row r="8">
          <cell r="I8" t="str">
            <v>Technical Expert</v>
          </cell>
        </row>
        <row r="9">
          <cell r="I9" t="str">
            <v>Urban Domain Expert</v>
          </cell>
        </row>
        <row r="10">
          <cell r="I10" t="str">
            <v>Team Lead- Testing</v>
          </cell>
        </row>
        <row r="11">
          <cell r="I11" t="str">
            <v>Database Expert</v>
          </cell>
        </row>
        <row r="12">
          <cell r="I12" t="str">
            <v>Business Analysts</v>
          </cell>
        </row>
        <row r="13">
          <cell r="I13" t="str">
            <v>Operations Manager</v>
          </cell>
        </row>
        <row r="14">
          <cell r="I14" t="str">
            <v>Networking Expert</v>
          </cell>
        </row>
        <row r="15">
          <cell r="I15" t="str">
            <v>Project Co-ordinator (ULB Support)</v>
          </cell>
        </row>
        <row r="16">
          <cell r="I16" t="str">
            <v>OEM Senior Developer</v>
          </cell>
        </row>
        <row r="17">
          <cell r="I17" t="str">
            <v>Developer</v>
          </cell>
        </row>
        <row r="18">
          <cell r="I18" t="str">
            <v>Tester</v>
          </cell>
        </row>
        <row r="19">
          <cell r="I19" t="str">
            <v xml:space="preserve">Team lead Development </v>
          </cell>
        </row>
        <row r="20">
          <cell r="I20" t="str">
            <v xml:space="preserve">Implementation manager </v>
          </cell>
        </row>
        <row r="21">
          <cell r="I21" t="str">
            <v xml:space="preserve">PM - implmentation </v>
          </cell>
        </row>
        <row r="22">
          <cell r="I22" t="str">
            <v>Functional consultant</v>
          </cell>
        </row>
        <row r="23">
          <cell r="I23" t="str">
            <v>Help Desk Exec.</v>
          </cell>
        </row>
      </sheetData>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ow r="4">
          <cell r="I4" t="str">
            <v>Program Manager / Director</v>
          </cell>
        </row>
      </sheetData>
      <sheetData sheetId="22"/>
      <sheetData sheetId="23"/>
      <sheetData sheetId="24"/>
      <sheetData sheetId="25"/>
      <sheetData sheetId="26"/>
      <sheetData sheetId="27">
        <row r="4">
          <cell r="I4" t="str">
            <v>Program Manager / Director</v>
          </cell>
        </row>
      </sheetData>
      <sheetData sheetId="28">
        <row r="4">
          <cell r="I4" t="str">
            <v>Program Manager / Director</v>
          </cell>
        </row>
      </sheetData>
      <sheetData sheetId="29"/>
      <sheetData sheetId="30"/>
      <sheetData sheetId="31"/>
      <sheetData sheetId="32"/>
      <sheetData sheetId="33"/>
      <sheetData sheetId="34"/>
      <sheetData sheetId="35"/>
      <sheetData sheetId="36"/>
      <sheetData sheetId="37"/>
      <sheetData sheetId="38"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ion"/>
      <sheetName val="Pre-Production"/>
      <sheetName val="UAT"/>
      <sheetName val="Testing"/>
      <sheetName val="Development"/>
      <sheetName val="DR"/>
      <sheetName val="Inputs"/>
      <sheetName val="Summary"/>
    </sheetNames>
    <sheetDataSet>
      <sheetData sheetId="0"/>
      <sheetData sheetId="1"/>
      <sheetData sheetId="2"/>
      <sheetData sheetId="3"/>
      <sheetData sheetId="4"/>
      <sheetData sheetId="5"/>
      <sheetData sheetId="6"/>
      <sheetData sheetId="7">
        <row r="91">
          <cell r="A91" t="str">
            <v>MAS Oracle</v>
          </cell>
        </row>
        <row r="92">
          <cell r="A92" t="str">
            <v>MAS MS</v>
          </cell>
        </row>
        <row r="93">
          <cell r="A93" t="str">
            <v>MAS SAP</v>
          </cell>
        </row>
        <row r="94">
          <cell r="A94" t="str">
            <v>MAS</v>
          </cell>
        </row>
        <row r="95">
          <cell r="A95" t="str">
            <v>CRS</v>
          </cell>
        </row>
        <row r="96">
          <cell r="A96" t="str">
            <v>CIS</v>
          </cell>
        </row>
      </sheetData>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ver Conf By Name"/>
      <sheetName val="Server Conf By Rack"/>
      <sheetName val="Disk Slots"/>
      <sheetName val="Computer Config"/>
      <sheetName val="Computer NIC Config"/>
      <sheetName val="Disk Array Config"/>
      <sheetName val="Server Cluster Config"/>
      <sheetName val="CSM Cluster Config"/>
      <sheetName val="NLB Cluster Config"/>
      <sheetName val="mdd &amp; co Fdr jan.02 "/>
    </sheetNames>
    <sheetDataSet>
      <sheetData sheetId="0" refreshError="1">
        <row r="4">
          <cell r="A4" t="str">
            <v>Server Name</v>
          </cell>
          <cell r="B4" t="str">
            <v>Owner</v>
          </cell>
          <cell r="C4" t="str">
            <v>Server Model</v>
          </cell>
          <cell r="D4" t="str">
            <v>Serial Number</v>
          </cell>
          <cell r="E4" t="str">
            <v>RAM</v>
          </cell>
          <cell r="F4" t="str">
            <v>#
Procs</v>
          </cell>
          <cell r="G4" t="str">
            <v>Proc
Speed</v>
          </cell>
          <cell r="H4" t="str">
            <v>Slot #1</v>
          </cell>
          <cell r="I4" t="str">
            <v>Slot #2</v>
          </cell>
          <cell r="J4" t="str">
            <v>Slot #3</v>
          </cell>
          <cell r="K4" t="str">
            <v>Slot #4</v>
          </cell>
          <cell r="L4" t="str">
            <v>Slot #5</v>
          </cell>
          <cell r="M4" t="str">
            <v>Slot #6</v>
          </cell>
          <cell r="N4" t="str">
            <v>Slot #7</v>
          </cell>
          <cell r="O4" t="str">
            <v>Slot #8</v>
          </cell>
          <cell r="P4" t="str">
            <v>Slot #9</v>
          </cell>
          <cell r="Q4" t="str">
            <v>Slot #10</v>
          </cell>
          <cell r="R4" t="str">
            <v>Slot # 11</v>
          </cell>
          <cell r="S4" t="str">
            <v>18GB</v>
          </cell>
          <cell r="T4" t="str">
            <v>36GB</v>
          </cell>
          <cell r="U4" t="str">
            <v>72GB</v>
          </cell>
          <cell r="V4" t="str">
            <v>144GB</v>
          </cell>
        </row>
        <row r="5">
          <cell r="A5" t="str">
            <v>Windows Production Servers</v>
          </cell>
          <cell r="D5" t="str">
            <v>D308FSZ1H050</v>
          </cell>
          <cell r="E5" t="str">
            <v>4.0GB</v>
          </cell>
          <cell r="F5">
            <v>4</v>
          </cell>
          <cell r="G5" t="str">
            <v>2.0GHz</v>
          </cell>
          <cell r="H5" t="str">
            <v>Array Controller</v>
          </cell>
          <cell r="I5" t="str">
            <v>Single-Port NIC</v>
          </cell>
          <cell r="J5" t="str">
            <v>Empty</v>
          </cell>
          <cell r="K5" t="str">
            <v>Dual-Port NIC</v>
          </cell>
          <cell r="L5" t="str">
            <v>Dual-Port NIC</v>
          </cell>
          <cell r="M5" t="str">
            <v>Empty</v>
          </cell>
          <cell r="N5" t="str">
            <v>N/A</v>
          </cell>
          <cell r="O5" t="str">
            <v>N/A</v>
          </cell>
          <cell r="P5" t="str">
            <v>N/A</v>
          </cell>
          <cell r="Q5" t="str">
            <v>N/A</v>
          </cell>
          <cell r="R5" t="str">
            <v>N/A</v>
          </cell>
          <cell r="S5">
            <v>2</v>
          </cell>
          <cell r="U5">
            <v>2</v>
          </cell>
        </row>
        <row r="6">
          <cell r="A6" t="str">
            <v>TVMNTPR2</v>
          </cell>
          <cell r="B6" t="str">
            <v>Systems Grp</v>
          </cell>
          <cell r="C6" t="str">
            <v>Dell</v>
          </cell>
          <cell r="D6" t="str">
            <v>D308FSZ1H049</v>
          </cell>
          <cell r="E6" t="str">
            <v>4.0GB</v>
          </cell>
          <cell r="F6">
            <v>4</v>
          </cell>
          <cell r="G6" t="str">
            <v>2.0GHz</v>
          </cell>
          <cell r="H6" t="str">
            <v>Array Controller</v>
          </cell>
          <cell r="I6" t="str">
            <v>Single-Port NIC</v>
          </cell>
          <cell r="J6" t="str">
            <v>Empty</v>
          </cell>
          <cell r="K6" t="str">
            <v>Dual-Port NIC</v>
          </cell>
          <cell r="L6" t="str">
            <v>Dual-Port NIC</v>
          </cell>
          <cell r="M6" t="str">
            <v>Empty</v>
          </cell>
          <cell r="N6" t="str">
            <v>N/A</v>
          </cell>
          <cell r="O6" t="str">
            <v>N/A</v>
          </cell>
          <cell r="P6" t="str">
            <v>N/A</v>
          </cell>
          <cell r="Q6" t="str">
            <v>N/A</v>
          </cell>
          <cell r="R6" t="str">
            <v>N/A</v>
          </cell>
          <cell r="S6">
            <v>2</v>
          </cell>
          <cell r="U6">
            <v>2</v>
          </cell>
        </row>
        <row r="7">
          <cell r="A7" t="str">
            <v>TVMNASFS1</v>
          </cell>
          <cell r="B7" t="str">
            <v>Systems Grp</v>
          </cell>
          <cell r="C7" t="str">
            <v xml:space="preserve">Dell </v>
          </cell>
          <cell r="D7" t="str">
            <v>D308FSZ1H053</v>
          </cell>
          <cell r="E7" t="str">
            <v>4.0GB</v>
          </cell>
          <cell r="F7">
            <v>4</v>
          </cell>
          <cell r="G7" t="str">
            <v>2.0GHz</v>
          </cell>
          <cell r="H7" t="str">
            <v>Array Controller</v>
          </cell>
          <cell r="I7" t="str">
            <v>Single-Port NIC</v>
          </cell>
          <cell r="J7" t="str">
            <v>Empty</v>
          </cell>
          <cell r="K7" t="str">
            <v>Dual-Port NIC</v>
          </cell>
          <cell r="L7" t="str">
            <v>Dual-Port NIC</v>
          </cell>
          <cell r="M7" t="str">
            <v>Empty</v>
          </cell>
          <cell r="N7" t="str">
            <v>N/A</v>
          </cell>
          <cell r="O7" t="str">
            <v>N/A</v>
          </cell>
          <cell r="P7" t="str">
            <v>N/A</v>
          </cell>
          <cell r="Q7" t="str">
            <v>N/A</v>
          </cell>
          <cell r="R7" t="str">
            <v>N/A</v>
          </cell>
          <cell r="S7">
            <v>2</v>
          </cell>
          <cell r="U7">
            <v>2</v>
          </cell>
        </row>
        <row r="8">
          <cell r="A8" t="str">
            <v>A687USS</v>
          </cell>
          <cell r="B8" t="str">
            <v>wellpoint</v>
          </cell>
          <cell r="C8" t="str">
            <v>Ingram</v>
          </cell>
          <cell r="D8" t="str">
            <v>D308FSZ1H054</v>
          </cell>
          <cell r="E8" t="str">
            <v>4.0GB</v>
          </cell>
          <cell r="F8">
            <v>4</v>
          </cell>
          <cell r="G8" t="str">
            <v>2.0GHz</v>
          </cell>
          <cell r="H8" t="str">
            <v>Array Controller</v>
          </cell>
          <cell r="I8" t="str">
            <v>Single-Port NIC</v>
          </cell>
          <cell r="J8" t="str">
            <v>Empty</v>
          </cell>
          <cell r="K8" t="str">
            <v>Dual-Port NIC</v>
          </cell>
          <cell r="L8" t="str">
            <v>Dual-Port NIC</v>
          </cell>
          <cell r="M8" t="str">
            <v>Empty</v>
          </cell>
          <cell r="N8" t="str">
            <v>N/A</v>
          </cell>
          <cell r="O8" t="str">
            <v>N/A</v>
          </cell>
          <cell r="P8" t="str">
            <v>N/A</v>
          </cell>
          <cell r="Q8" t="str">
            <v>N/A</v>
          </cell>
          <cell r="R8" t="str">
            <v>N/A</v>
          </cell>
          <cell r="S8">
            <v>2</v>
          </cell>
          <cell r="U8">
            <v>2</v>
          </cell>
        </row>
        <row r="9">
          <cell r="A9" t="str">
            <v>TVMNTPR1</v>
          </cell>
          <cell r="B9" t="str">
            <v>Systems Grp</v>
          </cell>
          <cell r="C9" t="str">
            <v xml:space="preserve">Dell </v>
          </cell>
          <cell r="D9" t="str">
            <v>D152JZG1K028</v>
          </cell>
          <cell r="E9" t="str">
            <v>2.0GB</v>
          </cell>
          <cell r="F9" t="str">
            <v>2</v>
          </cell>
          <cell r="G9" t="str">
            <v>1.266GHz</v>
          </cell>
          <cell r="H9" t="str">
            <v>RIM</v>
          </cell>
          <cell r="I9" t="str">
            <v>Dual-Port NIC</v>
          </cell>
          <cell r="J9" t="str">
            <v>Empty</v>
          </cell>
          <cell r="K9" t="str">
            <v>N/A</v>
          </cell>
          <cell r="L9" t="str">
            <v>N/A</v>
          </cell>
          <cell r="M9" t="str">
            <v>N/A</v>
          </cell>
          <cell r="N9" t="str">
            <v>N/A</v>
          </cell>
          <cell r="O9" t="str">
            <v>N/A</v>
          </cell>
          <cell r="P9" t="str">
            <v>N/A</v>
          </cell>
          <cell r="Q9" t="str">
            <v>N/A</v>
          </cell>
          <cell r="R9" t="str">
            <v>N/A</v>
          </cell>
          <cell r="S9">
            <v>2</v>
          </cell>
          <cell r="U9">
            <v>2</v>
          </cell>
        </row>
        <row r="10">
          <cell r="A10" t="str">
            <v>B023USS</v>
          </cell>
          <cell r="B10" t="str">
            <v>Systems Grp</v>
          </cell>
          <cell r="C10" t="str">
            <v>HP</v>
          </cell>
          <cell r="D10" t="str">
            <v>6J25JNT1P01T</v>
          </cell>
          <cell r="E10" t="str">
            <v>1.0GB</v>
          </cell>
          <cell r="F10">
            <v>2</v>
          </cell>
          <cell r="G10" t="str">
            <v>1.4GHz</v>
          </cell>
          <cell r="H10" t="str">
            <v>Empty</v>
          </cell>
          <cell r="I10" t="str">
            <v>Dual-Port NIC</v>
          </cell>
          <cell r="J10" t="str">
            <v>N/A</v>
          </cell>
          <cell r="K10" t="str">
            <v>N/A</v>
          </cell>
          <cell r="L10" t="str">
            <v>N/A</v>
          </cell>
          <cell r="M10" t="str">
            <v>N/A</v>
          </cell>
          <cell r="N10" t="str">
            <v>N/A</v>
          </cell>
          <cell r="O10" t="str">
            <v>N/A</v>
          </cell>
          <cell r="P10" t="str">
            <v>N/A</v>
          </cell>
          <cell r="Q10" t="str">
            <v>N/A</v>
          </cell>
          <cell r="R10" t="str">
            <v>N/A</v>
          </cell>
          <cell r="S10">
            <v>2</v>
          </cell>
        </row>
        <row r="11">
          <cell r="A11" t="str">
            <v>TVMW2KUNITY1</v>
          </cell>
          <cell r="B11" t="str">
            <v>Network Grp</v>
          </cell>
          <cell r="C11" t="str">
            <v>Dell</v>
          </cell>
          <cell r="D11" t="str">
            <v>6J25JNT1R009</v>
          </cell>
          <cell r="E11" t="str">
            <v>1.0GB</v>
          </cell>
          <cell r="F11">
            <v>2</v>
          </cell>
          <cell r="G11" t="str">
            <v>1.4GHz</v>
          </cell>
          <cell r="H11" t="str">
            <v>Empty</v>
          </cell>
          <cell r="I11" t="str">
            <v>Dual-Port NIC</v>
          </cell>
          <cell r="J11" t="str">
            <v>N/A</v>
          </cell>
          <cell r="K11" t="str">
            <v>N/A</v>
          </cell>
          <cell r="L11" t="str">
            <v>N/A</v>
          </cell>
          <cell r="M11" t="str">
            <v>N/A</v>
          </cell>
          <cell r="N11" t="str">
            <v>N/A</v>
          </cell>
          <cell r="O11" t="str">
            <v>N/A</v>
          </cell>
          <cell r="P11" t="str">
            <v>N/A</v>
          </cell>
          <cell r="Q11" t="str">
            <v>N/A</v>
          </cell>
          <cell r="R11" t="str">
            <v>N/A</v>
          </cell>
          <cell r="S11">
            <v>2</v>
          </cell>
        </row>
        <row r="12">
          <cell r="A12" t="str">
            <v>TVMW2KCM1</v>
          </cell>
          <cell r="B12" t="str">
            <v>Network Grp</v>
          </cell>
          <cell r="C12" t="str">
            <v>HP</v>
          </cell>
          <cell r="D12" t="str">
            <v>6J25JNT1P0JJ</v>
          </cell>
          <cell r="E12" t="str">
            <v>1.0GB</v>
          </cell>
          <cell r="F12">
            <v>2</v>
          </cell>
          <cell r="G12" t="str">
            <v>1.4GHz</v>
          </cell>
          <cell r="H12" t="str">
            <v>Empty</v>
          </cell>
          <cell r="I12" t="str">
            <v>Dual-Port NIC</v>
          </cell>
          <cell r="J12" t="str">
            <v>N/A</v>
          </cell>
          <cell r="K12" t="str">
            <v>N/A</v>
          </cell>
          <cell r="L12" t="str">
            <v>N/A</v>
          </cell>
          <cell r="M12" t="str">
            <v>N/A</v>
          </cell>
          <cell r="N12" t="str">
            <v>N/A</v>
          </cell>
          <cell r="O12" t="str">
            <v>N/A</v>
          </cell>
          <cell r="P12" t="str">
            <v>N/A</v>
          </cell>
          <cell r="Q12" t="str">
            <v>N/A</v>
          </cell>
          <cell r="R12" t="str">
            <v>N/A</v>
          </cell>
          <cell r="S12">
            <v>2</v>
          </cell>
        </row>
        <row r="13">
          <cell r="A13" t="str">
            <v>TVMW2KCM2</v>
          </cell>
          <cell r="B13" t="str">
            <v>Network Grp</v>
          </cell>
          <cell r="C13" t="str">
            <v>HP</v>
          </cell>
          <cell r="D13" t="str">
            <v>6J25JNT1P09V</v>
          </cell>
          <cell r="E13" t="str">
            <v>1.0GB</v>
          </cell>
          <cell r="F13">
            <v>2</v>
          </cell>
          <cell r="G13" t="str">
            <v>1.4GHz</v>
          </cell>
          <cell r="H13" t="str">
            <v>Empty</v>
          </cell>
          <cell r="I13" t="str">
            <v>Dual-Port NIC</v>
          </cell>
          <cell r="J13" t="str">
            <v>N/A</v>
          </cell>
          <cell r="K13" t="str">
            <v>N/A</v>
          </cell>
          <cell r="L13" t="str">
            <v>N/A</v>
          </cell>
          <cell r="M13" t="str">
            <v>N/A</v>
          </cell>
          <cell r="N13" t="str">
            <v>N/A</v>
          </cell>
          <cell r="O13" t="str">
            <v>N/A</v>
          </cell>
          <cell r="P13" t="str">
            <v>N/A</v>
          </cell>
          <cell r="Q13" t="str">
            <v>N/A</v>
          </cell>
          <cell r="R13" t="str">
            <v>N/A</v>
          </cell>
          <cell r="S13">
            <v>2</v>
          </cell>
        </row>
        <row r="14">
          <cell r="A14" t="str">
            <v>TVMTIVSRV</v>
          </cell>
          <cell r="B14" t="str">
            <v>systems Grp</v>
          </cell>
          <cell r="C14" t="str">
            <v>Dell</v>
          </cell>
          <cell r="D14" t="str">
            <v>6J25JNT1P0CE</v>
          </cell>
          <cell r="E14" t="str">
            <v>2.0GB</v>
          </cell>
          <cell r="F14">
            <v>2</v>
          </cell>
          <cell r="G14" t="str">
            <v>1.4GHz</v>
          </cell>
          <cell r="H14" t="str">
            <v>Dual-Port NIC</v>
          </cell>
          <cell r="I14" t="str">
            <v>Dual-Port NIC</v>
          </cell>
          <cell r="J14" t="str">
            <v>N/A</v>
          </cell>
          <cell r="K14" t="str">
            <v>N/A</v>
          </cell>
          <cell r="L14" t="str">
            <v>N/A</v>
          </cell>
          <cell r="M14" t="str">
            <v>N/A</v>
          </cell>
          <cell r="N14" t="str">
            <v>N/A</v>
          </cell>
          <cell r="O14" t="str">
            <v>N/A</v>
          </cell>
          <cell r="P14" t="str">
            <v>N/A</v>
          </cell>
          <cell r="Q14" t="str">
            <v>N/A</v>
          </cell>
          <cell r="R14" t="str">
            <v>N/A</v>
          </cell>
          <cell r="S14">
            <v>2</v>
          </cell>
        </row>
        <row r="15">
          <cell r="A15" t="str">
            <v>TVMADM</v>
          </cell>
          <cell r="B15" t="str">
            <v>systems Grp</v>
          </cell>
          <cell r="C15" t="str">
            <v>Dell</v>
          </cell>
          <cell r="D15" t="str">
            <v>D152JZG1K383</v>
          </cell>
          <cell r="E15" t="str">
            <v>2.0GB</v>
          </cell>
          <cell r="F15">
            <v>2</v>
          </cell>
          <cell r="G15" t="str">
            <v>1.266GHz</v>
          </cell>
          <cell r="H15" t="str">
            <v>RIM</v>
          </cell>
          <cell r="I15" t="str">
            <v>Dual-Port NIC</v>
          </cell>
          <cell r="J15" t="str">
            <v>Empty</v>
          </cell>
          <cell r="K15" t="str">
            <v>N/A</v>
          </cell>
          <cell r="L15" t="str">
            <v>N/A</v>
          </cell>
          <cell r="M15" t="str">
            <v>N/A</v>
          </cell>
          <cell r="N15" t="str">
            <v>N/A</v>
          </cell>
          <cell r="O15" t="str">
            <v>N/A</v>
          </cell>
          <cell r="P15" t="str">
            <v>N/A</v>
          </cell>
          <cell r="Q15" t="str">
            <v>N/A</v>
          </cell>
          <cell r="R15" t="str">
            <v>N/A</v>
          </cell>
          <cell r="S15">
            <v>2</v>
          </cell>
          <cell r="U15">
            <v>4</v>
          </cell>
        </row>
        <row r="16">
          <cell r="A16" t="str">
            <v>TVM-TAPE-01</v>
          </cell>
          <cell r="B16" t="str">
            <v>Systems Grp</v>
          </cell>
          <cell r="C16" t="str">
            <v>Dell</v>
          </cell>
          <cell r="D16" t="str">
            <v>6J25JNT1R005</v>
          </cell>
          <cell r="E16" t="str">
            <v>1.0GB</v>
          </cell>
          <cell r="F16">
            <v>2</v>
          </cell>
          <cell r="G16" t="str">
            <v>1.4GHz</v>
          </cell>
          <cell r="H16" t="str">
            <v>Empty</v>
          </cell>
          <cell r="I16" t="str">
            <v>Dual-Port NIC</v>
          </cell>
          <cell r="J16" t="str">
            <v>N/A</v>
          </cell>
          <cell r="K16" t="str">
            <v>N/A</v>
          </cell>
          <cell r="L16" t="str">
            <v>N/A</v>
          </cell>
          <cell r="M16" t="str">
            <v>N/A</v>
          </cell>
          <cell r="N16" t="str">
            <v>N/A</v>
          </cell>
          <cell r="O16" t="str">
            <v>N/A</v>
          </cell>
          <cell r="P16" t="str">
            <v>N/A</v>
          </cell>
          <cell r="Q16" t="str">
            <v>N/A</v>
          </cell>
          <cell r="R16" t="str">
            <v>N/A</v>
          </cell>
          <cell r="T16">
            <v>2</v>
          </cell>
        </row>
        <row r="17">
          <cell r="A17" t="str">
            <v>TVMW2KAV1</v>
          </cell>
          <cell r="B17" t="str">
            <v>Systems Grp</v>
          </cell>
          <cell r="C17" t="str">
            <v>Dell</v>
          </cell>
          <cell r="D17" t="str">
            <v>6J25JNT1P0KF</v>
          </cell>
          <cell r="E17" t="str">
            <v>1.0GB</v>
          </cell>
          <cell r="F17">
            <v>2</v>
          </cell>
          <cell r="G17" t="str">
            <v>1.4GHz</v>
          </cell>
          <cell r="H17" t="str">
            <v>Empty</v>
          </cell>
          <cell r="I17" t="str">
            <v>Dual-Port NIC</v>
          </cell>
          <cell r="J17" t="str">
            <v>N/A</v>
          </cell>
          <cell r="K17" t="str">
            <v>N/A</v>
          </cell>
          <cell r="L17" t="str">
            <v>N/A</v>
          </cell>
          <cell r="M17" t="str">
            <v>N/A</v>
          </cell>
          <cell r="N17" t="str">
            <v>N/A</v>
          </cell>
          <cell r="O17" t="str">
            <v>N/A</v>
          </cell>
          <cell r="P17" t="str">
            <v>N/A</v>
          </cell>
          <cell r="Q17" t="str">
            <v>N/A</v>
          </cell>
          <cell r="R17" t="str">
            <v>N/A</v>
          </cell>
          <cell r="T17">
            <v>2</v>
          </cell>
        </row>
        <row r="18">
          <cell r="A18" t="str">
            <v>TVMCTX1</v>
          </cell>
          <cell r="B18" t="str">
            <v>Systems Grp</v>
          </cell>
          <cell r="C18" t="str">
            <v>Dell</v>
          </cell>
          <cell r="D18" t="str">
            <v>6J32KYD1L015</v>
          </cell>
          <cell r="E18" t="str">
            <v>2.0GB</v>
          </cell>
          <cell r="F18">
            <v>2</v>
          </cell>
          <cell r="G18" t="str">
            <v>2.8GHz</v>
          </cell>
          <cell r="H18" t="str">
            <v>Dual-Port NIC</v>
          </cell>
          <cell r="I18" t="str">
            <v>Empty</v>
          </cell>
          <cell r="J18" t="str">
            <v>N/A</v>
          </cell>
          <cell r="K18" t="str">
            <v>N/A</v>
          </cell>
          <cell r="L18" t="str">
            <v>N/A</v>
          </cell>
          <cell r="M18" t="str">
            <v>N/A</v>
          </cell>
          <cell r="N18" t="str">
            <v>N/A</v>
          </cell>
          <cell r="O18" t="str">
            <v>N/A</v>
          </cell>
          <cell r="P18" t="str">
            <v>N/A</v>
          </cell>
          <cell r="Q18" t="str">
            <v>N/A</v>
          </cell>
          <cell r="R18" t="str">
            <v>N/A</v>
          </cell>
          <cell r="T18">
            <v>2</v>
          </cell>
        </row>
        <row r="19">
          <cell r="A19" t="str">
            <v>TVM2K3RMDY</v>
          </cell>
          <cell r="B19" t="str">
            <v>GNOC</v>
          </cell>
          <cell r="C19" t="str">
            <v>Dell</v>
          </cell>
          <cell r="D19" t="str">
            <v>6J32KYD1L00D</v>
          </cell>
          <cell r="E19" t="str">
            <v>2.0GB</v>
          </cell>
          <cell r="F19">
            <v>2</v>
          </cell>
          <cell r="G19" t="str">
            <v>2.8GHz</v>
          </cell>
          <cell r="H19" t="str">
            <v>Dual-Port NIC</v>
          </cell>
          <cell r="I19" t="str">
            <v>Empty</v>
          </cell>
          <cell r="J19" t="str">
            <v>N/A</v>
          </cell>
          <cell r="K19" t="str">
            <v>N/A</v>
          </cell>
          <cell r="L19" t="str">
            <v>N/A</v>
          </cell>
          <cell r="M19" t="str">
            <v>N/A</v>
          </cell>
          <cell r="N19" t="str">
            <v>N/A</v>
          </cell>
          <cell r="O19" t="str">
            <v>N/A</v>
          </cell>
          <cell r="P19" t="str">
            <v>N/A</v>
          </cell>
          <cell r="Q19" t="str">
            <v>N/A</v>
          </cell>
          <cell r="R19" t="str">
            <v>N/A</v>
          </cell>
          <cell r="T19">
            <v>2</v>
          </cell>
        </row>
        <row r="20">
          <cell r="A20" t="str">
            <v>TVMWINNMS01</v>
          </cell>
          <cell r="B20" t="str">
            <v>GNOC</v>
          </cell>
          <cell r="C20" t="str">
            <v>Dell</v>
          </cell>
          <cell r="D20" t="str">
            <v>D042DYV1K419</v>
          </cell>
          <cell r="E20" t="str">
            <v>4.0GB</v>
          </cell>
          <cell r="F20">
            <v>4</v>
          </cell>
          <cell r="G20" t="str">
            <v>700MHz</v>
          </cell>
          <cell r="H20" t="str">
            <v>Empty</v>
          </cell>
          <cell r="I20" t="str">
            <v>Empty</v>
          </cell>
          <cell r="J20" t="str">
            <v>Dual-Port NIC</v>
          </cell>
          <cell r="K20" t="str">
            <v>Dual-Port NIC</v>
          </cell>
          <cell r="L20" t="str">
            <v>Empty</v>
          </cell>
          <cell r="M20" t="str">
            <v>RIM</v>
          </cell>
          <cell r="N20" t="str">
            <v>N/A</v>
          </cell>
          <cell r="O20" t="str">
            <v>N/A</v>
          </cell>
          <cell r="P20" t="str">
            <v>N/A</v>
          </cell>
          <cell r="Q20" t="str">
            <v>N/A</v>
          </cell>
          <cell r="R20" t="str">
            <v>N/A</v>
          </cell>
          <cell r="S20">
            <v>2</v>
          </cell>
          <cell r="T20">
            <v>2</v>
          </cell>
        </row>
        <row r="21">
          <cell r="A21" t="str">
            <v>TVMW2K3PS</v>
          </cell>
          <cell r="B21" t="str">
            <v>People soft</v>
          </cell>
          <cell r="C21" t="str">
            <v>IBM X 336</v>
          </cell>
          <cell r="D21" t="str">
            <v>D042DYV1K431</v>
          </cell>
          <cell r="E21" t="str">
            <v>4.0GB</v>
          </cell>
          <cell r="F21">
            <v>4</v>
          </cell>
          <cell r="G21" t="str">
            <v>700MHz</v>
          </cell>
          <cell r="H21" t="str">
            <v>Empty</v>
          </cell>
          <cell r="I21" t="str">
            <v>Empty</v>
          </cell>
          <cell r="J21" t="str">
            <v>Dual-Port NIC</v>
          </cell>
          <cell r="K21" t="str">
            <v>Dual-Port NIC</v>
          </cell>
          <cell r="L21" t="str">
            <v>Empty</v>
          </cell>
          <cell r="M21" t="str">
            <v>RIM</v>
          </cell>
          <cell r="N21" t="str">
            <v>N/A</v>
          </cell>
          <cell r="O21" t="str">
            <v>N/A</v>
          </cell>
          <cell r="P21" t="str">
            <v>N/A</v>
          </cell>
          <cell r="Q21" t="str">
            <v>N/A</v>
          </cell>
          <cell r="R21" t="str">
            <v>N/A</v>
          </cell>
          <cell r="S21">
            <v>2</v>
          </cell>
          <cell r="T21">
            <v>2</v>
          </cell>
        </row>
        <row r="22">
          <cell r="A22" t="str">
            <v>TVMWINBKP1</v>
          </cell>
          <cell r="B22" t="str">
            <v>Systems Grp</v>
          </cell>
          <cell r="C22" t="str">
            <v>DELL2850</v>
          </cell>
          <cell r="D22" t="str">
            <v>D052DYV1K126</v>
          </cell>
          <cell r="E22" t="str">
            <v>4.0GB</v>
          </cell>
          <cell r="F22">
            <v>4</v>
          </cell>
          <cell r="G22" t="str">
            <v>700MHz</v>
          </cell>
          <cell r="H22" t="str">
            <v>Empty</v>
          </cell>
          <cell r="I22" t="str">
            <v>Empty</v>
          </cell>
          <cell r="J22" t="str">
            <v>Dual-Port NIC</v>
          </cell>
          <cell r="K22" t="str">
            <v>Dual-Port NIC</v>
          </cell>
          <cell r="L22" t="str">
            <v>Empty</v>
          </cell>
          <cell r="M22" t="str">
            <v>RIM</v>
          </cell>
          <cell r="N22" t="str">
            <v>N/A</v>
          </cell>
          <cell r="O22" t="str">
            <v>N/A</v>
          </cell>
          <cell r="P22" t="str">
            <v>N/A</v>
          </cell>
          <cell r="Q22" t="str">
            <v>N/A</v>
          </cell>
          <cell r="R22" t="str">
            <v>N/A</v>
          </cell>
          <cell r="S22">
            <v>2</v>
          </cell>
          <cell r="T22">
            <v>2</v>
          </cell>
        </row>
        <row r="23">
          <cell r="A23" t="str">
            <v>TVMADM2</v>
          </cell>
          <cell r="B23" t="str">
            <v>Systems Grp</v>
          </cell>
          <cell r="C23" t="str">
            <v>Dell</v>
          </cell>
          <cell r="D23" t="str">
            <v>D052DYV1K060</v>
          </cell>
          <cell r="E23" t="str">
            <v>4.0GB</v>
          </cell>
          <cell r="F23">
            <v>4</v>
          </cell>
          <cell r="G23" t="str">
            <v>700MHz</v>
          </cell>
          <cell r="H23" t="str">
            <v>Empty</v>
          </cell>
          <cell r="I23" t="str">
            <v>Empty</v>
          </cell>
          <cell r="J23" t="str">
            <v>Dual-Port NIC</v>
          </cell>
          <cell r="K23" t="str">
            <v>Dual-Port NIC</v>
          </cell>
          <cell r="L23" t="str">
            <v>Empty</v>
          </cell>
          <cell r="M23" t="str">
            <v>RIM</v>
          </cell>
          <cell r="N23" t="str">
            <v>N/A</v>
          </cell>
          <cell r="O23" t="str">
            <v>N/A</v>
          </cell>
          <cell r="P23" t="str">
            <v>N/A</v>
          </cell>
          <cell r="Q23" t="str">
            <v>N/A</v>
          </cell>
          <cell r="R23" t="str">
            <v>N/A</v>
          </cell>
          <cell r="S23">
            <v>2</v>
          </cell>
          <cell r="T23">
            <v>2</v>
          </cell>
        </row>
        <row r="24">
          <cell r="A24" t="str">
            <v>B060USS</v>
          </cell>
          <cell r="B24" t="str">
            <v>Systems Grp</v>
          </cell>
          <cell r="C24" t="str">
            <v>HP</v>
          </cell>
          <cell r="D24" t="str">
            <v>D152DYV1K026</v>
          </cell>
          <cell r="E24" t="str">
            <v>2.0GB</v>
          </cell>
          <cell r="F24">
            <v>2</v>
          </cell>
          <cell r="G24" t="str">
            <v>700MHz</v>
          </cell>
          <cell r="H24" t="str">
            <v>Empty</v>
          </cell>
          <cell r="I24" t="str">
            <v>HBA</v>
          </cell>
          <cell r="J24" t="str">
            <v>Dual-Port NIC</v>
          </cell>
          <cell r="K24" t="str">
            <v>Dual-Port NIC</v>
          </cell>
          <cell r="L24" t="str">
            <v>HBA</v>
          </cell>
          <cell r="M24" t="str">
            <v>RIM</v>
          </cell>
          <cell r="N24" t="str">
            <v>N/A</v>
          </cell>
          <cell r="O24" t="str">
            <v>N/A</v>
          </cell>
          <cell r="P24" t="str">
            <v>N/A</v>
          </cell>
          <cell r="Q24" t="str">
            <v>N/A</v>
          </cell>
          <cell r="R24" t="str">
            <v>N/A</v>
          </cell>
          <cell r="S24">
            <v>2</v>
          </cell>
        </row>
        <row r="25">
          <cell r="A25" t="str">
            <v>TVMW2KWUS2</v>
          </cell>
          <cell r="B25" t="str">
            <v>Systems Grp</v>
          </cell>
          <cell r="C25" t="str">
            <v>HP</v>
          </cell>
          <cell r="D25" t="str">
            <v>D140DYV1K028</v>
          </cell>
          <cell r="E25" t="str">
            <v>2.0GB</v>
          </cell>
          <cell r="F25">
            <v>2</v>
          </cell>
          <cell r="G25" t="str">
            <v>700MHz</v>
          </cell>
          <cell r="H25" t="str">
            <v>Empty</v>
          </cell>
          <cell r="I25" t="str">
            <v>HBA</v>
          </cell>
          <cell r="J25" t="str">
            <v>Dual-Port NIC</v>
          </cell>
          <cell r="K25" t="str">
            <v>Dual-Port NIC</v>
          </cell>
          <cell r="L25" t="str">
            <v>HBA</v>
          </cell>
          <cell r="M25" t="str">
            <v>RIM</v>
          </cell>
          <cell r="N25" t="str">
            <v>N/A</v>
          </cell>
          <cell r="O25" t="str">
            <v>N/A</v>
          </cell>
          <cell r="P25" t="str">
            <v>N/A</v>
          </cell>
          <cell r="Q25" t="str">
            <v>N/A</v>
          </cell>
          <cell r="R25" t="str">
            <v>N/A</v>
          </cell>
          <cell r="S25">
            <v>2</v>
          </cell>
        </row>
        <row r="26">
          <cell r="A26" t="str">
            <v>Windows Developement Servers</v>
          </cell>
          <cell r="D26" t="str">
            <v>D307JQ91H015</v>
          </cell>
          <cell r="E26" t="str">
            <v>2.0GB</v>
          </cell>
          <cell r="F26">
            <v>4</v>
          </cell>
          <cell r="G26" t="str">
            <v>2.0GHz</v>
          </cell>
          <cell r="H26" t="str">
            <v>Empty</v>
          </cell>
          <cell r="I26" t="str">
            <v>Dual-Port NIC</v>
          </cell>
          <cell r="J26" t="str">
            <v>Empty</v>
          </cell>
          <cell r="K26" t="str">
            <v>Dual-Port NIC</v>
          </cell>
          <cell r="L26" t="str">
            <v>Array Controller</v>
          </cell>
          <cell r="M26" t="str">
            <v>Empty</v>
          </cell>
          <cell r="N26" t="str">
            <v>RIM</v>
          </cell>
          <cell r="O26" t="str">
            <v>N/A</v>
          </cell>
          <cell r="P26" t="str">
            <v>N/A</v>
          </cell>
          <cell r="Q26" t="str">
            <v>N/A</v>
          </cell>
          <cell r="R26" t="str">
            <v>N/A</v>
          </cell>
          <cell r="S26">
            <v>5</v>
          </cell>
          <cell r="T26">
            <v>5</v>
          </cell>
        </row>
        <row r="27">
          <cell r="A27" t="str">
            <v>WPDWSSP</v>
          </cell>
          <cell r="B27" t="str">
            <v>Systems Grp</v>
          </cell>
          <cell r="C27" t="str">
            <v>Dell</v>
          </cell>
          <cell r="D27" t="str">
            <v>D151CXG1K041</v>
          </cell>
          <cell r="E27" t="str">
            <v>2.0GB</v>
          </cell>
          <cell r="F27">
            <v>4</v>
          </cell>
          <cell r="G27" t="str">
            <v>700MHz</v>
          </cell>
          <cell r="H27" t="str">
            <v>Empty</v>
          </cell>
          <cell r="I27" t="str">
            <v>Dual-Port NIC</v>
          </cell>
          <cell r="J27" t="str">
            <v>Empty</v>
          </cell>
          <cell r="K27" t="str">
            <v>Dual-Port NIC</v>
          </cell>
          <cell r="L27" t="str">
            <v>Array Controller</v>
          </cell>
          <cell r="M27" t="str">
            <v>RIM</v>
          </cell>
          <cell r="N27" t="str">
            <v>N/A</v>
          </cell>
          <cell r="O27" t="str">
            <v>N/A</v>
          </cell>
          <cell r="P27" t="str">
            <v>N/A</v>
          </cell>
          <cell r="Q27" t="str">
            <v>N/A</v>
          </cell>
          <cell r="R27" t="str">
            <v>N/A</v>
          </cell>
          <cell r="S27">
            <v>5</v>
          </cell>
          <cell r="T27">
            <v>5</v>
          </cell>
        </row>
        <row r="28">
          <cell r="A28" t="str">
            <v>TVMW2KSMTPGW1</v>
          </cell>
          <cell r="B28" t="str">
            <v>Systems Grp</v>
          </cell>
          <cell r="C28" t="str">
            <v>Dell</v>
          </cell>
          <cell r="D28" t="str">
            <v>N/A</v>
          </cell>
          <cell r="E28" t="str">
            <v>1.0GB</v>
          </cell>
          <cell r="F28">
            <v>2</v>
          </cell>
          <cell r="G28" t="str">
            <v>2.8GHz</v>
          </cell>
          <cell r="H28" t="str">
            <v>Empty</v>
          </cell>
          <cell r="I28" t="str">
            <v>Dual-Port NIC</v>
          </cell>
          <cell r="J28" t="str">
            <v>Empty</v>
          </cell>
          <cell r="K28" t="str">
            <v>N/A</v>
          </cell>
          <cell r="L28" t="str">
            <v>N/A</v>
          </cell>
          <cell r="M28" t="str">
            <v>N/A</v>
          </cell>
          <cell r="N28" t="str">
            <v>N/A</v>
          </cell>
          <cell r="O28" t="str">
            <v>N/A</v>
          </cell>
          <cell r="P28" t="str">
            <v>N/A</v>
          </cell>
          <cell r="Q28" t="str">
            <v>N/A</v>
          </cell>
          <cell r="R28" t="str">
            <v>N/A</v>
          </cell>
          <cell r="S28">
            <v>2</v>
          </cell>
          <cell r="U28">
            <v>2</v>
          </cell>
        </row>
        <row r="29">
          <cell r="A29" t="str">
            <v>B393USS</v>
          </cell>
          <cell r="B29" t="str">
            <v>Systems Grp</v>
          </cell>
          <cell r="C29" t="str">
            <v>Dell</v>
          </cell>
          <cell r="D29" t="str">
            <v>6J25JNT1P0C2</v>
          </cell>
          <cell r="E29" t="str">
            <v>2.0GB</v>
          </cell>
          <cell r="F29">
            <v>2</v>
          </cell>
          <cell r="G29" t="str">
            <v>1.4GHz</v>
          </cell>
          <cell r="H29" t="str">
            <v>Empty</v>
          </cell>
          <cell r="I29" t="str">
            <v>Dual-Port NIC</v>
          </cell>
          <cell r="J29" t="str">
            <v>N/A</v>
          </cell>
          <cell r="K29" t="str">
            <v>N/A</v>
          </cell>
          <cell r="L29" t="str">
            <v>N/A</v>
          </cell>
          <cell r="M29" t="str">
            <v>N/A</v>
          </cell>
          <cell r="N29" t="str">
            <v>N/A</v>
          </cell>
          <cell r="O29" t="str">
            <v>N/A</v>
          </cell>
          <cell r="P29" t="str">
            <v>N/A</v>
          </cell>
          <cell r="Q29" t="str">
            <v>N/A</v>
          </cell>
          <cell r="R29" t="str">
            <v>N/A</v>
          </cell>
          <cell r="S29">
            <v>2</v>
          </cell>
        </row>
        <row r="30">
          <cell r="A30" t="str">
            <v>A871USS</v>
          </cell>
          <cell r="B30" t="str">
            <v>Systems Grp</v>
          </cell>
          <cell r="C30" t="str">
            <v>Samsung</v>
          </cell>
          <cell r="D30" t="str">
            <v>6J25JNT1R002</v>
          </cell>
          <cell r="E30" t="str">
            <v>2.0GB</v>
          </cell>
          <cell r="F30">
            <v>2</v>
          </cell>
          <cell r="G30" t="str">
            <v>1.4GHz</v>
          </cell>
          <cell r="H30" t="str">
            <v>Empty</v>
          </cell>
          <cell r="I30" t="str">
            <v>Dual-Port NIC</v>
          </cell>
          <cell r="J30" t="str">
            <v>N/A</v>
          </cell>
          <cell r="K30" t="str">
            <v>N/A</v>
          </cell>
          <cell r="L30" t="str">
            <v>N/A</v>
          </cell>
          <cell r="M30" t="str">
            <v>N/A</v>
          </cell>
          <cell r="N30" t="str">
            <v>N/A</v>
          </cell>
          <cell r="O30" t="str">
            <v>N/A</v>
          </cell>
          <cell r="P30" t="str">
            <v>N/A</v>
          </cell>
          <cell r="Q30" t="str">
            <v>N/A</v>
          </cell>
          <cell r="R30" t="str">
            <v>N/A</v>
          </cell>
          <cell r="S30">
            <v>2</v>
          </cell>
        </row>
        <row r="31">
          <cell r="A31" t="str">
            <v>TVMW3KSP2</v>
          </cell>
          <cell r="B31" t="str">
            <v>Systems Grp</v>
          </cell>
          <cell r="C31" t="str">
            <v>Ingram</v>
          </cell>
          <cell r="D31" t="str">
            <v>D152DYV1K010</v>
          </cell>
          <cell r="E31" t="str">
            <v>4.0GB</v>
          </cell>
          <cell r="F31">
            <v>4</v>
          </cell>
          <cell r="G31" t="str">
            <v>700MHz</v>
          </cell>
          <cell r="H31" t="str">
            <v>Single-Port NIC</v>
          </cell>
          <cell r="I31" t="str">
            <v>HBA</v>
          </cell>
          <cell r="J31" t="str">
            <v>Dual-Port NIC</v>
          </cell>
          <cell r="K31" t="str">
            <v>Dual-Port NIC</v>
          </cell>
          <cell r="L31" t="str">
            <v>HBA</v>
          </cell>
          <cell r="M31" t="str">
            <v>RIM</v>
          </cell>
          <cell r="N31" t="str">
            <v>N/A</v>
          </cell>
          <cell r="O31" t="str">
            <v>N/A</v>
          </cell>
          <cell r="P31" t="str">
            <v>N/A</v>
          </cell>
          <cell r="Q31" t="str">
            <v>N/A</v>
          </cell>
          <cell r="R31" t="str">
            <v>N/A</v>
          </cell>
          <cell r="S31">
            <v>2</v>
          </cell>
        </row>
        <row r="32">
          <cell r="A32" t="str">
            <v>A820USS</v>
          </cell>
          <cell r="B32" t="str">
            <v>Systems Grp</v>
          </cell>
          <cell r="C32" t="str">
            <v>Samsung</v>
          </cell>
          <cell r="D32" t="str">
            <v>D152DYV1K009</v>
          </cell>
          <cell r="E32" t="str">
            <v>4.0GB</v>
          </cell>
          <cell r="F32">
            <v>4</v>
          </cell>
          <cell r="G32" t="str">
            <v>700MHz</v>
          </cell>
          <cell r="H32" t="str">
            <v>Single-Port NIC</v>
          </cell>
          <cell r="I32" t="str">
            <v>HBA</v>
          </cell>
          <cell r="J32" t="str">
            <v>Dual-Port NIC</v>
          </cell>
          <cell r="K32" t="str">
            <v>Dual-Port NIC</v>
          </cell>
          <cell r="L32" t="str">
            <v>HBA</v>
          </cell>
          <cell r="M32" t="str">
            <v>RIM</v>
          </cell>
          <cell r="N32" t="str">
            <v>N/A</v>
          </cell>
          <cell r="O32" t="str">
            <v>N/A</v>
          </cell>
          <cell r="P32" t="str">
            <v>N/A</v>
          </cell>
          <cell r="Q32" t="str">
            <v>N/A</v>
          </cell>
          <cell r="R32" t="str">
            <v>N/A</v>
          </cell>
          <cell r="S32">
            <v>2</v>
          </cell>
        </row>
        <row r="33">
          <cell r="A33" t="str">
            <v>A898USS</v>
          </cell>
          <cell r="B33" t="str">
            <v>Systems Grp</v>
          </cell>
          <cell r="C33" t="str">
            <v>Samsung</v>
          </cell>
          <cell r="D33" t="str">
            <v>6J25JNT1P0B0</v>
          </cell>
          <cell r="E33" t="str">
            <v>2.0GB</v>
          </cell>
          <cell r="F33">
            <v>2</v>
          </cell>
          <cell r="G33" t="str">
            <v>1.4GHz</v>
          </cell>
          <cell r="H33" t="str">
            <v>Empty</v>
          </cell>
          <cell r="I33" t="str">
            <v>Dual-Port NIC</v>
          </cell>
          <cell r="J33" t="str">
            <v>Empty</v>
          </cell>
          <cell r="K33" t="str">
            <v>N/A</v>
          </cell>
          <cell r="L33" t="str">
            <v>N/A</v>
          </cell>
          <cell r="M33" t="str">
            <v>N/A</v>
          </cell>
          <cell r="N33" t="str">
            <v>N/A</v>
          </cell>
          <cell r="O33" t="str">
            <v>N/A</v>
          </cell>
          <cell r="P33" t="str">
            <v>N/A</v>
          </cell>
          <cell r="Q33" t="str">
            <v>N/A</v>
          </cell>
          <cell r="R33" t="str">
            <v>N/A</v>
          </cell>
          <cell r="S33">
            <v>2</v>
          </cell>
        </row>
        <row r="34">
          <cell r="A34" t="str">
            <v>B122USS</v>
          </cell>
          <cell r="B34" t="str">
            <v>Systems Grp</v>
          </cell>
          <cell r="C34" t="str">
            <v xml:space="preserve">HP </v>
          </cell>
          <cell r="D34" t="str">
            <v>6J25JNT1P0CF</v>
          </cell>
          <cell r="E34" t="str">
            <v>2.0GB</v>
          </cell>
          <cell r="F34">
            <v>2</v>
          </cell>
          <cell r="G34" t="str">
            <v>1.4GHz</v>
          </cell>
          <cell r="H34" t="str">
            <v>Empty</v>
          </cell>
          <cell r="I34" t="str">
            <v>Dual-Port NIC</v>
          </cell>
          <cell r="J34" t="str">
            <v>Empty</v>
          </cell>
          <cell r="K34" t="str">
            <v>N/A</v>
          </cell>
          <cell r="L34" t="str">
            <v>N/A</v>
          </cell>
          <cell r="M34" t="str">
            <v>N/A</v>
          </cell>
          <cell r="N34" t="str">
            <v>N/A</v>
          </cell>
          <cell r="O34" t="str">
            <v>N/A</v>
          </cell>
          <cell r="P34" t="str">
            <v>N/A</v>
          </cell>
          <cell r="Q34" t="str">
            <v>N/A</v>
          </cell>
          <cell r="R34" t="str">
            <v>N/A</v>
          </cell>
          <cell r="S34">
            <v>2</v>
          </cell>
        </row>
        <row r="35">
          <cell r="A35" t="str">
            <v>tvmw2kwb2</v>
          </cell>
          <cell r="B35" t="str">
            <v>Development</v>
          </cell>
          <cell r="C35" t="str">
            <v>ingram</v>
          </cell>
          <cell r="D35" t="str">
            <v>D247LDN1D358</v>
          </cell>
          <cell r="E35" t="str">
            <v>1.5GB</v>
          </cell>
          <cell r="F35">
            <v>2</v>
          </cell>
          <cell r="G35" t="str">
            <v>2.8GHZ</v>
          </cell>
          <cell r="H35" t="str">
            <v>Empty</v>
          </cell>
          <cell r="I35" t="str">
            <v>Dual-Port NIC</v>
          </cell>
          <cell r="J35" t="str">
            <v>Dual-Port NIC</v>
          </cell>
          <cell r="K35" t="str">
            <v>N/A</v>
          </cell>
          <cell r="L35" t="str">
            <v>N/A</v>
          </cell>
          <cell r="M35" t="str">
            <v>N/A</v>
          </cell>
          <cell r="N35" t="str">
            <v>N/A</v>
          </cell>
          <cell r="O35" t="str">
            <v>N/A</v>
          </cell>
          <cell r="P35" t="str">
            <v>N/A</v>
          </cell>
          <cell r="Q35" t="str">
            <v>N/A</v>
          </cell>
          <cell r="R35" t="str">
            <v>N/A</v>
          </cell>
          <cell r="S35">
            <v>2</v>
          </cell>
        </row>
        <row r="36">
          <cell r="A36" t="str">
            <v>B135uss</v>
          </cell>
          <cell r="B36" t="str">
            <v>Systems Grp</v>
          </cell>
          <cell r="C36" t="str">
            <v>dell</v>
          </cell>
          <cell r="D36" t="str">
            <v>D247LDN1D340</v>
          </cell>
          <cell r="E36" t="str">
            <v>1.0GB</v>
          </cell>
          <cell r="F36">
            <v>2</v>
          </cell>
          <cell r="G36" t="str">
            <v>2.8GHZ</v>
          </cell>
          <cell r="H36" t="str">
            <v>Empty</v>
          </cell>
          <cell r="I36" t="str">
            <v>Dual-Port NIC</v>
          </cell>
          <cell r="J36" t="str">
            <v>Dual-Port NIC</v>
          </cell>
          <cell r="K36" t="str">
            <v>N/A</v>
          </cell>
          <cell r="L36" t="str">
            <v>N/A</v>
          </cell>
          <cell r="M36" t="str">
            <v>N/A</v>
          </cell>
          <cell r="N36" t="str">
            <v>N/A</v>
          </cell>
          <cell r="O36" t="str">
            <v>N/A</v>
          </cell>
          <cell r="P36" t="str">
            <v>N/A</v>
          </cell>
          <cell r="Q36" t="str">
            <v>N/A</v>
          </cell>
          <cell r="R36" t="str">
            <v>N/A</v>
          </cell>
          <cell r="S36">
            <v>2</v>
          </cell>
          <cell r="U36">
            <v>4</v>
          </cell>
        </row>
        <row r="37">
          <cell r="A37" t="str">
            <v>tvmntdv10</v>
          </cell>
          <cell r="B37" t="str">
            <v>DB</v>
          </cell>
          <cell r="D37" t="str">
            <v>D152DYV1K021</v>
          </cell>
          <cell r="E37" t="str">
            <v>512MB</v>
          </cell>
          <cell r="F37">
            <v>4</v>
          </cell>
          <cell r="G37" t="str">
            <v>700MHz</v>
          </cell>
          <cell r="H37" t="str">
            <v>Single-Port NIC</v>
          </cell>
          <cell r="I37" t="str">
            <v>HBA</v>
          </cell>
          <cell r="J37" t="str">
            <v>Dual-Port NIC</v>
          </cell>
          <cell r="K37" t="str">
            <v>Dual-Port NIC</v>
          </cell>
          <cell r="L37" t="str">
            <v>HBA</v>
          </cell>
          <cell r="M37" t="str">
            <v>RIM</v>
          </cell>
          <cell r="N37" t="str">
            <v>N/A</v>
          </cell>
          <cell r="O37" t="str">
            <v>N/A</v>
          </cell>
          <cell r="P37" t="str">
            <v>N/A</v>
          </cell>
          <cell r="Q37" t="str">
            <v>N/A</v>
          </cell>
          <cell r="R37" t="str">
            <v>N/A</v>
          </cell>
          <cell r="S37">
            <v>2</v>
          </cell>
        </row>
        <row r="38">
          <cell r="A38" t="str">
            <v>C083USS</v>
          </cell>
          <cell r="B38" t="str">
            <v>Systems Grp</v>
          </cell>
          <cell r="C38" t="str">
            <v>IBM</v>
          </cell>
          <cell r="D38" t="str">
            <v>D150DYV1K011</v>
          </cell>
          <cell r="E38" t="str">
            <v>512MB</v>
          </cell>
          <cell r="F38">
            <v>4</v>
          </cell>
          <cell r="G38" t="str">
            <v>700MHz</v>
          </cell>
          <cell r="H38" t="str">
            <v>Single-Port NIC</v>
          </cell>
          <cell r="I38" t="str">
            <v>HBA</v>
          </cell>
          <cell r="J38" t="str">
            <v>Dual-Port NIC</v>
          </cell>
          <cell r="K38" t="str">
            <v>Dual-Port NIC</v>
          </cell>
          <cell r="L38" t="str">
            <v>HBA</v>
          </cell>
          <cell r="M38" t="str">
            <v>RIM</v>
          </cell>
          <cell r="N38" t="str">
            <v>N/A</v>
          </cell>
          <cell r="O38" t="str">
            <v>N/A</v>
          </cell>
          <cell r="P38" t="str">
            <v>N/A</v>
          </cell>
          <cell r="Q38" t="str">
            <v>N/A</v>
          </cell>
          <cell r="R38" t="str">
            <v>N/A</v>
          </cell>
          <cell r="S38">
            <v>2</v>
          </cell>
        </row>
        <row r="39">
          <cell r="A39" t="str">
            <v>B55USS</v>
          </cell>
          <cell r="D39" t="str">
            <v>D152DYV1K014</v>
          </cell>
          <cell r="E39" t="str">
            <v>4.0GB</v>
          </cell>
          <cell r="F39">
            <v>2</v>
          </cell>
          <cell r="G39" t="str">
            <v>700MHz</v>
          </cell>
          <cell r="H39" t="str">
            <v>Single-Port NIC</v>
          </cell>
          <cell r="I39" t="str">
            <v>HBA</v>
          </cell>
          <cell r="J39" t="str">
            <v>Dual-Port NIC</v>
          </cell>
          <cell r="K39" t="str">
            <v>Dual-Port NIC</v>
          </cell>
          <cell r="L39" t="str">
            <v>HBA</v>
          </cell>
          <cell r="M39" t="str">
            <v>RIM</v>
          </cell>
          <cell r="N39" t="str">
            <v>N/A</v>
          </cell>
          <cell r="O39" t="str">
            <v>N/A</v>
          </cell>
          <cell r="P39" t="str">
            <v>N/A</v>
          </cell>
          <cell r="Q39" t="str">
            <v>N/A</v>
          </cell>
          <cell r="R39" t="str">
            <v>N/A</v>
          </cell>
          <cell r="S39">
            <v>2</v>
          </cell>
        </row>
        <row r="40">
          <cell r="A40" t="str">
            <v>A838USS</v>
          </cell>
          <cell r="D40" t="str">
            <v>D152DYV1K001</v>
          </cell>
          <cell r="E40" t="str">
            <v>4.0GB</v>
          </cell>
          <cell r="F40">
            <v>2</v>
          </cell>
          <cell r="G40" t="str">
            <v>700MHz</v>
          </cell>
          <cell r="H40" t="str">
            <v>Single-Port NIC</v>
          </cell>
          <cell r="I40" t="str">
            <v>HBA</v>
          </cell>
          <cell r="J40" t="str">
            <v>Dual-Port NIC</v>
          </cell>
          <cell r="K40" t="str">
            <v>Dual-Port NIC</v>
          </cell>
          <cell r="L40" t="str">
            <v>HBA</v>
          </cell>
          <cell r="M40" t="str">
            <v>RIM</v>
          </cell>
          <cell r="N40" t="str">
            <v>N/A</v>
          </cell>
          <cell r="O40" t="str">
            <v>N/A</v>
          </cell>
          <cell r="P40" t="str">
            <v>N/A</v>
          </cell>
          <cell r="Q40" t="str">
            <v>N/A</v>
          </cell>
          <cell r="R40" t="str">
            <v>N/A</v>
          </cell>
          <cell r="S40">
            <v>2</v>
          </cell>
        </row>
        <row r="41">
          <cell r="A41" t="str">
            <v>TVMW2KDV8</v>
          </cell>
          <cell r="B41" t="str">
            <v>Systems Grp</v>
          </cell>
          <cell r="C41" t="str">
            <v>DELL</v>
          </cell>
          <cell r="D41" t="str">
            <v>D152JZG1K545</v>
          </cell>
          <cell r="E41" t="str">
            <v>2.0GB</v>
          </cell>
          <cell r="F41">
            <v>2</v>
          </cell>
          <cell r="G41" t="str">
            <v>1.266GHz</v>
          </cell>
          <cell r="H41" t="str">
            <v>RIM</v>
          </cell>
          <cell r="I41" t="str">
            <v>Dual-Port NIC</v>
          </cell>
          <cell r="J41" t="str">
            <v>Empty</v>
          </cell>
          <cell r="K41" t="str">
            <v>N/A</v>
          </cell>
          <cell r="L41" t="str">
            <v>N/A</v>
          </cell>
          <cell r="M41" t="str">
            <v>N/A</v>
          </cell>
          <cell r="N41" t="str">
            <v>N/A</v>
          </cell>
          <cell r="O41" t="str">
            <v>N/A</v>
          </cell>
          <cell r="P41" t="str">
            <v>N/A</v>
          </cell>
          <cell r="Q41" t="str">
            <v>N/A</v>
          </cell>
          <cell r="R41" t="str">
            <v>N/A</v>
          </cell>
          <cell r="S41">
            <v>2</v>
          </cell>
          <cell r="U41">
            <v>2</v>
          </cell>
        </row>
        <row r="42">
          <cell r="A42" t="str">
            <v>B681USS</v>
          </cell>
          <cell r="B42" t="str">
            <v>Systems Grp</v>
          </cell>
          <cell r="C42" t="str">
            <v>IBM</v>
          </cell>
          <cell r="D42" t="str">
            <v>D152JZG1K361</v>
          </cell>
          <cell r="E42" t="str">
            <v>2.0GB</v>
          </cell>
          <cell r="F42">
            <v>2</v>
          </cell>
          <cell r="G42" t="str">
            <v>1.266GHz</v>
          </cell>
          <cell r="H42" t="str">
            <v>RIM</v>
          </cell>
          <cell r="I42" t="str">
            <v>Dual-Port NIC</v>
          </cell>
          <cell r="J42" t="str">
            <v>Empty</v>
          </cell>
          <cell r="K42" t="str">
            <v>N/A</v>
          </cell>
          <cell r="L42" t="str">
            <v>N/A</v>
          </cell>
          <cell r="M42" t="str">
            <v>N/A</v>
          </cell>
          <cell r="N42" t="str">
            <v>N/A</v>
          </cell>
          <cell r="O42" t="str">
            <v>N/A</v>
          </cell>
          <cell r="P42" t="str">
            <v>N/A</v>
          </cell>
          <cell r="Q42" t="str">
            <v>N/A</v>
          </cell>
          <cell r="R42" t="str">
            <v>N/A</v>
          </cell>
          <cell r="S42">
            <v>2</v>
          </cell>
          <cell r="U42">
            <v>2</v>
          </cell>
        </row>
        <row r="43">
          <cell r="A43" t="str">
            <v>Windows LAB Servers</v>
          </cell>
          <cell r="D43" t="str">
            <v>D303FK34D025</v>
          </cell>
          <cell r="E43" t="str">
            <v>1.0GB</v>
          </cell>
          <cell r="F43">
            <v>1</v>
          </cell>
          <cell r="G43" t="str">
            <v>1.266GHz</v>
          </cell>
          <cell r="H43" t="str">
            <v>RIM</v>
          </cell>
          <cell r="I43" t="str">
            <v>HBA</v>
          </cell>
          <cell r="J43" t="str">
            <v>HBA</v>
          </cell>
          <cell r="K43" t="str">
            <v>N/A</v>
          </cell>
          <cell r="L43" t="str">
            <v>N/A</v>
          </cell>
          <cell r="M43" t="str">
            <v>N/A</v>
          </cell>
          <cell r="N43" t="str">
            <v>N/A</v>
          </cell>
          <cell r="O43" t="str">
            <v>N/A</v>
          </cell>
          <cell r="P43" t="str">
            <v>N/A</v>
          </cell>
          <cell r="Q43" t="str">
            <v>N/A</v>
          </cell>
          <cell r="R43" t="str">
            <v>N/A</v>
          </cell>
          <cell r="S43">
            <v>2</v>
          </cell>
        </row>
        <row r="44">
          <cell r="A44" t="str">
            <v>Tvmwinlab03</v>
          </cell>
          <cell r="B44" t="str">
            <v>Systems Grp</v>
          </cell>
          <cell r="C44" t="str">
            <v>IBM</v>
          </cell>
          <cell r="D44" t="str">
            <v>D151FDC1K145</v>
          </cell>
          <cell r="E44" t="str">
            <v>8.0GB</v>
          </cell>
          <cell r="F44">
            <v>8</v>
          </cell>
          <cell r="G44" t="str">
            <v>700MHz</v>
          </cell>
          <cell r="H44" t="str">
            <v>Dual-Port NIC</v>
          </cell>
          <cell r="I44" t="str">
            <v>Empty</v>
          </cell>
          <cell r="J44" t="str">
            <v>Empty</v>
          </cell>
          <cell r="K44" t="str">
            <v>HBA</v>
          </cell>
          <cell r="L44" t="str">
            <v>Empty</v>
          </cell>
          <cell r="M44" t="str">
            <v>Empty</v>
          </cell>
          <cell r="N44" t="str">
            <v>HBA</v>
          </cell>
          <cell r="O44" t="str">
            <v>Dual-Port NIC</v>
          </cell>
          <cell r="P44" t="str">
            <v>RIM</v>
          </cell>
          <cell r="Q44" t="str">
            <v>Empty</v>
          </cell>
          <cell r="R44" t="str">
            <v>Single-Port NIC</v>
          </cell>
          <cell r="S44">
            <v>4</v>
          </cell>
        </row>
        <row r="45">
          <cell r="A45" t="str">
            <v>Tvmwinlab06</v>
          </cell>
          <cell r="B45" t="str">
            <v>Systems Grp</v>
          </cell>
          <cell r="C45" t="str">
            <v>IBM</v>
          </cell>
          <cell r="D45" t="str">
            <v>D151FDC1K028</v>
          </cell>
          <cell r="E45" t="str">
            <v>8.0GB</v>
          </cell>
          <cell r="F45">
            <v>8</v>
          </cell>
          <cell r="G45" t="str">
            <v>700MHz</v>
          </cell>
          <cell r="H45" t="str">
            <v>Dual-Port NIC</v>
          </cell>
          <cell r="I45" t="str">
            <v>Empty</v>
          </cell>
          <cell r="J45" t="str">
            <v>Empty</v>
          </cell>
          <cell r="K45" t="str">
            <v>HBA</v>
          </cell>
          <cell r="L45" t="str">
            <v>Empty</v>
          </cell>
          <cell r="M45" t="str">
            <v>Empty</v>
          </cell>
          <cell r="N45" t="str">
            <v>HBA</v>
          </cell>
          <cell r="O45" t="str">
            <v>Dual-Port NIC</v>
          </cell>
          <cell r="P45" t="str">
            <v>RIM</v>
          </cell>
          <cell r="Q45" t="str">
            <v>Empty</v>
          </cell>
          <cell r="R45" t="str">
            <v>Single-Port NIC</v>
          </cell>
          <cell r="S45">
            <v>4</v>
          </cell>
        </row>
        <row r="46">
          <cell r="A46" t="str">
            <v>AS400 Server</v>
          </cell>
          <cell r="D46" t="str">
            <v>D151FDC1K112</v>
          </cell>
          <cell r="E46" t="str">
            <v>8.0GB</v>
          </cell>
          <cell r="F46">
            <v>8</v>
          </cell>
          <cell r="G46" t="str">
            <v>700MHz</v>
          </cell>
          <cell r="H46" t="str">
            <v>Dual-Port NIC</v>
          </cell>
          <cell r="I46" t="str">
            <v>Single-Port NIC</v>
          </cell>
          <cell r="J46" t="str">
            <v>Empty</v>
          </cell>
          <cell r="K46" t="str">
            <v>HBA</v>
          </cell>
          <cell r="L46" t="str">
            <v>Empty</v>
          </cell>
          <cell r="M46" t="str">
            <v>Empty</v>
          </cell>
          <cell r="N46" t="str">
            <v>HBA</v>
          </cell>
          <cell r="O46" t="str">
            <v>Dual-Port NIC</v>
          </cell>
          <cell r="P46" t="str">
            <v>RIM</v>
          </cell>
          <cell r="Q46" t="str">
            <v>Empty</v>
          </cell>
          <cell r="R46" t="str">
            <v>Single-Port NIC</v>
          </cell>
          <cell r="S46">
            <v>4</v>
          </cell>
        </row>
        <row r="47">
          <cell r="A47" t="str">
            <v>IBM AS400</v>
          </cell>
          <cell r="C47" t="str">
            <v>IBM</v>
          </cell>
          <cell r="D47" t="str">
            <v>D151FDC1K140</v>
          </cell>
          <cell r="E47" t="str">
            <v>8.0GB</v>
          </cell>
          <cell r="F47">
            <v>8</v>
          </cell>
          <cell r="G47" t="str">
            <v>700MHz</v>
          </cell>
          <cell r="H47" t="str">
            <v>Dual-Port NIC</v>
          </cell>
          <cell r="I47" t="str">
            <v>Single-Port NIC</v>
          </cell>
          <cell r="J47" t="str">
            <v>Empty</v>
          </cell>
          <cell r="K47" t="str">
            <v>HBA</v>
          </cell>
          <cell r="L47" t="str">
            <v>Empty</v>
          </cell>
          <cell r="M47" t="str">
            <v>Empty</v>
          </cell>
          <cell r="N47" t="str">
            <v>HBA</v>
          </cell>
          <cell r="O47" t="str">
            <v>Dual-Port NIC</v>
          </cell>
          <cell r="P47" t="str">
            <v>RIM</v>
          </cell>
          <cell r="Q47" t="str">
            <v>Empty</v>
          </cell>
          <cell r="R47" t="str">
            <v>Single-Port NIC</v>
          </cell>
          <cell r="S47">
            <v>4</v>
          </cell>
        </row>
        <row r="48">
          <cell r="D48" t="str">
            <v>D042DYV1K377</v>
          </cell>
          <cell r="E48" t="str">
            <v>2.0GB</v>
          </cell>
          <cell r="F48">
            <v>4</v>
          </cell>
          <cell r="G48" t="str">
            <v>700MHz</v>
          </cell>
          <cell r="H48" t="str">
            <v>Empty</v>
          </cell>
          <cell r="I48" t="str">
            <v>HBA</v>
          </cell>
          <cell r="J48" t="str">
            <v>Dual-Port NIC</v>
          </cell>
          <cell r="K48" t="str">
            <v>Dual-Port NIC</v>
          </cell>
          <cell r="L48" t="str">
            <v>HBA</v>
          </cell>
          <cell r="M48" t="str">
            <v>RIM</v>
          </cell>
          <cell r="N48" t="str">
            <v>N/A</v>
          </cell>
          <cell r="O48" t="str">
            <v>N/A</v>
          </cell>
          <cell r="P48" t="str">
            <v>N/A</v>
          </cell>
          <cell r="Q48" t="str">
            <v>N/A</v>
          </cell>
          <cell r="R48" t="str">
            <v>N/A</v>
          </cell>
          <cell r="S48">
            <v>2</v>
          </cell>
        </row>
        <row r="49">
          <cell r="A49" t="str">
            <v>Database Servers</v>
          </cell>
          <cell r="C49" t="str">
            <v xml:space="preserve"> </v>
          </cell>
          <cell r="D49" t="str">
            <v>D248LDN1D127</v>
          </cell>
          <cell r="E49" t="str">
            <v>2.0GB</v>
          </cell>
          <cell r="F49">
            <v>2</v>
          </cell>
          <cell r="G49" t="str">
            <v>2.8GHZ</v>
          </cell>
          <cell r="H49" t="str">
            <v>Empty</v>
          </cell>
          <cell r="I49" t="str">
            <v>Dual-Port NIC</v>
          </cell>
          <cell r="J49" t="str">
            <v>Empty</v>
          </cell>
          <cell r="K49" t="str">
            <v>N/A</v>
          </cell>
          <cell r="L49" t="str">
            <v>N/A</v>
          </cell>
          <cell r="M49" t="str">
            <v>N/A</v>
          </cell>
          <cell r="N49" t="str">
            <v>N/A</v>
          </cell>
          <cell r="O49" t="str">
            <v>N/A</v>
          </cell>
          <cell r="P49" t="str">
            <v>N/A</v>
          </cell>
          <cell r="Q49" t="str">
            <v>N/A</v>
          </cell>
          <cell r="R49" t="str">
            <v>N/A</v>
          </cell>
          <cell r="S49">
            <v>2</v>
          </cell>
          <cell r="T49">
            <v>4</v>
          </cell>
        </row>
        <row r="50">
          <cell r="A50" t="str">
            <v>TVMDB08</v>
          </cell>
          <cell r="B50" t="str">
            <v>Server Group</v>
          </cell>
          <cell r="C50" t="str">
            <v>Dell</v>
          </cell>
          <cell r="D50" t="str">
            <v>D247LDN1D324</v>
          </cell>
          <cell r="E50" t="str">
            <v>2.0GB</v>
          </cell>
          <cell r="F50">
            <v>2</v>
          </cell>
          <cell r="G50" t="str">
            <v>2.8GHZ</v>
          </cell>
          <cell r="H50" t="str">
            <v>Empty</v>
          </cell>
          <cell r="I50" t="str">
            <v>Dual-Port NIC</v>
          </cell>
          <cell r="J50" t="str">
            <v>Empty</v>
          </cell>
          <cell r="K50" t="str">
            <v>N/A</v>
          </cell>
          <cell r="L50" t="str">
            <v>N/A</v>
          </cell>
          <cell r="M50" t="str">
            <v>N/A</v>
          </cell>
          <cell r="N50" t="str">
            <v>N/A</v>
          </cell>
          <cell r="O50" t="str">
            <v>N/A</v>
          </cell>
          <cell r="P50" t="str">
            <v>N/A</v>
          </cell>
          <cell r="Q50" t="str">
            <v>N/A</v>
          </cell>
          <cell r="R50" t="str">
            <v>N/A</v>
          </cell>
          <cell r="S50">
            <v>2</v>
          </cell>
          <cell r="T50">
            <v>4</v>
          </cell>
        </row>
        <row r="51">
          <cell r="D51" t="str">
            <v>D305LDN1D035</v>
          </cell>
          <cell r="E51" t="str">
            <v>4.5GB</v>
          </cell>
          <cell r="F51">
            <v>2</v>
          </cell>
          <cell r="G51" t="str">
            <v>2.8GHZ</v>
          </cell>
          <cell r="H51" t="str">
            <v>Empty</v>
          </cell>
          <cell r="I51" t="str">
            <v>Dual-Port NIC</v>
          </cell>
          <cell r="J51" t="str">
            <v>Empty</v>
          </cell>
          <cell r="K51" t="str">
            <v>N/A</v>
          </cell>
          <cell r="L51" t="str">
            <v>N/A</v>
          </cell>
          <cell r="M51" t="str">
            <v>N/A</v>
          </cell>
          <cell r="N51" t="str">
            <v>N/A</v>
          </cell>
          <cell r="O51" t="str">
            <v>N/A</v>
          </cell>
          <cell r="P51" t="str">
            <v>N/A</v>
          </cell>
          <cell r="Q51" t="str">
            <v>N/A</v>
          </cell>
          <cell r="R51" t="str">
            <v>N/A</v>
          </cell>
          <cell r="S51">
            <v>2</v>
          </cell>
          <cell r="T51">
            <v>4</v>
          </cell>
        </row>
        <row r="52">
          <cell r="A52" t="str">
            <v>SAFEWAY PRODUCTION SERVERS</v>
          </cell>
          <cell r="D52" t="str">
            <v>D305LDN1D089</v>
          </cell>
          <cell r="E52" t="str">
            <v>4.5GB</v>
          </cell>
          <cell r="F52">
            <v>2</v>
          </cell>
          <cell r="G52" t="str">
            <v>2.8GHZ</v>
          </cell>
          <cell r="H52" t="str">
            <v>Empty</v>
          </cell>
          <cell r="I52" t="str">
            <v>Dual-Port NIC</v>
          </cell>
          <cell r="J52" t="str">
            <v>Empty</v>
          </cell>
          <cell r="K52" t="str">
            <v>N/A</v>
          </cell>
          <cell r="L52" t="str">
            <v>N/A</v>
          </cell>
          <cell r="M52" t="str">
            <v>N/A</v>
          </cell>
          <cell r="N52" t="str">
            <v>N/A</v>
          </cell>
          <cell r="O52" t="str">
            <v>N/A</v>
          </cell>
          <cell r="P52" t="str">
            <v>N/A</v>
          </cell>
          <cell r="Q52" t="str">
            <v>N/A</v>
          </cell>
          <cell r="R52" t="str">
            <v>N/A</v>
          </cell>
          <cell r="S52">
            <v>2</v>
          </cell>
          <cell r="T52">
            <v>4</v>
          </cell>
        </row>
        <row r="53">
          <cell r="A53" t="str">
            <v>TVMW2KFS1</v>
          </cell>
          <cell r="B53" t="str">
            <v>Systems Grp</v>
          </cell>
          <cell r="C53" t="str">
            <v>HP</v>
          </cell>
          <cell r="D53" t="str">
            <v>N/A</v>
          </cell>
          <cell r="E53" t="str">
            <v>16.0GB</v>
          </cell>
          <cell r="F53">
            <v>16</v>
          </cell>
          <cell r="H53" t="str">
            <v>N/A</v>
          </cell>
          <cell r="I53" t="str">
            <v>N/A</v>
          </cell>
          <cell r="J53" t="str">
            <v>N/A</v>
          </cell>
          <cell r="K53" t="str">
            <v>N/A</v>
          </cell>
          <cell r="L53" t="str">
            <v>N/A</v>
          </cell>
          <cell r="M53" t="str">
            <v>N/A</v>
          </cell>
          <cell r="N53" t="str">
            <v>N/A</v>
          </cell>
          <cell r="O53" t="str">
            <v>N/A</v>
          </cell>
          <cell r="P53" t="str">
            <v>N/A</v>
          </cell>
          <cell r="Q53" t="str">
            <v>N/A</v>
          </cell>
          <cell r="R53" t="str">
            <v>N/A</v>
          </cell>
          <cell r="T53">
            <v>2</v>
          </cell>
        </row>
        <row r="54">
          <cell r="A54" t="str">
            <v>TVMW2KFS3</v>
          </cell>
          <cell r="B54" t="str">
            <v>Systems Grp</v>
          </cell>
          <cell r="C54" t="str">
            <v>DELL</v>
          </cell>
          <cell r="D54" t="str">
            <v>N/A</v>
          </cell>
          <cell r="E54" t="str">
            <v>16.0GB</v>
          </cell>
          <cell r="F54">
            <v>16</v>
          </cell>
          <cell r="H54" t="str">
            <v>N/A</v>
          </cell>
          <cell r="I54" t="str">
            <v>N/A</v>
          </cell>
          <cell r="J54" t="str">
            <v>N/A</v>
          </cell>
          <cell r="K54" t="str">
            <v>N/A</v>
          </cell>
          <cell r="L54" t="str">
            <v>N/A</v>
          </cell>
          <cell r="M54" t="str">
            <v>N/A</v>
          </cell>
          <cell r="N54" t="str">
            <v>N/A</v>
          </cell>
          <cell r="O54" t="str">
            <v>N/A</v>
          </cell>
          <cell r="P54" t="str">
            <v>N/A</v>
          </cell>
          <cell r="Q54" t="str">
            <v>N/A</v>
          </cell>
          <cell r="R54" t="str">
            <v>N/A</v>
          </cell>
          <cell r="T54">
            <v>2</v>
          </cell>
        </row>
        <row r="55">
          <cell r="A55" t="str">
            <v>TVMW2KSUS2</v>
          </cell>
          <cell r="B55" t="str">
            <v>Systems Grp</v>
          </cell>
          <cell r="C55" t="str">
            <v xml:space="preserve">HP </v>
          </cell>
          <cell r="D55" t="str">
            <v>N/A</v>
          </cell>
          <cell r="E55" t="str">
            <v>24.0GB</v>
          </cell>
          <cell r="F55">
            <v>24</v>
          </cell>
          <cell r="H55" t="str">
            <v>N/A</v>
          </cell>
          <cell r="I55" t="str">
            <v>N/A</v>
          </cell>
          <cell r="J55" t="str">
            <v>N/A</v>
          </cell>
          <cell r="K55" t="str">
            <v>N/A</v>
          </cell>
          <cell r="L55" t="str">
            <v>N/A</v>
          </cell>
          <cell r="M55" t="str">
            <v>N/A</v>
          </cell>
          <cell r="N55" t="str">
            <v>N/A</v>
          </cell>
          <cell r="O55" t="str">
            <v>N/A</v>
          </cell>
          <cell r="P55" t="str">
            <v>N/A</v>
          </cell>
          <cell r="Q55" t="str">
            <v>N/A</v>
          </cell>
          <cell r="R55" t="str">
            <v>N/A</v>
          </cell>
          <cell r="T55">
            <v>2</v>
          </cell>
        </row>
        <row r="56">
          <cell r="A56" t="str">
            <v>TVMSWYADM</v>
          </cell>
          <cell r="B56" t="str">
            <v>Systems Grp</v>
          </cell>
          <cell r="C56" t="str">
            <v>DELL</v>
          </cell>
          <cell r="D56" t="str">
            <v>N/A</v>
          </cell>
          <cell r="E56" t="str">
            <v>8.0GB</v>
          </cell>
          <cell r="F56">
            <v>8</v>
          </cell>
          <cell r="H56" t="str">
            <v>N/A</v>
          </cell>
          <cell r="I56" t="str">
            <v>N/A</v>
          </cell>
          <cell r="J56" t="str">
            <v>N/A</v>
          </cell>
          <cell r="K56" t="str">
            <v>N/A</v>
          </cell>
          <cell r="L56" t="str">
            <v>N/A</v>
          </cell>
          <cell r="M56" t="str">
            <v>N/A</v>
          </cell>
          <cell r="N56" t="str">
            <v>N/A</v>
          </cell>
          <cell r="O56" t="str">
            <v>N/A</v>
          </cell>
          <cell r="P56" t="str">
            <v>N/A</v>
          </cell>
          <cell r="Q56" t="str">
            <v>N/A</v>
          </cell>
          <cell r="R56" t="str">
            <v>N/A</v>
          </cell>
          <cell r="T56">
            <v>2</v>
          </cell>
        </row>
        <row r="57">
          <cell r="A57" t="str">
            <v>TVMSFYADM2</v>
          </cell>
          <cell r="B57" t="str">
            <v>Systems Grp</v>
          </cell>
          <cell r="C57" t="str">
            <v>DELL</v>
          </cell>
          <cell r="D57" t="str">
            <v>D041DYV1K363</v>
          </cell>
          <cell r="E57" t="str">
            <v>1.0GB</v>
          </cell>
          <cell r="F57">
            <v>2</v>
          </cell>
          <cell r="G57" t="str">
            <v>700MHz</v>
          </cell>
          <cell r="H57" t="str">
            <v>Empty</v>
          </cell>
          <cell r="I57" t="str">
            <v>HBA</v>
          </cell>
          <cell r="J57" t="str">
            <v>Dual-Port NIC</v>
          </cell>
          <cell r="K57" t="str">
            <v>Dual-Port NIC</v>
          </cell>
          <cell r="L57" t="str">
            <v>HBA</v>
          </cell>
          <cell r="M57" t="str">
            <v>RIM</v>
          </cell>
          <cell r="N57" t="str">
            <v>N/A</v>
          </cell>
          <cell r="O57" t="str">
            <v>N/A</v>
          </cell>
          <cell r="P57" t="str">
            <v>N/A</v>
          </cell>
          <cell r="Q57" t="str">
            <v>N/A</v>
          </cell>
          <cell r="R57" t="str">
            <v>N/A</v>
          </cell>
          <cell r="S57">
            <v>2</v>
          </cell>
        </row>
        <row r="58">
          <cell r="A58" t="str">
            <v>SAFEWAY DEVELOPEMENT SERVERS</v>
          </cell>
          <cell r="D58" t="str">
            <v>D247LDN1D368</v>
          </cell>
          <cell r="E58" t="str">
            <v>1.0GB</v>
          </cell>
          <cell r="F58">
            <v>2</v>
          </cell>
          <cell r="G58" t="str">
            <v>2.8GHZ</v>
          </cell>
          <cell r="H58" t="str">
            <v>Empty</v>
          </cell>
          <cell r="I58" t="str">
            <v>Dual-Port NIC</v>
          </cell>
          <cell r="J58" t="str">
            <v>Empty</v>
          </cell>
          <cell r="K58" t="str">
            <v>N/A</v>
          </cell>
          <cell r="L58" t="str">
            <v>N/A</v>
          </cell>
          <cell r="M58" t="str">
            <v>N/A</v>
          </cell>
          <cell r="N58" t="str">
            <v>N/A</v>
          </cell>
          <cell r="O58" t="str">
            <v>N/A</v>
          </cell>
          <cell r="P58" t="str">
            <v>N/A</v>
          </cell>
          <cell r="Q58" t="str">
            <v>N/A</v>
          </cell>
          <cell r="R58" t="str">
            <v>N/A</v>
          </cell>
          <cell r="S58">
            <v>2</v>
          </cell>
          <cell r="T58">
            <v>2</v>
          </cell>
        </row>
        <row r="59">
          <cell r="A59" t="str">
            <v>TERRADATA Server</v>
          </cell>
          <cell r="B59" t="str">
            <v>Systems Grp</v>
          </cell>
          <cell r="C59" t="str">
            <v>Ingram</v>
          </cell>
          <cell r="D59" t="str">
            <v>D247LDN1D418</v>
          </cell>
          <cell r="E59" t="str">
            <v>2.0GB</v>
          </cell>
          <cell r="F59">
            <v>2</v>
          </cell>
          <cell r="G59" t="str">
            <v>2.8GHZ</v>
          </cell>
          <cell r="H59" t="str">
            <v>Empty</v>
          </cell>
          <cell r="I59" t="str">
            <v>Dual-Port NIC</v>
          </cell>
          <cell r="J59" t="str">
            <v>Empty</v>
          </cell>
          <cell r="K59" t="str">
            <v>N/A</v>
          </cell>
          <cell r="L59" t="str">
            <v>N/A</v>
          </cell>
          <cell r="M59" t="str">
            <v>N/A</v>
          </cell>
          <cell r="N59" t="str">
            <v>N/A</v>
          </cell>
          <cell r="O59" t="str">
            <v>N/A</v>
          </cell>
          <cell r="P59" t="str">
            <v>N/A</v>
          </cell>
          <cell r="Q59" t="str">
            <v>N/A</v>
          </cell>
          <cell r="R59" t="str">
            <v>N/A</v>
          </cell>
          <cell r="S59">
            <v>2</v>
          </cell>
          <cell r="T59">
            <v>2</v>
          </cell>
        </row>
        <row r="60">
          <cell r="A60" t="str">
            <v>SQL Server</v>
          </cell>
          <cell r="B60" t="str">
            <v>Systems Grp</v>
          </cell>
          <cell r="C60" t="str">
            <v>HP</v>
          </cell>
          <cell r="D60" t="str">
            <v>D247LDN1D444</v>
          </cell>
          <cell r="E60" t="str">
            <v>2.0GB</v>
          </cell>
          <cell r="F60">
            <v>2</v>
          </cell>
          <cell r="G60" t="str">
            <v>2.8GHZ</v>
          </cell>
          <cell r="H60" t="str">
            <v>Empty</v>
          </cell>
          <cell r="I60" t="str">
            <v>Dual-Port NIC</v>
          </cell>
          <cell r="J60" t="str">
            <v>Empty</v>
          </cell>
          <cell r="K60" t="str">
            <v>N/A</v>
          </cell>
          <cell r="L60" t="str">
            <v>N/A</v>
          </cell>
          <cell r="M60" t="str">
            <v>N/A</v>
          </cell>
          <cell r="N60" t="str">
            <v>N/A</v>
          </cell>
          <cell r="O60" t="str">
            <v>N/A</v>
          </cell>
          <cell r="P60" t="str">
            <v>N/A</v>
          </cell>
          <cell r="Q60" t="str">
            <v>N/A</v>
          </cell>
          <cell r="R60" t="str">
            <v>N/A</v>
          </cell>
          <cell r="S60">
            <v>2</v>
          </cell>
          <cell r="T60">
            <v>2</v>
          </cell>
        </row>
        <row r="61">
          <cell r="A61" t="str">
            <v>RATIONAL SEVER</v>
          </cell>
          <cell r="B61" t="str">
            <v>Systems Grp</v>
          </cell>
          <cell r="C61" t="str">
            <v>INGRAM</v>
          </cell>
          <cell r="D61" t="str">
            <v>D247LDN1D366</v>
          </cell>
          <cell r="E61" t="str">
            <v>2.0GB</v>
          </cell>
          <cell r="F61">
            <v>2</v>
          </cell>
          <cell r="G61" t="str">
            <v>2.8GHZ</v>
          </cell>
          <cell r="H61" t="str">
            <v>Empty</v>
          </cell>
          <cell r="I61" t="str">
            <v>Dual-Port NIC</v>
          </cell>
          <cell r="J61" t="str">
            <v>Empty</v>
          </cell>
          <cell r="K61" t="str">
            <v>N/A</v>
          </cell>
          <cell r="L61" t="str">
            <v>N/A</v>
          </cell>
          <cell r="M61" t="str">
            <v>N/A</v>
          </cell>
          <cell r="N61" t="str">
            <v>N/A</v>
          </cell>
          <cell r="O61" t="str">
            <v>N/A</v>
          </cell>
          <cell r="P61" t="str">
            <v>N/A</v>
          </cell>
          <cell r="Q61" t="str">
            <v>N/A</v>
          </cell>
          <cell r="R61" t="str">
            <v>N/A</v>
          </cell>
          <cell r="S61">
            <v>2</v>
          </cell>
          <cell r="T61">
            <v>2</v>
          </cell>
        </row>
        <row r="62">
          <cell r="A62" t="str">
            <v>SERVERS IN BHAVANI</v>
          </cell>
          <cell r="D62" t="str">
            <v>6J25JNT1P0DH</v>
          </cell>
          <cell r="E62" t="str">
            <v>1.0GB</v>
          </cell>
          <cell r="F62">
            <v>2</v>
          </cell>
          <cell r="G62" t="str">
            <v>1.4GHz</v>
          </cell>
          <cell r="H62" t="str">
            <v>Empty</v>
          </cell>
          <cell r="I62" t="str">
            <v>Dual-Port NIC</v>
          </cell>
          <cell r="J62" t="str">
            <v>N/A</v>
          </cell>
          <cell r="K62" t="str">
            <v>N/A</v>
          </cell>
          <cell r="L62" t="str">
            <v>N/A</v>
          </cell>
          <cell r="M62" t="str">
            <v>N/A</v>
          </cell>
          <cell r="N62" t="str">
            <v>N/A</v>
          </cell>
          <cell r="O62" t="str">
            <v>N/A</v>
          </cell>
          <cell r="P62" t="str">
            <v>N/A</v>
          </cell>
          <cell r="Q62" t="str">
            <v>N/A</v>
          </cell>
          <cell r="R62" t="str">
            <v>N/A</v>
          </cell>
          <cell r="S62">
            <v>2</v>
          </cell>
        </row>
        <row r="63">
          <cell r="A63" t="str">
            <v>A971USS</v>
          </cell>
          <cell r="B63" t="str">
            <v>Systems Grp</v>
          </cell>
          <cell r="C63" t="str">
            <v>HP</v>
          </cell>
          <cell r="D63" t="str">
            <v>D152JZG1K637</v>
          </cell>
          <cell r="E63" t="str">
            <v>2.0GB</v>
          </cell>
          <cell r="F63">
            <v>2</v>
          </cell>
          <cell r="G63" t="str">
            <v>1.266GHz</v>
          </cell>
          <cell r="H63" t="str">
            <v>RIM</v>
          </cell>
          <cell r="I63" t="str">
            <v>Dual-Port NIC</v>
          </cell>
          <cell r="J63" t="str">
            <v>Empty</v>
          </cell>
          <cell r="K63" t="str">
            <v>N/A</v>
          </cell>
          <cell r="L63" t="str">
            <v>N/A</v>
          </cell>
          <cell r="M63" t="str">
            <v>N/A</v>
          </cell>
          <cell r="N63" t="str">
            <v>N/A</v>
          </cell>
          <cell r="O63" t="str">
            <v>N/A</v>
          </cell>
          <cell r="P63" t="str">
            <v>N/A</v>
          </cell>
          <cell r="Q63" t="str">
            <v>N/A</v>
          </cell>
          <cell r="R63" t="str">
            <v>N/A</v>
          </cell>
          <cell r="S63">
            <v>4</v>
          </cell>
          <cell r="T63">
            <v>2</v>
          </cell>
        </row>
        <row r="64">
          <cell r="D64" t="str">
            <v>D152JZG1K447</v>
          </cell>
          <cell r="E64" t="str">
            <v>2.0GB</v>
          </cell>
          <cell r="F64">
            <v>2</v>
          </cell>
          <cell r="G64" t="str">
            <v>1.266GHz</v>
          </cell>
          <cell r="H64" t="str">
            <v>RIM</v>
          </cell>
          <cell r="I64" t="str">
            <v>Dual-Port NIC</v>
          </cell>
          <cell r="J64" t="str">
            <v>Empty</v>
          </cell>
          <cell r="K64" t="str">
            <v>N/A</v>
          </cell>
          <cell r="L64" t="str">
            <v>N/A</v>
          </cell>
          <cell r="M64" t="str">
            <v>N/A</v>
          </cell>
          <cell r="N64" t="str">
            <v>N/A</v>
          </cell>
          <cell r="O64" t="str">
            <v>N/A</v>
          </cell>
          <cell r="P64" t="str">
            <v>N/A</v>
          </cell>
          <cell r="Q64" t="str">
            <v>N/A</v>
          </cell>
          <cell r="R64" t="str">
            <v>N/A</v>
          </cell>
          <cell r="S64">
            <v>4</v>
          </cell>
          <cell r="T64">
            <v>2</v>
          </cell>
        </row>
        <row r="65">
          <cell r="A65" t="str">
            <v>B388USS</v>
          </cell>
          <cell r="B65" t="str">
            <v>GNOC</v>
          </cell>
          <cell r="C65" t="str">
            <v>DELL</v>
          </cell>
          <cell r="D65" t="str">
            <v>6J25JNT1P0DX</v>
          </cell>
          <cell r="E65" t="str">
            <v>2.0GB</v>
          </cell>
          <cell r="F65">
            <v>2</v>
          </cell>
          <cell r="G65" t="str">
            <v>1.4GHz</v>
          </cell>
          <cell r="H65" t="str">
            <v>Empty</v>
          </cell>
          <cell r="I65" t="str">
            <v>Dual-Port NIC</v>
          </cell>
          <cell r="J65" t="str">
            <v>N/A</v>
          </cell>
          <cell r="K65" t="str">
            <v>N/A</v>
          </cell>
          <cell r="L65" t="str">
            <v>N/A</v>
          </cell>
          <cell r="M65" t="str">
            <v>N/A</v>
          </cell>
          <cell r="N65" t="str">
            <v>N/A</v>
          </cell>
          <cell r="O65" t="str">
            <v>N/A</v>
          </cell>
          <cell r="P65" t="str">
            <v>N/A</v>
          </cell>
          <cell r="Q65" t="str">
            <v>N/A</v>
          </cell>
          <cell r="R65" t="str">
            <v>N/A</v>
          </cell>
          <cell r="S65">
            <v>2</v>
          </cell>
        </row>
        <row r="66">
          <cell r="D66" t="str">
            <v>6J25JNT1P09Y</v>
          </cell>
          <cell r="E66" t="str">
            <v>2.0GB</v>
          </cell>
          <cell r="F66">
            <v>2</v>
          </cell>
          <cell r="G66" t="str">
            <v>1.4GHz</v>
          </cell>
          <cell r="H66" t="str">
            <v>Empty</v>
          </cell>
          <cell r="I66" t="str">
            <v>Dual-Port NIC</v>
          </cell>
          <cell r="J66" t="str">
            <v>N/A</v>
          </cell>
          <cell r="K66" t="str">
            <v>N/A</v>
          </cell>
          <cell r="L66" t="str">
            <v>N/A</v>
          </cell>
          <cell r="M66" t="str">
            <v>N/A</v>
          </cell>
          <cell r="N66" t="str">
            <v>N/A</v>
          </cell>
          <cell r="O66" t="str">
            <v>N/A</v>
          </cell>
          <cell r="P66" t="str">
            <v>N/A</v>
          </cell>
          <cell r="Q66" t="str">
            <v>N/A</v>
          </cell>
          <cell r="R66" t="str">
            <v>N/A</v>
          </cell>
          <cell r="S66">
            <v>2</v>
          </cell>
        </row>
        <row r="67">
          <cell r="A67" t="str">
            <v>SERVERS IN BHAVANI (DMZ)</v>
          </cell>
          <cell r="D67" t="str">
            <v>6J25JNT1P0K5</v>
          </cell>
          <cell r="E67" t="str">
            <v>2.0GB</v>
          </cell>
          <cell r="F67">
            <v>2</v>
          </cell>
          <cell r="G67" t="str">
            <v>1.4GHz</v>
          </cell>
          <cell r="H67" t="str">
            <v>Empty</v>
          </cell>
          <cell r="I67" t="str">
            <v>Dual-Port NIC</v>
          </cell>
          <cell r="J67" t="str">
            <v>N/A</v>
          </cell>
          <cell r="K67" t="str">
            <v>N/A</v>
          </cell>
          <cell r="L67" t="str">
            <v>N/A</v>
          </cell>
          <cell r="M67" t="str">
            <v>N/A</v>
          </cell>
          <cell r="N67" t="str">
            <v>N/A</v>
          </cell>
          <cell r="O67" t="str">
            <v>N/A</v>
          </cell>
          <cell r="P67" t="str">
            <v>N/A</v>
          </cell>
          <cell r="Q67" t="str">
            <v>N/A</v>
          </cell>
          <cell r="R67" t="str">
            <v>N/A</v>
          </cell>
          <cell r="S67">
            <v>2</v>
          </cell>
        </row>
        <row r="68">
          <cell r="A68" t="str">
            <v>A850USS</v>
          </cell>
          <cell r="C68" t="str">
            <v>Samsung</v>
          </cell>
          <cell r="D68" t="str">
            <v>6J25JNT1P0DL</v>
          </cell>
          <cell r="E68" t="str">
            <v>2.0GB</v>
          </cell>
          <cell r="F68">
            <v>2</v>
          </cell>
          <cell r="G68" t="str">
            <v>1.4GHz</v>
          </cell>
          <cell r="H68" t="str">
            <v>Empty</v>
          </cell>
          <cell r="I68" t="str">
            <v>Dual-Port NIC</v>
          </cell>
          <cell r="J68" t="str">
            <v>N/A</v>
          </cell>
          <cell r="K68" t="str">
            <v>N/A</v>
          </cell>
          <cell r="L68" t="str">
            <v>N/A</v>
          </cell>
          <cell r="M68" t="str">
            <v>N/A</v>
          </cell>
          <cell r="N68" t="str">
            <v>N/A</v>
          </cell>
          <cell r="O68" t="str">
            <v>N/A</v>
          </cell>
          <cell r="P68" t="str">
            <v>N/A</v>
          </cell>
          <cell r="Q68" t="str">
            <v>N/A</v>
          </cell>
          <cell r="R68" t="str">
            <v>N/A</v>
          </cell>
          <cell r="S68">
            <v>2</v>
          </cell>
        </row>
        <row r="69">
          <cell r="A69" t="str">
            <v>TVMWINLAB12</v>
          </cell>
          <cell r="B69" t="str">
            <v>Server Grp</v>
          </cell>
          <cell r="C69" t="str">
            <v>IBM</v>
          </cell>
          <cell r="D69" t="str">
            <v>6J25JNT1P0HC</v>
          </cell>
          <cell r="E69" t="str">
            <v>2.0GB</v>
          </cell>
          <cell r="F69">
            <v>2</v>
          </cell>
          <cell r="G69" t="str">
            <v>1.4GHz</v>
          </cell>
          <cell r="H69" t="str">
            <v>Empty</v>
          </cell>
          <cell r="I69" t="str">
            <v>Dual-Port NIC</v>
          </cell>
          <cell r="J69" t="str">
            <v>N/A</v>
          </cell>
          <cell r="K69" t="str">
            <v>N/A</v>
          </cell>
          <cell r="L69" t="str">
            <v>N/A</v>
          </cell>
          <cell r="M69" t="str">
            <v>N/A</v>
          </cell>
          <cell r="N69" t="str">
            <v>N/A</v>
          </cell>
          <cell r="O69" t="str">
            <v>N/A</v>
          </cell>
          <cell r="P69" t="str">
            <v>N/A</v>
          </cell>
          <cell r="Q69" t="str">
            <v>N/A</v>
          </cell>
          <cell r="R69" t="str">
            <v>N/A</v>
          </cell>
          <cell r="S69">
            <v>2</v>
          </cell>
        </row>
        <row r="70">
          <cell r="D70" t="str">
            <v>6J25JNT1P0DZ</v>
          </cell>
          <cell r="E70" t="str">
            <v>1.0GB</v>
          </cell>
          <cell r="F70">
            <v>2</v>
          </cell>
          <cell r="G70" t="str">
            <v>1.4GHz</v>
          </cell>
          <cell r="H70" t="str">
            <v>Empty</v>
          </cell>
          <cell r="I70" t="str">
            <v>Dual-Port NIC</v>
          </cell>
          <cell r="J70" t="str">
            <v>N/A</v>
          </cell>
          <cell r="K70" t="str">
            <v>N/A</v>
          </cell>
          <cell r="L70" t="str">
            <v>N/A</v>
          </cell>
          <cell r="M70" t="str">
            <v>N/A</v>
          </cell>
          <cell r="N70" t="str">
            <v>N/A</v>
          </cell>
          <cell r="O70" t="str">
            <v>N/A</v>
          </cell>
          <cell r="P70" t="str">
            <v>N/A</v>
          </cell>
          <cell r="Q70" t="str">
            <v>N/A</v>
          </cell>
          <cell r="R70" t="str">
            <v>N/A</v>
          </cell>
          <cell r="S70">
            <v>2</v>
          </cell>
        </row>
        <row r="71">
          <cell r="A71" t="str">
            <v>Server In US and Aliso</v>
          </cell>
          <cell r="D71" t="str">
            <v>D308FSZ1H052</v>
          </cell>
          <cell r="E71" t="str">
            <v>2.0GB</v>
          </cell>
          <cell r="F71">
            <v>4</v>
          </cell>
          <cell r="G71" t="str">
            <v>2.0GHz</v>
          </cell>
          <cell r="H71" t="str">
            <v>Array Controller</v>
          </cell>
          <cell r="I71" t="str">
            <v>Single-Port NIC</v>
          </cell>
          <cell r="J71" t="str">
            <v>Single-port NIC</v>
          </cell>
          <cell r="K71" t="str">
            <v>Dual-Port NIC</v>
          </cell>
          <cell r="L71" t="str">
            <v>Dual-Port NIC</v>
          </cell>
          <cell r="M71" t="str">
            <v>Empty</v>
          </cell>
          <cell r="N71" t="str">
            <v>N/A</v>
          </cell>
          <cell r="O71" t="str">
            <v>N/A</v>
          </cell>
          <cell r="P71" t="str">
            <v>N/A</v>
          </cell>
          <cell r="Q71" t="str">
            <v>N/A</v>
          </cell>
          <cell r="R71" t="str">
            <v>N/A</v>
          </cell>
          <cell r="S71">
            <v>2</v>
          </cell>
          <cell r="T71">
            <v>2</v>
          </cell>
        </row>
        <row r="72">
          <cell r="A72" t="str">
            <v xml:space="preserve">Quick Book </v>
          </cell>
          <cell r="B72" t="str">
            <v>Server Grp</v>
          </cell>
          <cell r="D72" t="str">
            <v>D308FSZ1H051</v>
          </cell>
          <cell r="E72" t="str">
            <v>2.0GB</v>
          </cell>
          <cell r="F72">
            <v>4</v>
          </cell>
          <cell r="G72" t="str">
            <v>2.0GHz</v>
          </cell>
          <cell r="H72" t="str">
            <v>Array Controller</v>
          </cell>
          <cell r="I72" t="str">
            <v>Single-Port NIC</v>
          </cell>
          <cell r="J72" t="str">
            <v>Single-port NIC</v>
          </cell>
          <cell r="K72" t="str">
            <v>Dual-Port NIC</v>
          </cell>
          <cell r="L72" t="str">
            <v>Dual-Port NIC</v>
          </cell>
          <cell r="M72" t="str">
            <v>Empty</v>
          </cell>
          <cell r="N72" t="str">
            <v>N/A</v>
          </cell>
          <cell r="O72" t="str">
            <v>N/A</v>
          </cell>
          <cell r="P72" t="str">
            <v>N/A</v>
          </cell>
          <cell r="Q72" t="str">
            <v>N/A</v>
          </cell>
          <cell r="R72" t="str">
            <v>N/A</v>
          </cell>
          <cell r="S72">
            <v>2</v>
          </cell>
          <cell r="T72">
            <v>2</v>
          </cell>
        </row>
        <row r="73">
          <cell r="A73" t="str">
            <v xml:space="preserve">ADP </v>
          </cell>
          <cell r="B73" t="str">
            <v>Server Grp</v>
          </cell>
          <cell r="D73" t="str">
            <v>D305LDN1D036</v>
          </cell>
          <cell r="E73" t="str">
            <v>2.0GB</v>
          </cell>
          <cell r="F73">
            <v>2</v>
          </cell>
          <cell r="G73" t="str">
            <v>2.8GHz</v>
          </cell>
          <cell r="H73" t="str">
            <v>Dual-Port NIC</v>
          </cell>
          <cell r="I73" t="str">
            <v>Dual-Port NIC</v>
          </cell>
          <cell r="J73" t="str">
            <v>Dual-Port NIC</v>
          </cell>
          <cell r="K73" t="str">
            <v>N/A</v>
          </cell>
          <cell r="L73" t="str">
            <v>N/A</v>
          </cell>
          <cell r="M73" t="str">
            <v>N/A</v>
          </cell>
          <cell r="N73" t="str">
            <v>N/A</v>
          </cell>
          <cell r="O73" t="str">
            <v>N/A</v>
          </cell>
          <cell r="P73" t="str">
            <v>N/A</v>
          </cell>
          <cell r="Q73" t="str">
            <v>N/A</v>
          </cell>
          <cell r="R73" t="str">
            <v>N/A</v>
          </cell>
          <cell r="S73">
            <v>2</v>
          </cell>
          <cell r="T73">
            <v>2</v>
          </cell>
        </row>
        <row r="74">
          <cell r="A74" t="str">
            <v>AD DC</v>
          </cell>
          <cell r="B74" t="str">
            <v>Server Grp</v>
          </cell>
          <cell r="D74" t="str">
            <v>D305LDN1D221</v>
          </cell>
          <cell r="E74" t="str">
            <v>2.0GB</v>
          </cell>
          <cell r="F74">
            <v>2</v>
          </cell>
          <cell r="G74" t="str">
            <v>2.8GHz</v>
          </cell>
          <cell r="H74" t="str">
            <v>Dual-Port NIC</v>
          </cell>
          <cell r="I74" t="str">
            <v>Dual-Port NIC</v>
          </cell>
          <cell r="J74" t="str">
            <v>Dual-Port NIC</v>
          </cell>
          <cell r="K74" t="str">
            <v>N/A</v>
          </cell>
          <cell r="L74" t="str">
            <v>N/A</v>
          </cell>
          <cell r="M74" t="str">
            <v>N/A</v>
          </cell>
          <cell r="N74" t="str">
            <v>N/A</v>
          </cell>
          <cell r="O74" t="str">
            <v>N/A</v>
          </cell>
          <cell r="P74" t="str">
            <v>N/A</v>
          </cell>
          <cell r="Q74" t="str">
            <v>N/A</v>
          </cell>
          <cell r="R74" t="str">
            <v>N/A</v>
          </cell>
          <cell r="S74">
            <v>2</v>
          </cell>
          <cell r="T74">
            <v>2</v>
          </cell>
        </row>
        <row r="75">
          <cell r="A75" t="str">
            <v>MSCOE</v>
          </cell>
          <cell r="B75" t="str">
            <v>MSC0E</v>
          </cell>
          <cell r="D75" t="str">
            <v>6J25JNT1P0L7</v>
          </cell>
          <cell r="E75" t="str">
            <v>2.0GB</v>
          </cell>
          <cell r="F75">
            <v>2</v>
          </cell>
          <cell r="G75" t="str">
            <v>1.4GHz</v>
          </cell>
          <cell r="H75" t="str">
            <v>Dual-Port NIC</v>
          </cell>
          <cell r="I75" t="str">
            <v>Dual-Port NIC</v>
          </cell>
          <cell r="J75" t="str">
            <v>N/A</v>
          </cell>
          <cell r="K75" t="str">
            <v>N/A</v>
          </cell>
          <cell r="L75" t="str">
            <v>N/A</v>
          </cell>
          <cell r="M75" t="str">
            <v>N/A</v>
          </cell>
          <cell r="N75" t="str">
            <v>N/A</v>
          </cell>
          <cell r="O75" t="str">
            <v>N/A</v>
          </cell>
          <cell r="P75" t="str">
            <v>N/A</v>
          </cell>
          <cell r="Q75" t="str">
            <v>N/A</v>
          </cell>
          <cell r="R75" t="str">
            <v>N/A</v>
          </cell>
          <cell r="S75">
            <v>2</v>
          </cell>
        </row>
        <row r="76">
          <cell r="A76" t="str">
            <v>AD Colo</v>
          </cell>
          <cell r="B76" t="str">
            <v>Server Grp</v>
          </cell>
          <cell r="D76" t="str">
            <v>6J25JNT1P0AA</v>
          </cell>
          <cell r="E76" t="str">
            <v>2.0GB</v>
          </cell>
          <cell r="F76">
            <v>2</v>
          </cell>
          <cell r="G76" t="str">
            <v>1.4GHz</v>
          </cell>
          <cell r="H76" t="str">
            <v>Dual-Port NIC</v>
          </cell>
          <cell r="I76" t="str">
            <v>Dual-Port NIC</v>
          </cell>
          <cell r="J76" t="str">
            <v>N/A</v>
          </cell>
          <cell r="K76" t="str">
            <v>N/A</v>
          </cell>
          <cell r="L76" t="str">
            <v>N/A</v>
          </cell>
          <cell r="M76" t="str">
            <v>N/A</v>
          </cell>
          <cell r="N76" t="str">
            <v>N/A</v>
          </cell>
          <cell r="O76" t="str">
            <v>N/A</v>
          </cell>
          <cell r="P76" t="str">
            <v>N/A</v>
          </cell>
          <cell r="Q76" t="str">
            <v>N/A</v>
          </cell>
          <cell r="R76" t="str">
            <v>N/A</v>
          </cell>
          <cell r="S76">
            <v>2</v>
          </cell>
        </row>
        <row r="77">
          <cell r="A77" t="str">
            <v>myadm</v>
          </cell>
          <cell r="B77" t="str">
            <v>Server Grp</v>
          </cell>
          <cell r="D77" t="str">
            <v>D308LDN1H348</v>
          </cell>
          <cell r="E77" t="str">
            <v>2.0GB</v>
          </cell>
          <cell r="F77">
            <v>2</v>
          </cell>
          <cell r="G77" t="str">
            <v>2.8GHz</v>
          </cell>
          <cell r="H77" t="str">
            <v>Empty</v>
          </cell>
          <cell r="I77" t="str">
            <v>Dual-Port NIC</v>
          </cell>
          <cell r="J77" t="str">
            <v>Empty</v>
          </cell>
          <cell r="K77" t="str">
            <v>N/A</v>
          </cell>
          <cell r="L77" t="str">
            <v>N/A</v>
          </cell>
          <cell r="M77" t="str">
            <v>N/A</v>
          </cell>
          <cell r="N77" t="str">
            <v>N/A</v>
          </cell>
          <cell r="O77" t="str">
            <v>N/A</v>
          </cell>
          <cell r="P77" t="str">
            <v>N/A</v>
          </cell>
          <cell r="Q77" t="str">
            <v>N/A</v>
          </cell>
          <cell r="R77" t="str">
            <v>N/A</v>
          </cell>
          <cell r="S77">
            <v>6</v>
          </cell>
        </row>
        <row r="78">
          <cell r="A78" t="str">
            <v>uscoloexch</v>
          </cell>
          <cell r="B78" t="str">
            <v>Server Grp</v>
          </cell>
          <cell r="D78" t="str">
            <v>D308LDN1H346</v>
          </cell>
          <cell r="E78" t="str">
            <v>2.0GB</v>
          </cell>
          <cell r="F78">
            <v>2</v>
          </cell>
          <cell r="G78" t="str">
            <v>2.8GHz</v>
          </cell>
          <cell r="H78" t="str">
            <v>Empty</v>
          </cell>
          <cell r="I78" t="str">
            <v>Dual-Port NIC</v>
          </cell>
          <cell r="J78" t="str">
            <v>Empty</v>
          </cell>
          <cell r="K78" t="str">
            <v>N/A</v>
          </cell>
          <cell r="L78" t="str">
            <v>N/A</v>
          </cell>
          <cell r="M78" t="str">
            <v>N/A</v>
          </cell>
          <cell r="N78" t="str">
            <v>N/A</v>
          </cell>
          <cell r="O78" t="str">
            <v>N/A</v>
          </cell>
          <cell r="P78" t="str">
            <v>N/A</v>
          </cell>
          <cell r="Q78" t="str">
            <v>N/A</v>
          </cell>
          <cell r="R78" t="str">
            <v>N/A</v>
          </cell>
          <cell r="S78">
            <v>6</v>
          </cell>
        </row>
        <row r="79">
          <cell r="A79" t="str">
            <v>W2KASVR1.EBUILT.NET</v>
          </cell>
          <cell r="B79" t="str">
            <v>Server Grp</v>
          </cell>
          <cell r="D79" t="str">
            <v>6J25JNT1P09Z</v>
          </cell>
          <cell r="E79" t="str">
            <v>2.0GB</v>
          </cell>
          <cell r="F79">
            <v>2</v>
          </cell>
          <cell r="G79" t="str">
            <v>1.4GHz</v>
          </cell>
          <cell r="H79" t="str">
            <v>Empty</v>
          </cell>
          <cell r="I79" t="str">
            <v>Dual-Port NIC</v>
          </cell>
          <cell r="J79" t="str">
            <v>N/A</v>
          </cell>
          <cell r="K79" t="str">
            <v>N/A</v>
          </cell>
          <cell r="L79" t="str">
            <v>N/A</v>
          </cell>
          <cell r="M79" t="str">
            <v>N/A</v>
          </cell>
          <cell r="N79" t="str">
            <v>N/A</v>
          </cell>
          <cell r="O79" t="str">
            <v>N/A</v>
          </cell>
          <cell r="P79" t="str">
            <v>N/A</v>
          </cell>
          <cell r="Q79" t="str">
            <v>N/A</v>
          </cell>
          <cell r="R79" t="str">
            <v>N/A</v>
          </cell>
          <cell r="S79">
            <v>2</v>
          </cell>
          <cell r="T79" t="str">
            <v xml:space="preserve"> </v>
          </cell>
        </row>
        <row r="80">
          <cell r="D80" t="str">
            <v>6J26JNT1B045</v>
          </cell>
          <cell r="E80" t="str">
            <v>1.25GB</v>
          </cell>
          <cell r="F80">
            <v>2</v>
          </cell>
          <cell r="G80" t="str">
            <v>1.4GHz</v>
          </cell>
          <cell r="H80" t="str">
            <v>Empty</v>
          </cell>
          <cell r="I80" t="str">
            <v>Dual-Port NIC</v>
          </cell>
          <cell r="J80" t="str">
            <v>N/A</v>
          </cell>
          <cell r="K80" t="str">
            <v>N/A</v>
          </cell>
          <cell r="L80" t="str">
            <v>N/A</v>
          </cell>
          <cell r="M80" t="str">
            <v>N/A</v>
          </cell>
          <cell r="N80" t="str">
            <v>N/A</v>
          </cell>
          <cell r="O80" t="str">
            <v>N/A</v>
          </cell>
          <cell r="P80" t="str">
            <v>N/A</v>
          </cell>
          <cell r="Q80" t="str">
            <v>N/A</v>
          </cell>
          <cell r="R80" t="str">
            <v>N/A</v>
          </cell>
          <cell r="S80">
            <v>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afe DELUXE"/>
      <sheetName val="d_safe DELUXE"/>
      <sheetName val="CABLE DATA"/>
      <sheetName val="CCTV_EST1"/>
      <sheetName val="Parameter"/>
      <sheetName val="Cable-data"/>
      <sheetName val="d-safe specs"/>
      <sheetName val="d-safe_DELUXE"/>
      <sheetName val="d_safe_DELUXE"/>
      <sheetName val="Supplier"/>
      <sheetName val="LIST OF MAKES"/>
      <sheetName val="Sheet3"/>
      <sheetName val="girder"/>
      <sheetName val="Estimate"/>
      <sheetName val="factors"/>
      <sheetName val="Basement Budget"/>
      <sheetName val="INDIGINEOUS ITEMS "/>
      <sheetName val="Costing"/>
      <sheetName val="Formulas"/>
      <sheetName val="Name List"/>
      <sheetName val="TBAL9697 -group wise  sdpl"/>
      <sheetName val="WORK TABLE"/>
      <sheetName val="sept-plan"/>
      <sheetName val="Server Conf By Nam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flow workings (2)"/>
      <sheetName val="cash flow"/>
      <sheetName val="final segment"/>
      <sheetName val="For notes Segment in Rs. ('000)"/>
      <sheetName val="segment final break up"/>
      <sheetName val="Part 4"/>
      <sheetName val="EPS"/>
      <sheetName val="BS"/>
      <sheetName val="P&amp;L"/>
      <sheetName val="1"/>
      <sheetName val="2"/>
      <sheetName val="5"/>
      <sheetName val="6"/>
      <sheetName val="8"/>
      <sheetName val="10"/>
      <sheetName val="12"/>
      <sheetName val="14"/>
      <sheetName val="4"/>
      <sheetName val="Unit wise consol "/>
      <sheetName val=" Tax provision"/>
      <sheetName val="Tax provision workings"/>
      <sheetName val="IT Depreciation 01-02"/>
      <sheetName val="Inter unit set off"/>
      <sheetName val="Sheet1"/>
      <sheetName val="Co Depreciation 01-02 (2)"/>
      <sheetName val="Interest cost capitalised"/>
      <sheetName val="Rounded off"/>
      <sheetName val="NOTES -1"/>
      <sheetName val="NOTES-2"/>
      <sheetName val="mdd &amp; co Fdr jan.02 "/>
      <sheetName val="d-safe DELUXE"/>
      <sheetName val="1-8"/>
      <sheetName val="staff acco."/>
      <sheetName val="cost"/>
      <sheetName val="storage"/>
      <sheetName val="Capacity Inputs"/>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row r="7">
          <cell r="C7">
            <v>-557907</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Review List"/>
      <sheetName val="Financial Review"/>
      <sheetName val="Working Capital Exposure"/>
      <sheetName val="Sheet3"/>
      <sheetName val="Billing&amp;Cashflow"/>
      <sheetName val="BG Details"/>
      <sheetName val="CusPymtMilestone&amp;VendorDetail"/>
      <sheetName val="Summary"/>
      <sheetName val="Customer Format"/>
      <sheetName val="Year wise Summary"/>
      <sheetName val="Sheet2"/>
      <sheetName val="TCS Services"/>
      <sheetName val="Sheet1"/>
      <sheetName val="INR Products&amp;Services"/>
      <sheetName val="Imported Products&amp;Services"/>
      <sheetName val="Foreign Currency Conversion"/>
      <sheetName val="cost"/>
      <sheetName val="sachin"/>
      <sheetName val="Input"/>
    </sheetNames>
    <sheetDataSet>
      <sheetData sheetId="0"/>
      <sheetData sheetId="1"/>
      <sheetData sheetId="2"/>
      <sheetData sheetId="3"/>
      <sheetData sheetId="4"/>
      <sheetData sheetId="5"/>
      <sheetData sheetId="6"/>
      <sheetData sheetId="7"/>
      <sheetData sheetId="8">
        <row r="22">
          <cell r="H22" t="str">
            <v>VAT</v>
          </cell>
          <cell r="I22">
            <v>5.5E-2</v>
          </cell>
        </row>
        <row r="23">
          <cell r="H23" t="str">
            <v>VAT on NON IT Products</v>
          </cell>
          <cell r="I23">
            <v>0.15</v>
          </cell>
        </row>
        <row r="24">
          <cell r="H24" t="str">
            <v>Service Tax</v>
          </cell>
          <cell r="I24">
            <v>0.15</v>
          </cell>
        </row>
        <row r="25">
          <cell r="H25" t="str">
            <v>Octroi/ LBT</v>
          </cell>
          <cell r="I25">
            <v>0</v>
          </cell>
        </row>
        <row r="26">
          <cell r="F26">
            <v>0.4</v>
          </cell>
          <cell r="H26" t="str">
            <v>Software Tax</v>
          </cell>
          <cell r="I26">
            <v>0.20499999999999999</v>
          </cell>
        </row>
        <row r="27">
          <cell r="H27" t="str">
            <v>HW AMC tax</v>
          </cell>
          <cell r="I27">
            <v>0.183</v>
          </cell>
        </row>
        <row r="28">
          <cell r="H28" t="str">
            <v>SW AMC tax</v>
          </cell>
          <cell r="I28">
            <v>0.20499999999999999</v>
          </cell>
        </row>
        <row r="29">
          <cell r="H29" t="str">
            <v>NON IT Prod AMC tax</v>
          </cell>
          <cell r="I29">
            <v>0.24</v>
          </cell>
        </row>
        <row r="30">
          <cell r="H30" t="str">
            <v>CST</v>
          </cell>
          <cell r="I30">
            <v>0.05</v>
          </cell>
        </row>
        <row r="31">
          <cell r="H31" t="str">
            <v>CST on NON IT Products</v>
          </cell>
          <cell r="I31">
            <v>0.15</v>
          </cell>
        </row>
      </sheetData>
      <sheetData sheetId="9"/>
      <sheetData sheetId="10"/>
      <sheetData sheetId="11">
        <row r="206">
          <cell r="B206" t="str">
            <v>Yes</v>
          </cell>
        </row>
      </sheetData>
      <sheetData sheetId="12"/>
      <sheetData sheetId="13">
        <row r="6">
          <cell r="B6" t="str">
            <v>2016-17</v>
          </cell>
          <cell r="C6">
            <v>0</v>
          </cell>
        </row>
        <row r="7">
          <cell r="B7" t="str">
            <v>Grade</v>
          </cell>
          <cell r="C7" t="str">
            <v>Rate</v>
          </cell>
        </row>
        <row r="8">
          <cell r="B8" t="str">
            <v>YG/YD</v>
          </cell>
          <cell r="C8">
            <v>40458.3678</v>
          </cell>
        </row>
        <row r="9">
          <cell r="B9" t="str">
            <v>TR</v>
          </cell>
          <cell r="C9">
            <v>40458.3678</v>
          </cell>
        </row>
        <row r="10">
          <cell r="B10" t="str">
            <v>ASE</v>
          </cell>
          <cell r="C10">
            <v>58664.467799999999</v>
          </cell>
        </row>
        <row r="11">
          <cell r="B11" t="str">
            <v>SE</v>
          </cell>
          <cell r="C11">
            <v>76364.658899999995</v>
          </cell>
        </row>
        <row r="12">
          <cell r="B12" t="str">
            <v>ITA</v>
          </cell>
          <cell r="C12">
            <v>94064.849999999991</v>
          </cell>
        </row>
        <row r="13">
          <cell r="B13" t="str">
            <v>BA</v>
          </cell>
          <cell r="C13">
            <v>94064.849999999991</v>
          </cell>
        </row>
        <row r="14">
          <cell r="B14" t="str">
            <v>AST</v>
          </cell>
          <cell r="C14">
            <v>138568.28219999999</v>
          </cell>
        </row>
        <row r="15">
          <cell r="B15" t="str">
            <v>AST/ASC</v>
          </cell>
          <cell r="C15">
            <v>165372.07499999998</v>
          </cell>
        </row>
        <row r="16">
          <cell r="B16" t="str">
            <v>ASC</v>
          </cell>
          <cell r="C16">
            <v>192175.86779999998</v>
          </cell>
        </row>
        <row r="17">
          <cell r="B17" t="str">
            <v>CON</v>
          </cell>
          <cell r="C17">
            <v>315572.39999999997</v>
          </cell>
        </row>
        <row r="18">
          <cell r="B18" t="str">
            <v>SRC</v>
          </cell>
          <cell r="C18">
            <v>399522.38219999999</v>
          </cell>
        </row>
        <row r="19">
          <cell r="B19" t="str">
            <v>SMG</v>
          </cell>
          <cell r="C19">
            <v>574503.96779999998</v>
          </cell>
        </row>
        <row r="20">
          <cell r="B20" t="str">
            <v>VP</v>
          </cell>
          <cell r="C20">
            <v>0</v>
          </cell>
        </row>
        <row r="38">
          <cell r="B38" t="str">
            <v>2018-19</v>
          </cell>
          <cell r="C38">
            <v>0</v>
          </cell>
        </row>
        <row r="39">
          <cell r="B39" t="str">
            <v>Grade</v>
          </cell>
          <cell r="C39" t="str">
            <v>Rate</v>
          </cell>
        </row>
        <row r="40">
          <cell r="B40" t="str">
            <v>YG/YD</v>
          </cell>
          <cell r="C40">
            <v>49257.721327875763</v>
          </cell>
        </row>
        <row r="41">
          <cell r="B41" t="str">
            <v>TR</v>
          </cell>
          <cell r="C41">
            <v>49257.721327875763</v>
          </cell>
        </row>
        <row r="42">
          <cell r="B42" t="str">
            <v>ASE</v>
          </cell>
          <cell r="C42">
            <v>71423.494418391754</v>
          </cell>
        </row>
        <row r="43">
          <cell r="B43" t="str">
            <v>SE</v>
          </cell>
          <cell r="C43">
            <v>92973.32769302887</v>
          </cell>
        </row>
        <row r="44">
          <cell r="B44" t="str">
            <v>ITA</v>
          </cell>
          <cell r="C44">
            <v>114523.16096766599</v>
          </cell>
        </row>
        <row r="45">
          <cell r="B45" t="str">
            <v>BA</v>
          </cell>
          <cell r="C45">
            <v>114523.16096766599</v>
          </cell>
        </row>
        <row r="46">
          <cell r="B46" t="str">
            <v>AST</v>
          </cell>
          <cell r="C46">
            <v>168705.71406219818</v>
          </cell>
        </row>
        <row r="47">
          <cell r="B47" t="str">
            <v>AST/ASC</v>
          </cell>
          <cell r="C47">
            <v>201339.10557218696</v>
          </cell>
        </row>
        <row r="48">
          <cell r="B48" t="str">
            <v>ASC</v>
          </cell>
          <cell r="C48">
            <v>233972.49708217572</v>
          </cell>
        </row>
        <row r="49">
          <cell r="B49" t="str">
            <v>CON</v>
          </cell>
          <cell r="C49">
            <v>384206.73356894392</v>
          </cell>
        </row>
        <row r="50">
          <cell r="B50" t="str">
            <v>SRC</v>
          </cell>
          <cell r="C50">
            <v>486415.12835959415</v>
          </cell>
        </row>
        <row r="51">
          <cell r="B51" t="str">
            <v>SMG</v>
          </cell>
          <cell r="C51">
            <v>699453.7319830117</v>
          </cell>
        </row>
        <row r="52">
          <cell r="B52" t="str">
            <v>VP</v>
          </cell>
          <cell r="C52">
            <v>0</v>
          </cell>
        </row>
        <row r="54">
          <cell r="B54" t="str">
            <v>2019-20</v>
          </cell>
          <cell r="C54">
            <v>0</v>
          </cell>
        </row>
        <row r="55">
          <cell r="B55" t="str">
            <v>Grade</v>
          </cell>
          <cell r="C55" t="str">
            <v>Rate</v>
          </cell>
        </row>
        <row r="56">
          <cell r="B56" t="str">
            <v>YG/YD</v>
          </cell>
          <cell r="C56">
            <v>54350.969713178114</v>
          </cell>
        </row>
        <row r="57">
          <cell r="B57" t="str">
            <v>TR</v>
          </cell>
          <cell r="C57">
            <v>54350.969713178114</v>
          </cell>
        </row>
        <row r="58">
          <cell r="B58" t="str">
            <v>ASE</v>
          </cell>
          <cell r="C58">
            <v>78808.683741253451</v>
          </cell>
        </row>
        <row r="59">
          <cell r="B59" t="str">
            <v>SE</v>
          </cell>
          <cell r="C59">
            <v>102586.76977648804</v>
          </cell>
        </row>
        <row r="60">
          <cell r="B60" t="str">
            <v>ITA</v>
          </cell>
          <cell r="C60">
            <v>126364.85581172263</v>
          </cell>
        </row>
        <row r="61">
          <cell r="B61" t="str">
            <v>BA</v>
          </cell>
          <cell r="C61">
            <v>126364.85581172263</v>
          </cell>
        </row>
        <row r="62">
          <cell r="B62" t="str">
            <v>AST</v>
          </cell>
          <cell r="C62">
            <v>186149.88489622946</v>
          </cell>
        </row>
        <row r="63">
          <cell r="B63" t="str">
            <v>AST/ASC</v>
          </cell>
          <cell r="C63">
            <v>222157.56908835107</v>
          </cell>
        </row>
        <row r="64">
          <cell r="B64" t="str">
            <v>ASC</v>
          </cell>
          <cell r="C64">
            <v>258165.25328047268</v>
          </cell>
        </row>
        <row r="65">
          <cell r="B65" t="str">
            <v>CON</v>
          </cell>
          <cell r="C65">
            <v>423933.70981997269</v>
          </cell>
        </row>
        <row r="66">
          <cell r="B66" t="str">
            <v>SRC</v>
          </cell>
          <cell r="C66">
            <v>536710.45263197611</v>
          </cell>
        </row>
        <row r="67">
          <cell r="B67" t="str">
            <v>SMG</v>
          </cell>
          <cell r="C67">
            <v>771777.24787005503</v>
          </cell>
        </row>
        <row r="68">
          <cell r="B68" t="str">
            <v>VP</v>
          </cell>
          <cell r="C68">
            <v>0</v>
          </cell>
        </row>
        <row r="70">
          <cell r="B70" t="str">
            <v>2020-21</v>
          </cell>
          <cell r="C70">
            <v>0</v>
          </cell>
        </row>
        <row r="71">
          <cell r="B71" t="str">
            <v>Grade</v>
          </cell>
          <cell r="C71" t="str">
            <v>Rate</v>
          </cell>
        </row>
        <row r="72">
          <cell r="B72" t="str">
            <v>YG/YD</v>
          </cell>
          <cell r="C72">
            <v>59970.859981520727</v>
          </cell>
        </row>
        <row r="73">
          <cell r="B73" t="str">
            <v>TR</v>
          </cell>
          <cell r="C73">
            <v>59970.859981520727</v>
          </cell>
        </row>
        <row r="74">
          <cell r="B74" t="str">
            <v>ASE</v>
          </cell>
          <cell r="C74">
            <v>86957.501640099057</v>
          </cell>
        </row>
        <row r="75">
          <cell r="B75" t="str">
            <v>SE</v>
          </cell>
          <cell r="C75">
            <v>113194.2417713769</v>
          </cell>
        </row>
        <row r="76">
          <cell r="B76" t="str">
            <v>ITA</v>
          </cell>
          <cell r="C76">
            <v>139430.98190265475</v>
          </cell>
        </row>
        <row r="77">
          <cell r="B77" t="str">
            <v>BA</v>
          </cell>
          <cell r="C77">
            <v>139430.98190265475</v>
          </cell>
        </row>
        <row r="78">
          <cell r="B78" t="str">
            <v>AST</v>
          </cell>
          <cell r="C78">
            <v>205397.78299449958</v>
          </cell>
        </row>
        <row r="79">
          <cell r="B79" t="str">
            <v>AST/ASC</v>
          </cell>
          <cell r="C79">
            <v>245128.66173208656</v>
          </cell>
        </row>
        <row r="80">
          <cell r="B80" t="str">
            <v>ASC</v>
          </cell>
          <cell r="C80">
            <v>284859.54046967352</v>
          </cell>
        </row>
        <row r="81">
          <cell r="B81" t="str">
            <v>CON</v>
          </cell>
          <cell r="C81">
            <v>467768.45541535784</v>
          </cell>
        </row>
        <row r="82">
          <cell r="B82" t="str">
            <v>SRC</v>
          </cell>
          <cell r="C82">
            <v>592206.31343412236</v>
          </cell>
        </row>
        <row r="83">
          <cell r="B83" t="str">
            <v>SMG</v>
          </cell>
          <cell r="C83">
            <v>851579.01529981871</v>
          </cell>
        </row>
        <row r="84">
          <cell r="B84" t="str">
            <v>VP</v>
          </cell>
          <cell r="C84">
            <v>0</v>
          </cell>
        </row>
        <row r="86">
          <cell r="B86" t="str">
            <v>2021-22</v>
          </cell>
          <cell r="C86">
            <v>0</v>
          </cell>
        </row>
        <row r="87">
          <cell r="B87" t="str">
            <v>Grade</v>
          </cell>
          <cell r="C87" t="str">
            <v>Rate</v>
          </cell>
        </row>
        <row r="88">
          <cell r="B88" t="str">
            <v>YG/YD</v>
          </cell>
          <cell r="C88">
            <v>66171.84690360997</v>
          </cell>
        </row>
        <row r="89">
          <cell r="B89" t="str">
            <v>TR</v>
          </cell>
          <cell r="C89">
            <v>66171.84690360997</v>
          </cell>
        </row>
        <row r="90">
          <cell r="B90" t="str">
            <v>ASE</v>
          </cell>
          <cell r="C90">
            <v>95948.907309685295</v>
          </cell>
        </row>
        <row r="91">
          <cell r="B91" t="str">
            <v>SE</v>
          </cell>
          <cell r="C91">
            <v>124898.52637053726</v>
          </cell>
        </row>
        <row r="92">
          <cell r="B92" t="str">
            <v>ITA</v>
          </cell>
          <cell r="C92">
            <v>153848.14543138925</v>
          </cell>
        </row>
        <row r="93">
          <cell r="B93" t="str">
            <v>BA</v>
          </cell>
          <cell r="C93">
            <v>153848.14543138925</v>
          </cell>
        </row>
        <row r="94">
          <cell r="B94" t="str">
            <v>AST</v>
          </cell>
          <cell r="C94">
            <v>226635.91375613082</v>
          </cell>
        </row>
        <row r="95">
          <cell r="B95" t="str">
            <v>AST/ASC</v>
          </cell>
          <cell r="C95">
            <v>270474.96535518428</v>
          </cell>
        </row>
        <row r="96">
          <cell r="B96" t="str">
            <v>ASC</v>
          </cell>
          <cell r="C96">
            <v>314314.01695423777</v>
          </cell>
        </row>
        <row r="97">
          <cell r="B97" t="str">
            <v>CON</v>
          </cell>
          <cell r="C97">
            <v>516135.71370530582</v>
          </cell>
        </row>
        <row r="98">
          <cell r="B98" t="str">
            <v>SRC</v>
          </cell>
          <cell r="C98">
            <v>653440.44624321058</v>
          </cell>
        </row>
        <row r="99">
          <cell r="B99" t="str">
            <v>SMG</v>
          </cell>
          <cell r="C99">
            <v>939632.28548181988</v>
          </cell>
        </row>
        <row r="100">
          <cell r="B100" t="str">
            <v>VP</v>
          </cell>
          <cell r="C100">
            <v>0</v>
          </cell>
        </row>
        <row r="102">
          <cell r="B102" t="str">
            <v>2022-23</v>
          </cell>
          <cell r="C102">
            <v>0</v>
          </cell>
        </row>
        <row r="103">
          <cell r="B103" t="str">
            <v>Grade</v>
          </cell>
          <cell r="C103" t="str">
            <v>Rate</v>
          </cell>
        </row>
        <row r="104">
          <cell r="B104" t="str">
            <v>YG/YD</v>
          </cell>
          <cell r="C104">
            <v>73014.015873443233</v>
          </cell>
        </row>
        <row r="105">
          <cell r="B105" t="str">
            <v>TR</v>
          </cell>
          <cell r="C105">
            <v>73014.015873443233</v>
          </cell>
        </row>
        <row r="106">
          <cell r="B106" t="str">
            <v>ASE</v>
          </cell>
          <cell r="C106">
            <v>105870.02432550675</v>
          </cell>
        </row>
        <row r="107">
          <cell r="B107" t="str">
            <v>SE</v>
          </cell>
          <cell r="C107">
            <v>137813.03399725081</v>
          </cell>
        </row>
        <row r="108">
          <cell r="B108" t="str">
            <v>ITA</v>
          </cell>
          <cell r="C108">
            <v>169756.04366899488</v>
          </cell>
        </row>
        <row r="109">
          <cell r="B109" t="str">
            <v>BA</v>
          </cell>
          <cell r="C109">
            <v>169756.04366899488</v>
          </cell>
        </row>
        <row r="110">
          <cell r="B110" t="str">
            <v>AST</v>
          </cell>
          <cell r="C110">
            <v>250070.06723851472</v>
          </cell>
        </row>
        <row r="111">
          <cell r="B111" t="str">
            <v>AST/ASC</v>
          </cell>
          <cell r="C111">
            <v>298442.07677291031</v>
          </cell>
        </row>
        <row r="112">
          <cell r="B112" t="str">
            <v>ASC</v>
          </cell>
          <cell r="C112">
            <v>346814.08630730596</v>
          </cell>
        </row>
        <row r="113">
          <cell r="B113" t="str">
            <v>CON</v>
          </cell>
          <cell r="C113">
            <v>569504.14650243439</v>
          </cell>
        </row>
        <row r="114">
          <cell r="B114" t="str">
            <v>SRC</v>
          </cell>
          <cell r="C114">
            <v>721006.18838475854</v>
          </cell>
        </row>
        <row r="115">
          <cell r="B115" t="str">
            <v>SMG</v>
          </cell>
          <cell r="C115">
            <v>1036790.26380064</v>
          </cell>
        </row>
        <row r="116">
          <cell r="B116" t="str">
            <v>VP</v>
          </cell>
          <cell r="C116">
            <v>0</v>
          </cell>
        </row>
        <row r="118">
          <cell r="B118" t="str">
            <v>2023-24</v>
          </cell>
          <cell r="C118">
            <v>0</v>
          </cell>
        </row>
        <row r="119">
          <cell r="B119" t="str">
            <v>Grade</v>
          </cell>
          <cell r="C119" t="str">
            <v>Rate</v>
          </cell>
        </row>
        <row r="120">
          <cell r="B120" t="str">
            <v>YG/YD</v>
          </cell>
          <cell r="C120">
            <v>80563.665114757256</v>
          </cell>
        </row>
        <row r="121">
          <cell r="B121" t="str">
            <v>TR</v>
          </cell>
          <cell r="C121">
            <v>80563.665114757256</v>
          </cell>
        </row>
        <row r="122">
          <cell r="B122" t="str">
            <v>ASE</v>
          </cell>
          <cell r="C122">
            <v>116816.98484076414</v>
          </cell>
        </row>
        <row r="123">
          <cell r="B123" t="str">
            <v>SE</v>
          </cell>
          <cell r="C123">
            <v>152062.90171256653</v>
          </cell>
        </row>
        <row r="124">
          <cell r="B124" t="str">
            <v>ITA</v>
          </cell>
          <cell r="C124">
            <v>187308.81858436894</v>
          </cell>
        </row>
        <row r="125">
          <cell r="B125" t="str">
            <v>BA</v>
          </cell>
          <cell r="C125">
            <v>187308.81858436894</v>
          </cell>
        </row>
        <row r="126">
          <cell r="B126" t="str">
            <v>AST</v>
          </cell>
          <cell r="C126">
            <v>275927.3121909771</v>
          </cell>
        </row>
        <row r="127">
          <cell r="B127" t="str">
            <v>AST/ASC</v>
          </cell>
          <cell r="C127">
            <v>329300.98751122924</v>
          </cell>
        </row>
        <row r="128">
          <cell r="B128" t="str">
            <v>ASC</v>
          </cell>
          <cell r="C128">
            <v>382674.66283148137</v>
          </cell>
        </row>
        <row r="129">
          <cell r="B129" t="str">
            <v>CON</v>
          </cell>
          <cell r="C129">
            <v>628390.87525078608</v>
          </cell>
        </row>
        <row r="130">
          <cell r="B130" t="str">
            <v>SRC</v>
          </cell>
          <cell r="C130">
            <v>795558.22826374252</v>
          </cell>
        </row>
        <row r="131">
          <cell r="B131" t="str">
            <v>SMG</v>
          </cell>
          <cell r="C131">
            <v>1143994.3770776261</v>
          </cell>
        </row>
        <row r="132">
          <cell r="B132" t="str">
            <v>VP</v>
          </cell>
          <cell r="C132">
            <v>0</v>
          </cell>
        </row>
        <row r="134">
          <cell r="B134" t="str">
            <v>2024-25</v>
          </cell>
          <cell r="C134">
            <v>0</v>
          </cell>
        </row>
        <row r="135">
          <cell r="B135" t="str">
            <v>Grade</v>
          </cell>
          <cell r="C135" t="str">
            <v>Rate</v>
          </cell>
        </row>
        <row r="136">
          <cell r="B136" t="str">
            <v>YG/YD</v>
          </cell>
          <cell r="C136">
            <v>88893.948087623154</v>
          </cell>
        </row>
        <row r="137">
          <cell r="B137" t="str">
            <v>TR</v>
          </cell>
          <cell r="C137">
            <v>88893.948087623154</v>
          </cell>
        </row>
        <row r="138">
          <cell r="B138" t="str">
            <v>ASE</v>
          </cell>
          <cell r="C138">
            <v>128895.86107329915</v>
          </cell>
        </row>
        <row r="139">
          <cell r="B139" t="str">
            <v>SE</v>
          </cell>
          <cell r="C139">
            <v>167786.20574964589</v>
          </cell>
        </row>
        <row r="140">
          <cell r="B140" t="str">
            <v>ITA</v>
          </cell>
          <cell r="C140">
            <v>206676.55042599267</v>
          </cell>
        </row>
        <row r="141">
          <cell r="B141" t="str">
            <v>BA</v>
          </cell>
          <cell r="C141">
            <v>206676.55042599267</v>
          </cell>
        </row>
        <row r="142">
          <cell r="B142" t="str">
            <v>AST</v>
          </cell>
          <cell r="C142">
            <v>304458.19627152412</v>
          </cell>
        </row>
        <row r="143">
          <cell r="B143" t="str">
            <v>AST/ASC</v>
          </cell>
          <cell r="C143">
            <v>363350.70961989032</v>
          </cell>
        </row>
        <row r="144">
          <cell r="B144" t="str">
            <v>ASC</v>
          </cell>
          <cell r="C144">
            <v>422243.22296825651</v>
          </cell>
        </row>
        <row r="145">
          <cell r="B145" t="str">
            <v>CON</v>
          </cell>
          <cell r="C145">
            <v>693366.49175171729</v>
          </cell>
        </row>
        <row r="146">
          <cell r="B146" t="str">
            <v>SRC</v>
          </cell>
          <cell r="C146">
            <v>877818.94906621345</v>
          </cell>
        </row>
        <row r="147">
          <cell r="B147" t="str">
            <v>SMG</v>
          </cell>
          <cell r="C147">
            <v>1262283.3956674526</v>
          </cell>
        </row>
        <row r="148">
          <cell r="B148" t="str">
            <v>VP</v>
          </cell>
          <cell r="C148">
            <v>0</v>
          </cell>
        </row>
        <row r="150">
          <cell r="B150" t="str">
            <v>2025-26</v>
          </cell>
          <cell r="C150">
            <v>0</v>
          </cell>
        </row>
        <row r="151">
          <cell r="B151" t="str">
            <v>Grade</v>
          </cell>
          <cell r="C151" t="str">
            <v>Rate</v>
          </cell>
        </row>
        <row r="152">
          <cell r="B152" t="str">
            <v>YG/YD</v>
          </cell>
          <cell r="C152">
            <v>98085.582319883382</v>
          </cell>
        </row>
        <row r="153">
          <cell r="B153" t="str">
            <v>TR</v>
          </cell>
          <cell r="C153">
            <v>98085.582319883382</v>
          </cell>
        </row>
        <row r="154">
          <cell r="B154" t="str">
            <v>ASE</v>
          </cell>
          <cell r="C154">
            <v>142223.69310827827</v>
          </cell>
        </row>
        <row r="155">
          <cell r="B155" t="str">
            <v>SE</v>
          </cell>
          <cell r="C155">
            <v>185135.29942415925</v>
          </cell>
        </row>
        <row r="156">
          <cell r="B156" t="str">
            <v>ITA</v>
          </cell>
          <cell r="C156">
            <v>228046.9057400403</v>
          </cell>
        </row>
        <row r="157">
          <cell r="B157" t="str">
            <v>BA</v>
          </cell>
          <cell r="C157">
            <v>228046.9057400403</v>
          </cell>
        </row>
        <row r="158">
          <cell r="B158" t="str">
            <v>AST</v>
          </cell>
          <cell r="C158">
            <v>335939.17376599967</v>
          </cell>
        </row>
        <row r="159">
          <cell r="B159" t="str">
            <v>AST/ASC</v>
          </cell>
          <cell r="C159">
            <v>400921.17299458693</v>
          </cell>
        </row>
        <row r="160">
          <cell r="B160" t="str">
            <v>ASC</v>
          </cell>
          <cell r="C160">
            <v>465903.17222317419</v>
          </cell>
        </row>
        <row r="161">
          <cell r="B161" t="str">
            <v>CON</v>
          </cell>
          <cell r="C161">
            <v>765060.58699884487</v>
          </cell>
        </row>
        <row r="162">
          <cell r="B162" t="str">
            <v>SRC</v>
          </cell>
          <cell r="C162">
            <v>968585.42839965981</v>
          </cell>
        </row>
        <row r="163">
          <cell r="B163" t="str">
            <v>SMG</v>
          </cell>
          <cell r="C163">
            <v>1392803.4987794671</v>
          </cell>
        </row>
        <row r="164">
          <cell r="B164" t="str">
            <v>VP</v>
          </cell>
          <cell r="C164">
            <v>0</v>
          </cell>
        </row>
        <row r="166">
          <cell r="B166" t="str">
            <v>2026-27</v>
          </cell>
          <cell r="C166">
            <v>0</v>
          </cell>
        </row>
        <row r="167">
          <cell r="B167" t="str">
            <v>Grade</v>
          </cell>
          <cell r="C167" t="str">
            <v>Rate</v>
          </cell>
        </row>
        <row r="168">
          <cell r="B168" t="str">
            <v>YG/YD</v>
          </cell>
          <cell r="C168">
            <v>108227.63153175931</v>
          </cell>
        </row>
        <row r="169">
          <cell r="B169" t="str">
            <v>TR</v>
          </cell>
          <cell r="C169">
            <v>108227.63153175931</v>
          </cell>
        </row>
        <row r="170">
          <cell r="B170" t="str">
            <v>ASE</v>
          </cell>
          <cell r="C170">
            <v>156929.62297567423</v>
          </cell>
        </row>
        <row r="171">
          <cell r="B171" t="str">
            <v>SE</v>
          </cell>
          <cell r="C171">
            <v>204278.2893846173</v>
          </cell>
        </row>
        <row r="172">
          <cell r="B172" t="str">
            <v>ITA</v>
          </cell>
          <cell r="C172">
            <v>251626.95579356045</v>
          </cell>
        </row>
        <row r="173">
          <cell r="B173" t="str">
            <v>BA</v>
          </cell>
          <cell r="C173">
            <v>251626.95579356045</v>
          </cell>
        </row>
        <row r="174">
          <cell r="B174" t="str">
            <v>AST</v>
          </cell>
          <cell r="C174">
            <v>370675.28433340404</v>
          </cell>
        </row>
        <row r="175">
          <cell r="B175" t="str">
            <v>AST/ASC</v>
          </cell>
          <cell r="C175">
            <v>442376.4222822272</v>
          </cell>
        </row>
        <row r="176">
          <cell r="B176" t="str">
            <v>ASC</v>
          </cell>
          <cell r="C176">
            <v>514077.56023105036</v>
          </cell>
        </row>
        <row r="177">
          <cell r="B177" t="str">
            <v>CON</v>
          </cell>
          <cell r="C177">
            <v>844167.85169452534</v>
          </cell>
        </row>
        <row r="178">
          <cell r="B178" t="str">
            <v>SRC</v>
          </cell>
          <cell r="C178">
            <v>1068737.1616961847</v>
          </cell>
        </row>
        <row r="179">
          <cell r="B179" t="str">
            <v>SMG</v>
          </cell>
          <cell r="C179">
            <v>1536819.3805532639</v>
          </cell>
        </row>
        <row r="180">
          <cell r="B180" t="str">
            <v>VP</v>
          </cell>
          <cell r="C180">
            <v>0</v>
          </cell>
        </row>
        <row r="182">
          <cell r="B182" t="str">
            <v>2027-28</v>
          </cell>
          <cell r="C182">
            <v>0</v>
          </cell>
        </row>
        <row r="183">
          <cell r="B183" t="str">
            <v>Grade</v>
          </cell>
          <cell r="C183" t="str">
            <v>Rate</v>
          </cell>
        </row>
        <row r="184">
          <cell r="B184" t="str">
            <v>YG/YD</v>
          </cell>
          <cell r="C184">
            <v>119418.36863214322</v>
          </cell>
        </row>
        <row r="185">
          <cell r="B185" t="str">
            <v>TR</v>
          </cell>
          <cell r="C185">
            <v>119418.36863214322</v>
          </cell>
        </row>
        <row r="186">
          <cell r="B186" t="str">
            <v>ASE</v>
          </cell>
          <cell r="C186">
            <v>173156.14599135894</v>
          </cell>
        </row>
        <row r="187">
          <cell r="B187" t="str">
            <v>SE</v>
          </cell>
          <cell r="C187">
            <v>225400.66450698671</v>
          </cell>
        </row>
        <row r="188">
          <cell r="B188" t="str">
            <v>ITA</v>
          </cell>
          <cell r="C188">
            <v>277645.18302261457</v>
          </cell>
        </row>
        <row r="189">
          <cell r="B189" t="str">
            <v>BA</v>
          </cell>
          <cell r="C189">
            <v>277645.18302261457</v>
          </cell>
        </row>
        <row r="190">
          <cell r="B190" t="str">
            <v>AST</v>
          </cell>
          <cell r="C190">
            <v>409003.108733478</v>
          </cell>
        </row>
        <row r="191">
          <cell r="B191" t="str">
            <v>AST/ASC</v>
          </cell>
          <cell r="C191">
            <v>488118.14434620948</v>
          </cell>
        </row>
        <row r="192">
          <cell r="B192" t="str">
            <v>ASC</v>
          </cell>
          <cell r="C192">
            <v>567233.17995894095</v>
          </cell>
        </row>
        <row r="193">
          <cell r="B193" t="str">
            <v>CON</v>
          </cell>
          <cell r="C193">
            <v>931454.80755973922</v>
          </cell>
        </row>
        <row r="194">
          <cell r="B194" t="str">
            <v>SRC</v>
          </cell>
          <cell r="C194">
            <v>1179244.58421557</v>
          </cell>
        </row>
        <row r="195">
          <cell r="B195" t="str">
            <v>SMG</v>
          </cell>
          <cell r="C195">
            <v>1695726.5045024713</v>
          </cell>
        </row>
        <row r="196">
          <cell r="B196" t="str">
            <v>VP</v>
          </cell>
          <cell r="C196">
            <v>0</v>
          </cell>
        </row>
      </sheetData>
      <sheetData sheetId="14"/>
      <sheetData sheetId="15"/>
      <sheetData sheetId="16"/>
      <sheetData sheetId="17" refreshError="1"/>
      <sheetData sheetId="18" refreshError="1"/>
      <sheetData sheetId="19"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afe specs"/>
      <sheetName val="d_safe specs"/>
      <sheetName val="d-safe DELUXE"/>
      <sheetName val="SPT vs PHI"/>
      <sheetName val="Final Bill of Material"/>
      <sheetName val="계정"/>
      <sheetName val="Storage"/>
      <sheetName val="CABLE DATA"/>
      <sheetName val="Boq"/>
      <sheetName val="Sheet1"/>
      <sheetName val="syndicate codes"/>
      <sheetName val="RCC,Ret. Wall"/>
      <sheetName val="ABB"/>
      <sheetName val="GE"/>
      <sheetName val="Headings"/>
      <sheetName val="INDIGINEOUS ITEMS "/>
      <sheetName val="Lead"/>
      <sheetName val="Formulas"/>
      <sheetName val="Civil Works"/>
      <sheetName val="flooring"/>
      <sheetName val="LIST OF MAKES"/>
      <sheetName val="Cost_Any."/>
      <sheetName val="Mat_Cost"/>
      <sheetName val="PRECAST lightconc-II"/>
      <sheetName val="Inputs &amp; Assumptions(DC)"/>
      <sheetName val="Inter unit set off"/>
      <sheetName val="Lists &amp; Lookup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packagetbason15.4"/>
      <sheetName val="Trialbal"/>
      <sheetName val="Sheet1"/>
      <sheetName val="BS"/>
      <sheetName val="PL"/>
      <sheetName val="Cash flow"/>
      <sheetName val="Sch1"/>
      <sheetName val="Sch 2"/>
      <sheetName val="Sch 3,4,5"/>
      <sheetName val="Sch 6"/>
      <sheetName val="Sch 7"/>
      <sheetName val="Sch8,9&amp;10"/>
      <sheetName val="sch11"/>
      <sheetName val=" Tax provision "/>
      <sheetName val="EPS"/>
      <sheetName val="Abstract "/>
      <sheetName val="Grouping P&amp;L"/>
      <sheetName val="Grouping BS"/>
      <sheetName val="Cost breakup"/>
      <sheetName val="Assets &amp; Liab"/>
      <sheetName val="TB050204Final"/>
      <sheetName val="Abstract"/>
      <sheetName val="sch3&amp;9grp"/>
      <sheetName val="sch3&amp;9gr"/>
      <sheetName val="sch7grp"/>
      <sheetName val="sch10grp"/>
      <sheetName val="sch11grp"/>
      <sheetName val="sch12grup"/>
      <sheetName val="Sch14grp"/>
      <sheetName val="staffsch14grp"/>
      <sheetName val="sch15grp"/>
      <sheetName val="FA GRP"/>
      <sheetName val="CF final"/>
      <sheetName val="Inter unit set off"/>
      <sheetName val="d-safe specs"/>
      <sheetName val="Cost sheet - Summary "/>
    </sheetNames>
    <sheetDataSet>
      <sheetData sheetId="0" refreshError="1"/>
      <sheetData sheetId="1" refreshError="1"/>
      <sheetData sheetId="2" refreshError="1"/>
      <sheetData sheetId="3" refreshError="1"/>
      <sheetData sheetId="4" refreshError="1"/>
      <sheetData sheetId="5" refreshError="1">
        <row r="11">
          <cell r="L11">
            <v>5705431.1299999999</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it Rates"/>
      <sheetName val="Summary Sheet"/>
      <sheetName val="Factors"/>
      <sheetName val="Desktop MA"/>
      <sheetName val="EML Routers"/>
      <sheetName val="EML LTO &amp; SAN"/>
      <sheetName val="EML Switches"/>
      <sheetName val="EMLHubs"/>
      <sheetName val="EMLServers"/>
      <sheetName val="EMLWorkstations"/>
      <sheetName val="EMLLaptops"/>
      <sheetName val="EML Lasers &amp; Plotters"/>
      <sheetName val="EML Deskjet"/>
      <sheetName val="EML Dot Matrix"/>
      <sheetName val="EML Scanner"/>
      <sheetName val="EML Misc"/>
      <sheetName val="EML RO Laptop"/>
      <sheetName val="Plant UPS"/>
      <sheetName val="RO UPS"/>
      <sheetName val="SATKAR DEMM"/>
      <sheetName val="SATKAR REL"/>
      <sheetName val="SATKAR EML"/>
      <sheetName val="DC Delhi"/>
      <sheetName val="REL Chennai MA"/>
      <sheetName val="REL Chennai OEM"/>
      <sheetName val="EGO Delhi "/>
      <sheetName val="EIL Delhi"/>
      <sheetName val="ROs"/>
      <sheetName val="PL"/>
      <sheetName val="moments-table(tri)"/>
    </sheetNames>
    <sheetDataSet>
      <sheetData sheetId="0"/>
      <sheetData sheetId="1"/>
      <sheetData sheetId="2"/>
      <sheetData sheetId="3"/>
      <sheetData sheetId="4"/>
      <sheetData sheetId="5"/>
      <sheetData sheetId="6"/>
      <sheetData sheetId="7"/>
      <sheetData sheetId="8" refreshError="1">
        <row r="6">
          <cell r="Q6" t="str">
            <v>Windows 2003 Server</v>
          </cell>
        </row>
        <row r="7">
          <cell r="Q7" t="str">
            <v>Windows 2003 Server</v>
          </cell>
        </row>
        <row r="8">
          <cell r="Q8" t="str">
            <v>Windows 98</v>
          </cell>
        </row>
        <row r="10">
          <cell r="Q10" t="str">
            <v>Windows NT 4.0 Server</v>
          </cell>
        </row>
        <row r="11">
          <cell r="Q11" t="str">
            <v>Windows NT 4.0 Server</v>
          </cell>
        </row>
        <row r="12">
          <cell r="Q12" t="str">
            <v>Windows 2000 Server</v>
          </cell>
        </row>
        <row r="13">
          <cell r="Q13" t="str">
            <v>Windows 2000 Server</v>
          </cell>
        </row>
        <row r="14">
          <cell r="Q14" t="str">
            <v>Windows NT 4.0 Server</v>
          </cell>
        </row>
        <row r="15">
          <cell r="Q15" t="str">
            <v>Windows 2003 Server</v>
          </cell>
        </row>
        <row r="16">
          <cell r="Q16" t="str">
            <v>Windows 2000 Server</v>
          </cell>
        </row>
        <row r="17">
          <cell r="Q17" t="str">
            <v>Windows 2003 Server</v>
          </cell>
        </row>
        <row r="18">
          <cell r="Q18" t="str">
            <v>Windows 2000 Server</v>
          </cell>
        </row>
        <row r="21">
          <cell r="Q21" t="str">
            <v>Windows 2000 Server</v>
          </cell>
        </row>
      </sheetData>
      <sheetData sheetId="9" refreshError="1">
        <row r="4">
          <cell r="O4" t="str">
            <v>Windows 2000 Pro</v>
          </cell>
        </row>
        <row r="5">
          <cell r="O5" t="str">
            <v>Windows 2000 Pro</v>
          </cell>
        </row>
        <row r="6">
          <cell r="O6" t="str">
            <v>Windows NT 4.0 WKS</v>
          </cell>
        </row>
        <row r="7">
          <cell r="O7" t="str">
            <v>Windows NT 4.0 WKS</v>
          </cell>
        </row>
        <row r="8">
          <cell r="O8" t="str">
            <v>Windows 2000 Pro</v>
          </cell>
        </row>
        <row r="9">
          <cell r="O9" t="str">
            <v>Windows 2000 Pro</v>
          </cell>
        </row>
        <row r="10">
          <cell r="O10" t="str">
            <v>Windows 2000 Pro</v>
          </cell>
        </row>
        <row r="11">
          <cell r="O11" t="str">
            <v>Windows 2000 Pro</v>
          </cell>
        </row>
        <row r="12">
          <cell r="O12" t="str">
            <v>Windows 2000 Pro</v>
          </cell>
        </row>
        <row r="13">
          <cell r="O13" t="str">
            <v>Windows 2000 Pro</v>
          </cell>
        </row>
        <row r="14">
          <cell r="O14" t="str">
            <v>Windows 2000 Pro</v>
          </cell>
        </row>
        <row r="15">
          <cell r="O15" t="str">
            <v>Windows 2000 Pro</v>
          </cell>
        </row>
        <row r="16">
          <cell r="O16" t="str">
            <v>Windows 2000 Pro</v>
          </cell>
        </row>
        <row r="17">
          <cell r="O17" t="str">
            <v>Windows 2000 Pro</v>
          </cell>
        </row>
        <row r="18">
          <cell r="O18" t="str">
            <v>Windows 2000 Pro</v>
          </cell>
        </row>
        <row r="19">
          <cell r="O19" t="str">
            <v>Windows 2000 Pro</v>
          </cell>
        </row>
        <row r="20">
          <cell r="O20" t="str">
            <v>Windows 2000 Pro</v>
          </cell>
        </row>
        <row r="21">
          <cell r="O21" t="str">
            <v>Windows 2000 Pro</v>
          </cell>
        </row>
        <row r="22">
          <cell r="O22" t="str">
            <v>Windows 2000 Pro</v>
          </cell>
        </row>
        <row r="23">
          <cell r="O23" t="str">
            <v>Windows 2000 Pro</v>
          </cell>
        </row>
        <row r="24">
          <cell r="O24" t="str">
            <v>Windows 2000 Pro</v>
          </cell>
        </row>
        <row r="25">
          <cell r="O25" t="str">
            <v>Windows 2000 Pro</v>
          </cell>
        </row>
        <row r="26">
          <cell r="O26" t="str">
            <v>Windows 2000 Pro</v>
          </cell>
        </row>
        <row r="27">
          <cell r="O27" t="str">
            <v>Windows 2000 Pro</v>
          </cell>
        </row>
        <row r="28">
          <cell r="O28" t="str">
            <v>Windows 2000 Pro</v>
          </cell>
        </row>
        <row r="29">
          <cell r="O29" t="str">
            <v>Windows 2000 Pro</v>
          </cell>
        </row>
        <row r="30">
          <cell r="O30" t="str">
            <v>Windows 2000 Pro</v>
          </cell>
        </row>
        <row r="31">
          <cell r="O31" t="str">
            <v>Windows 2000 Pro</v>
          </cell>
        </row>
        <row r="32">
          <cell r="O32" t="str">
            <v>Windows XP Pro.</v>
          </cell>
        </row>
        <row r="33">
          <cell r="O33" t="str">
            <v>Windows XP Pro.</v>
          </cell>
        </row>
        <row r="34">
          <cell r="O34" t="str">
            <v>Windows XP Pro.</v>
          </cell>
        </row>
        <row r="35">
          <cell r="O35" t="str">
            <v>Windows XP Pro.</v>
          </cell>
        </row>
        <row r="36">
          <cell r="O36" t="str">
            <v>Windows XP Pro.</v>
          </cell>
        </row>
      </sheetData>
      <sheetData sheetId="10" refreshError="1">
        <row r="4">
          <cell r="R4" t="str">
            <v>Windows XP Pro</v>
          </cell>
        </row>
        <row r="5">
          <cell r="R5" t="str">
            <v>Windows 98</v>
          </cell>
        </row>
        <row r="6">
          <cell r="R6" t="str">
            <v>Windows 98</v>
          </cell>
        </row>
        <row r="7">
          <cell r="R7" t="str">
            <v>Windows 98</v>
          </cell>
        </row>
        <row r="8">
          <cell r="R8" t="str">
            <v>Windows 98</v>
          </cell>
        </row>
        <row r="9">
          <cell r="R9" t="str">
            <v>Windows XP Pro</v>
          </cell>
        </row>
        <row r="10">
          <cell r="R10" t="str">
            <v>Windows 98</v>
          </cell>
        </row>
        <row r="11">
          <cell r="R11" t="str">
            <v>Windows XP Pro</v>
          </cell>
        </row>
        <row r="12">
          <cell r="R12" t="str">
            <v>Windows XP Pro</v>
          </cell>
        </row>
        <row r="13">
          <cell r="R13" t="str">
            <v>Windows XP Pro</v>
          </cell>
        </row>
        <row r="14">
          <cell r="R14" t="str">
            <v>Windows XP Pro</v>
          </cell>
        </row>
        <row r="15">
          <cell r="R15" t="str">
            <v>Windows XP Pro</v>
          </cell>
        </row>
        <row r="16">
          <cell r="R16" t="str">
            <v>Windows 2000 Pro</v>
          </cell>
        </row>
        <row r="17">
          <cell r="R17" t="str">
            <v>Windows XP Pro</v>
          </cell>
        </row>
        <row r="18">
          <cell r="R18" t="str">
            <v>Windows XP Pro</v>
          </cell>
        </row>
        <row r="19">
          <cell r="R19" t="str">
            <v>Windows XP Pro</v>
          </cell>
        </row>
        <row r="20">
          <cell r="R20" t="str">
            <v>Windows XP Pro</v>
          </cell>
        </row>
        <row r="21">
          <cell r="R21" t="str">
            <v>Windows XP Pro</v>
          </cell>
        </row>
        <row r="22">
          <cell r="R22" t="str">
            <v>Windows XP Pro</v>
          </cell>
        </row>
        <row r="23">
          <cell r="R23" t="str">
            <v>Windows 98</v>
          </cell>
        </row>
        <row r="24">
          <cell r="R24" t="str">
            <v>Windows XP Pro</v>
          </cell>
        </row>
        <row r="25">
          <cell r="R25" t="str">
            <v>Windows XP Pro</v>
          </cell>
        </row>
        <row r="26">
          <cell r="R26" t="str">
            <v>Windows XP Pro</v>
          </cell>
        </row>
        <row r="27">
          <cell r="R27" t="str">
            <v>Windows XP Pro</v>
          </cell>
        </row>
        <row r="28">
          <cell r="R28" t="str">
            <v>Windows XP Pro</v>
          </cell>
        </row>
        <row r="29">
          <cell r="R29" t="str">
            <v>Windows XP Pro</v>
          </cell>
        </row>
        <row r="30">
          <cell r="R30" t="str">
            <v>Windows 95</v>
          </cell>
        </row>
        <row r="31">
          <cell r="R31" t="str">
            <v>Windows 95</v>
          </cell>
        </row>
        <row r="32">
          <cell r="R32" t="str">
            <v>Windows XP Pro</v>
          </cell>
        </row>
        <row r="33">
          <cell r="R33" t="str">
            <v>Windows XP Pro</v>
          </cell>
        </row>
        <row r="34">
          <cell r="R34" t="str">
            <v>Windows XP Pro</v>
          </cell>
        </row>
        <row r="35">
          <cell r="R35" t="str">
            <v>Windows XP Pro</v>
          </cell>
        </row>
        <row r="36">
          <cell r="R36" t="str">
            <v>Windows XP Pro</v>
          </cell>
        </row>
        <row r="37">
          <cell r="R37" t="str">
            <v>Windows XP Pro</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zing Assumptions"/>
      <sheetName val="Volume for Storage Sizing"/>
      <sheetName val="CPU Computation"/>
      <sheetName val="Server Sizing"/>
      <sheetName val="Bw Sizing"/>
      <sheetName val="BoM"/>
      <sheetName val="Config"/>
    </sheetNames>
    <sheetDataSet>
      <sheetData sheetId="0">
        <row r="7">
          <cell r="C7">
            <v>500</v>
          </cell>
        </row>
      </sheetData>
      <sheetData sheetId="1"/>
      <sheetData sheetId="2"/>
      <sheetData sheetId="3"/>
      <sheetData sheetId="4"/>
      <sheetData sheetId="5"/>
      <sheetData sheetId="6"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Publish"/>
      <sheetName val="Sensit"/>
      <sheetName val="ASR 3"/>
      <sheetName val="ASR 3a"/>
      <sheetName val="ASR 4a"/>
      <sheetName val="ASR 4b"/>
      <sheetName val="ASR c"/>
      <sheetName val="ASR 1f"/>
      <sheetName val="Addend 1"/>
      <sheetName val="add info"/>
      <sheetName val="5 years-1"/>
      <sheetName val="5 years-2"/>
      <sheetName val="ASR 5a"/>
      <sheetName val="ASR 5b-d"/>
      <sheetName val="ASR 5e"/>
      <sheetName val="ASR 5f"/>
      <sheetName val="ASR 5g"/>
      <sheetName val="ASR 5h-i"/>
      <sheetName val="ASR 5j"/>
      <sheetName val="ASR 5k"/>
      <sheetName val="ASR 5l"/>
      <sheetName val="ASR 5l (cont)"/>
      <sheetName val="Addend 2"/>
      <sheetName val="Addend 3"/>
      <sheetName val="Sheet1"/>
      <sheetName val="PL"/>
      <sheetName val="EMLWorkstations"/>
      <sheetName val="EMLLaptops"/>
      <sheetName val="EMLServers"/>
      <sheetName val="überblick"/>
      <sheetName val="Links"/>
      <sheetName val="Lead"/>
      <sheetName val="cctv_est1"/>
      <sheetName val="validations"/>
      <sheetName val="Master data"/>
    </sheetNames>
    <sheetDataSet>
      <sheetData sheetId="0" refreshError="1">
        <row r="3">
          <cell r="A3" t="str">
            <v>9998  DSM NV ELIMINATIE</v>
          </cell>
        </row>
        <row r="4">
          <cell r="A4">
            <v>12</v>
          </cell>
        </row>
        <row r="6">
          <cell r="A6">
            <v>2001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dd &amp; co Fdr Tds01-02"/>
      <sheetName val="mdd &amp; co Fdr  Feb02)"/>
      <sheetName val="Company ICD"/>
      <sheetName val="mdd &amp; co Fdr jan.02 "/>
      <sheetName val="TDS sCH"/>
      <sheetName val="mdd &amp; co Fdr Tds00-01"/>
      <sheetName val="money doubling"/>
      <sheetName val="Ref"/>
      <sheetName val="CABLE DATA"/>
      <sheetName val="Controls"/>
      <sheetName val="strip sizing"/>
      <sheetName val="LCS SCHEDULE "/>
      <sheetName val="Inter unit set off"/>
      <sheetName val="Discount"/>
    </sheetNames>
    <sheetDataSet>
      <sheetData sheetId="0" refreshError="1"/>
      <sheetData sheetId="1" refreshError="1"/>
      <sheetData sheetId="2" refreshError="1"/>
      <sheetData sheetId="3" refreshError="1">
        <row r="33">
          <cell r="C33">
            <v>2500000</v>
          </cell>
          <cell r="J33">
            <v>834392.70785440668</v>
          </cell>
        </row>
        <row r="35">
          <cell r="A35" t="str">
            <v>P &amp; S Bank,Ghaziabad Br.</v>
          </cell>
        </row>
        <row r="36">
          <cell r="A36">
            <v>1</v>
          </cell>
          <cell r="B36">
            <v>569215</v>
          </cell>
          <cell r="C36">
            <v>500000</v>
          </cell>
          <cell r="D36">
            <v>10</v>
          </cell>
          <cell r="E36">
            <v>36779</v>
          </cell>
          <cell r="F36">
            <v>37965</v>
          </cell>
          <cell r="G36">
            <v>509</v>
          </cell>
          <cell r="H36">
            <v>5.5780821917808217</v>
          </cell>
          <cell r="J36">
            <v>73837.078681478277</v>
          </cell>
        </row>
        <row r="37">
          <cell r="A37">
            <v>2</v>
          </cell>
          <cell r="B37">
            <v>317416</v>
          </cell>
          <cell r="C37">
            <v>500000</v>
          </cell>
          <cell r="D37">
            <v>10</v>
          </cell>
          <cell r="E37">
            <v>36912</v>
          </cell>
          <cell r="F37">
            <v>38098</v>
          </cell>
          <cell r="G37">
            <v>376</v>
          </cell>
          <cell r="H37">
            <v>4.1205479452054794</v>
          </cell>
          <cell r="J37">
            <v>53551.721647092956</v>
          </cell>
        </row>
        <row r="38">
          <cell r="C38">
            <v>1000000</v>
          </cell>
          <cell r="J38">
            <v>127388.80032857123</v>
          </cell>
        </row>
        <row r="40">
          <cell r="C40">
            <v>948720099</v>
          </cell>
          <cell r="D40" t="str">
            <v>current FDR</v>
          </cell>
          <cell r="E40">
            <v>544720099</v>
          </cell>
          <cell r="I40">
            <v>12678383.458619684</v>
          </cell>
          <cell r="J40">
            <v>202842985.45861968</v>
          </cell>
        </row>
        <row r="42">
          <cell r="F42">
            <v>4140027.458619684</v>
          </cell>
          <cell r="G42" t="str">
            <v>Int. Acc For The Month</v>
          </cell>
        </row>
        <row r="43">
          <cell r="A43" t="str">
            <v>MOTHER DAIRYFRUIT &amp; VEGETABLE LIMITED</v>
          </cell>
        </row>
        <row r="45">
          <cell r="A45" t="str">
            <v>STAEMENT OF  FIXED DEPOSITS WITH State Bank of India</v>
          </cell>
        </row>
        <row r="47">
          <cell r="J47">
            <v>37287</v>
          </cell>
        </row>
        <row r="48">
          <cell r="A48" t="str">
            <v>SN.</v>
          </cell>
          <cell r="B48" t="str">
            <v>FDRN.</v>
          </cell>
          <cell r="C48" t="str">
            <v>AMT.OF FDR</v>
          </cell>
          <cell r="D48" t="str">
            <v>INT.RT.</v>
          </cell>
          <cell r="E48" t="str">
            <v>Issue Dt</v>
          </cell>
          <cell r="F48" t="str">
            <v>Maturity Dt</v>
          </cell>
          <cell r="G48" t="str">
            <v>DAYS</v>
          </cell>
          <cell r="H48" t="str">
            <v>QTR.</v>
          </cell>
          <cell r="I48" t="str">
            <v>Maturity Day</v>
          </cell>
          <cell r="J48" t="str">
            <v>INT.ACC.RS.</v>
          </cell>
        </row>
        <row r="49">
          <cell r="A49">
            <v>1</v>
          </cell>
          <cell r="B49" t="str">
            <v>Under B/G</v>
          </cell>
          <cell r="C49">
            <v>15000</v>
          </cell>
          <cell r="D49">
            <v>9.5</v>
          </cell>
          <cell r="E49">
            <v>36731</v>
          </cell>
          <cell r="F49">
            <v>37735</v>
          </cell>
          <cell r="G49">
            <v>557</v>
          </cell>
          <cell r="H49">
            <v>6.1041095890410961</v>
          </cell>
          <cell r="J49">
            <v>2310.7558815618613</v>
          </cell>
        </row>
        <row r="50">
          <cell r="A50">
            <v>2</v>
          </cell>
          <cell r="B50" t="str">
            <v>Under B/G</v>
          </cell>
          <cell r="C50">
            <v>30000</v>
          </cell>
          <cell r="D50">
            <v>10</v>
          </cell>
          <cell r="E50">
            <v>36949</v>
          </cell>
          <cell r="F50">
            <v>38134</v>
          </cell>
          <cell r="G50">
            <v>339</v>
          </cell>
          <cell r="H50">
            <v>3.7150684931506848</v>
          </cell>
          <cell r="J50">
            <v>2882.2213992476609</v>
          </cell>
        </row>
        <row r="51">
          <cell r="A51">
            <v>3</v>
          </cell>
          <cell r="B51" t="str">
            <v>Under B/G</v>
          </cell>
          <cell r="C51">
            <v>15000</v>
          </cell>
          <cell r="D51">
            <v>10</v>
          </cell>
          <cell r="E51">
            <v>36949</v>
          </cell>
          <cell r="F51">
            <v>38134</v>
          </cell>
          <cell r="G51">
            <v>339</v>
          </cell>
          <cell r="H51">
            <v>3.7150684931506848</v>
          </cell>
          <cell r="J51">
            <v>1441.1106996238304</v>
          </cell>
        </row>
        <row r="52">
          <cell r="A52">
            <v>4</v>
          </cell>
          <cell r="B52" t="str">
            <v>Under B/G</v>
          </cell>
          <cell r="C52">
            <v>15000</v>
          </cell>
          <cell r="D52">
            <v>9.5</v>
          </cell>
          <cell r="E52">
            <v>36622</v>
          </cell>
          <cell r="F52">
            <v>38448</v>
          </cell>
          <cell r="G52">
            <v>666</v>
          </cell>
          <cell r="H52">
            <v>7.2986301369863016</v>
          </cell>
          <cell r="J52">
            <v>2802.9869133477841</v>
          </cell>
        </row>
        <row r="53">
          <cell r="A53">
            <v>5</v>
          </cell>
          <cell r="B53" t="str">
            <v>Under B/G</v>
          </cell>
          <cell r="C53">
            <v>2000000</v>
          </cell>
          <cell r="D53">
            <v>9.5</v>
          </cell>
          <cell r="E53">
            <v>36634</v>
          </cell>
          <cell r="F53">
            <v>38490</v>
          </cell>
          <cell r="G53">
            <v>654</v>
          </cell>
          <cell r="H53">
            <v>7.1671232876712327</v>
          </cell>
          <cell r="J53">
            <v>366415.70872788364</v>
          </cell>
        </row>
        <row r="54">
          <cell r="A54">
            <v>6</v>
          </cell>
          <cell r="B54">
            <v>201072</v>
          </cell>
          <cell r="C54">
            <v>10000000</v>
          </cell>
          <cell r="D54">
            <v>10.75</v>
          </cell>
          <cell r="E54">
            <v>36878</v>
          </cell>
          <cell r="F54">
            <v>37973</v>
          </cell>
          <cell r="G54">
            <v>410</v>
          </cell>
          <cell r="H54">
            <v>4.493150684931507</v>
          </cell>
          <cell r="J54">
            <v>1265493.620353153</v>
          </cell>
        </row>
        <row r="55">
          <cell r="A55">
            <v>7</v>
          </cell>
          <cell r="B55">
            <v>201201</v>
          </cell>
          <cell r="C55">
            <v>250000000</v>
          </cell>
          <cell r="D55">
            <v>10.75</v>
          </cell>
          <cell r="E55">
            <v>36930</v>
          </cell>
          <cell r="F55">
            <v>38025</v>
          </cell>
          <cell r="G55">
            <v>358</v>
          </cell>
          <cell r="H55">
            <v>3.9232876712328766</v>
          </cell>
          <cell r="J55">
            <v>27412988.772712409</v>
          </cell>
        </row>
        <row r="56">
          <cell r="A56">
            <v>8</v>
          </cell>
          <cell r="B56">
            <v>201240</v>
          </cell>
          <cell r="C56">
            <v>150000000</v>
          </cell>
          <cell r="D56">
            <v>10.75</v>
          </cell>
          <cell r="E56">
            <v>36942</v>
          </cell>
          <cell r="F56">
            <v>38037</v>
          </cell>
          <cell r="G56">
            <v>346</v>
          </cell>
          <cell r="H56">
            <v>3.7917808219178082</v>
          </cell>
          <cell r="J56">
            <v>15868302.831289113</v>
          </cell>
        </row>
        <row r="57">
          <cell r="A57">
            <v>9</v>
          </cell>
          <cell r="B57">
            <v>201476</v>
          </cell>
          <cell r="C57">
            <v>100000000</v>
          </cell>
          <cell r="D57">
            <v>9.5</v>
          </cell>
          <cell r="E57">
            <v>37070</v>
          </cell>
          <cell r="F57">
            <v>38166</v>
          </cell>
          <cell r="G57">
            <v>218</v>
          </cell>
          <cell r="H57">
            <v>2.3890410958904109</v>
          </cell>
          <cell r="J57">
            <v>5767851.2187951058</v>
          </cell>
        </row>
        <row r="58">
          <cell r="B58" t="str">
            <v>TOTAL</v>
          </cell>
          <cell r="C58">
            <v>512075000</v>
          </cell>
          <cell r="J58">
            <v>50690489.226771444</v>
          </cell>
        </row>
        <row r="60">
          <cell r="A60" t="str">
            <v>STAEMENT OF  FIXED DEPOSITS WITH PNB,Mumbai</v>
          </cell>
        </row>
        <row r="63">
          <cell r="A63">
            <v>1</v>
          </cell>
          <cell r="B63">
            <v>450879</v>
          </cell>
          <cell r="C63">
            <v>30000000</v>
          </cell>
          <cell r="D63">
            <v>9.5</v>
          </cell>
          <cell r="E63">
            <v>36975</v>
          </cell>
          <cell r="F63">
            <v>38071</v>
          </cell>
          <cell r="G63">
            <v>313</v>
          </cell>
          <cell r="H63">
            <v>3.43013698630137</v>
          </cell>
          <cell r="J63">
            <v>2515301.0072933994</v>
          </cell>
        </row>
        <row r="67">
          <cell r="A67" t="str">
            <v>STAEMENT OF  FIXED DEPOSITS WITH ICICI Bank, C.P. N.Delhi</v>
          </cell>
        </row>
        <row r="70">
          <cell r="A70">
            <v>1</v>
          </cell>
          <cell r="B70">
            <v>50680617</v>
          </cell>
          <cell r="C70">
            <v>150000000</v>
          </cell>
          <cell r="D70">
            <v>7.9</v>
          </cell>
          <cell r="E70">
            <v>37243</v>
          </cell>
          <cell r="F70">
            <v>37291</v>
          </cell>
          <cell r="G70">
            <v>45</v>
          </cell>
          <cell r="H70">
            <v>0.49315068493150682</v>
          </cell>
          <cell r="J70">
            <v>1453718.2577444017</v>
          </cell>
        </row>
        <row r="71">
          <cell r="A71">
            <v>2</v>
          </cell>
          <cell r="C71">
            <v>100000000</v>
          </cell>
          <cell r="D71">
            <v>8</v>
          </cell>
          <cell r="E71">
            <v>37257</v>
          </cell>
          <cell r="F71">
            <v>37305</v>
          </cell>
          <cell r="G71">
            <v>31</v>
          </cell>
          <cell r="H71">
            <v>0.33972602739726027</v>
          </cell>
          <cell r="J71">
            <v>675014.81472331285</v>
          </cell>
        </row>
        <row r="72">
          <cell r="B72" t="str">
            <v>TOTAL</v>
          </cell>
          <cell r="C72">
            <v>250000000</v>
          </cell>
          <cell r="J72">
            <v>2128733.0724677145</v>
          </cell>
        </row>
        <row r="74">
          <cell r="B74" t="str">
            <v>Grand total</v>
          </cell>
          <cell r="C74">
            <v>792075000</v>
          </cell>
          <cell r="I74">
            <v>17412911.306532562</v>
          </cell>
          <cell r="J74">
            <v>55334523.306532562</v>
          </cell>
        </row>
        <row r="75">
          <cell r="F75">
            <v>6872655.3065325618</v>
          </cell>
          <cell r="G75" t="str">
            <v>Int. Acc For The Month</v>
          </cell>
        </row>
        <row r="77">
          <cell r="B77" t="str">
            <v>Grand total</v>
          </cell>
          <cell r="D77" t="str">
            <v>Overall avg YTM 9.75% P.A.</v>
          </cell>
        </row>
        <row r="78">
          <cell r="B78" t="str">
            <v>Co &amp; MDD (current)</v>
          </cell>
          <cell r="C78">
            <v>133.6795099</v>
          </cell>
        </row>
        <row r="121">
          <cell r="A121" t="str">
            <v>STAEMENT OF  FIXED DEPOSITS WITH State Bank of India</v>
          </cell>
        </row>
        <row r="124">
          <cell r="A124" t="str">
            <v>MOTHER DAIRY DELHI</v>
          </cell>
        </row>
        <row r="127">
          <cell r="J127">
            <v>37134</v>
          </cell>
        </row>
        <row r="128">
          <cell r="A128" t="str">
            <v>SN.</v>
          </cell>
          <cell r="B128" t="str">
            <v>FDRN.</v>
          </cell>
          <cell r="C128" t="str">
            <v>AMT.OF FDR</v>
          </cell>
          <cell r="D128" t="str">
            <v>INT.RT.</v>
          </cell>
          <cell r="E128" t="str">
            <v>Issue Dt</v>
          </cell>
          <cell r="F128" t="str">
            <v>Maturity Dt</v>
          </cell>
          <cell r="G128" t="str">
            <v>DAYS</v>
          </cell>
          <cell r="H128" t="str">
            <v>QTR.</v>
          </cell>
          <cell r="I128" t="str">
            <v>Maturity Day</v>
          </cell>
          <cell r="J128" t="str">
            <v>INT.ACC.RS.</v>
          </cell>
        </row>
        <row r="129">
          <cell r="A129" t="str">
            <v>SBI,Mother Dairy Br.</v>
          </cell>
        </row>
        <row r="130">
          <cell r="A130">
            <v>1</v>
          </cell>
          <cell r="C130">
            <v>100000000</v>
          </cell>
          <cell r="D130">
            <v>12.5</v>
          </cell>
          <cell r="E130">
            <v>36057</v>
          </cell>
          <cell r="F130">
            <v>37153</v>
          </cell>
          <cell r="G130">
            <v>1097</v>
          </cell>
          <cell r="H130">
            <v>12.021917808219179</v>
          </cell>
          <cell r="I130" t="str">
            <v>Wednesday</v>
          </cell>
          <cell r="J130">
            <v>44763957.590823114</v>
          </cell>
        </row>
        <row r="131">
          <cell r="A131">
            <v>2</v>
          </cell>
          <cell r="C131">
            <v>100000000</v>
          </cell>
          <cell r="D131">
            <v>12.5</v>
          </cell>
          <cell r="E131">
            <v>36078</v>
          </cell>
          <cell r="F131">
            <v>37174</v>
          </cell>
          <cell r="G131">
            <v>1097</v>
          </cell>
          <cell r="H131">
            <v>12.021917808219179</v>
          </cell>
          <cell r="I131" t="str">
            <v>Wednesday</v>
          </cell>
          <cell r="J131">
            <v>44763957.590823114</v>
          </cell>
        </row>
        <row r="132">
          <cell r="A132">
            <v>3</v>
          </cell>
          <cell r="C132">
            <v>144000000</v>
          </cell>
          <cell r="D132">
            <v>9.5</v>
          </cell>
          <cell r="E132">
            <v>37108</v>
          </cell>
          <cell r="F132">
            <v>38204</v>
          </cell>
          <cell r="G132">
            <v>180</v>
          </cell>
          <cell r="H132">
            <v>1.9726027397260273</v>
          </cell>
          <cell r="I132" t="str">
            <v>Monday</v>
          </cell>
          <cell r="J132">
            <v>6824202.0425110459</v>
          </cell>
        </row>
        <row r="133">
          <cell r="A133">
            <v>4</v>
          </cell>
          <cell r="C133">
            <v>100000000</v>
          </cell>
          <cell r="D133">
            <v>12.5</v>
          </cell>
          <cell r="E133">
            <v>36035</v>
          </cell>
          <cell r="F133">
            <v>37223</v>
          </cell>
          <cell r="G133">
            <v>1189</v>
          </cell>
          <cell r="H133">
            <v>13.03013698630137</v>
          </cell>
          <cell r="I133" t="str">
            <v>Wednesday</v>
          </cell>
          <cell r="J133">
            <v>49325593.581976354</v>
          </cell>
        </row>
        <row r="136">
          <cell r="B136" t="str">
            <v>Total</v>
          </cell>
          <cell r="C136">
            <v>444000000</v>
          </cell>
          <cell r="J136">
            <v>145677710.80613363</v>
          </cell>
        </row>
        <row r="139">
          <cell r="A139" t="str">
            <v>MOTHER DAIRY FRUIT&amp; VEGETABLE LIMITED</v>
          </cell>
        </row>
        <row r="142">
          <cell r="A142" t="str">
            <v>SN.</v>
          </cell>
          <cell r="B142" t="str">
            <v>FDRN.</v>
          </cell>
          <cell r="C142" t="str">
            <v>AMT.OF FDR</v>
          </cell>
          <cell r="D142" t="str">
            <v>INT.RT.</v>
          </cell>
          <cell r="E142" t="str">
            <v>Issue Dt</v>
          </cell>
          <cell r="F142" t="str">
            <v>Maturity Dt</v>
          </cell>
          <cell r="G142" t="str">
            <v>DAYS</v>
          </cell>
          <cell r="H142" t="str">
            <v>QTR.</v>
          </cell>
          <cell r="I142" t="str">
            <v>Maturity Day</v>
          </cell>
          <cell r="J142" t="str">
            <v>INT.ACC.RS.</v>
          </cell>
        </row>
        <row r="143">
          <cell r="A143">
            <v>1</v>
          </cell>
          <cell r="C143">
            <v>15000</v>
          </cell>
          <cell r="D143">
            <v>9.5</v>
          </cell>
          <cell r="E143">
            <v>36731</v>
          </cell>
          <cell r="F143">
            <v>37735</v>
          </cell>
          <cell r="G143">
            <v>557</v>
          </cell>
          <cell r="H143">
            <v>6.1041095890410961</v>
          </cell>
          <cell r="J143">
            <v>2310.7558815618613</v>
          </cell>
        </row>
        <row r="144">
          <cell r="A144">
            <v>2</v>
          </cell>
          <cell r="C144">
            <v>15000</v>
          </cell>
          <cell r="D144">
            <v>9.5</v>
          </cell>
          <cell r="E144">
            <v>36622</v>
          </cell>
          <cell r="F144">
            <v>38448</v>
          </cell>
          <cell r="G144">
            <v>666</v>
          </cell>
          <cell r="H144">
            <v>7.2986301369863016</v>
          </cell>
          <cell r="J144">
            <v>2802.9869133477841</v>
          </cell>
        </row>
        <row r="145">
          <cell r="A145">
            <v>3</v>
          </cell>
          <cell r="C145">
            <v>2000000</v>
          </cell>
          <cell r="D145">
            <v>9.5</v>
          </cell>
          <cell r="E145">
            <v>36634</v>
          </cell>
          <cell r="F145">
            <v>38490</v>
          </cell>
          <cell r="G145">
            <v>654</v>
          </cell>
          <cell r="H145">
            <v>7.1671232876712327</v>
          </cell>
          <cell r="J145">
            <v>366415.70872788364</v>
          </cell>
        </row>
        <row r="146">
          <cell r="A146">
            <v>4</v>
          </cell>
          <cell r="C146">
            <v>10000000</v>
          </cell>
          <cell r="D146">
            <v>10.75</v>
          </cell>
          <cell r="E146">
            <v>36878</v>
          </cell>
          <cell r="F146">
            <v>37973</v>
          </cell>
          <cell r="G146">
            <v>410</v>
          </cell>
          <cell r="H146">
            <v>4.493150684931507</v>
          </cell>
          <cell r="J146">
            <v>1265493.620353153</v>
          </cell>
        </row>
        <row r="147">
          <cell r="A147">
            <v>5</v>
          </cell>
          <cell r="C147">
            <v>250000000</v>
          </cell>
          <cell r="D147">
            <v>10.75</v>
          </cell>
          <cell r="E147">
            <v>36930</v>
          </cell>
          <cell r="F147">
            <v>38025</v>
          </cell>
          <cell r="G147">
            <v>358</v>
          </cell>
          <cell r="H147">
            <v>3.9232876712328766</v>
          </cell>
          <cell r="J147">
            <v>27412988.772712409</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Series306"/>
      <sheetName val="Civil Boq"/>
      <sheetName val="moments-table(tri)"/>
      <sheetName val="Legal Risk Analysis"/>
      <sheetName val="ACS(1)"/>
      <sheetName val="FAS-C(4)"/>
      <sheetName val="CCTV(old)"/>
      <sheetName val="Technology Assessment"/>
      <sheetName val="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amp;L"/>
      <sheetName val="1"/>
      <sheetName val="2"/>
      <sheetName val="6"/>
      <sheetName val="8"/>
      <sheetName val="10"/>
      <sheetName val="12"/>
      <sheetName val="14"/>
      <sheetName val="4"/>
      <sheetName val="Unit wise consol "/>
      <sheetName val="Rounded off"/>
      <sheetName val="NOTES -1"/>
      <sheetName val="NOTES-2"/>
      <sheetName val=" Tax provision"/>
      <sheetName val="XREF"/>
      <sheetName val="Inter unit for consolidation"/>
      <sheetName val="Sheet4"/>
      <sheetName val="Sheet3"/>
      <sheetName val="Sheet2"/>
      <sheetName val="Sheet1"/>
      <sheetName val="Consolidated"/>
      <sheetName val="1-8"/>
      <sheetName val="mdd &amp; co Fdr jan.02 "/>
      <sheetName val="Technology Assessment"/>
      <sheetName val="Ref"/>
      <sheetName val="Maintenance Work Order"/>
      <sheetName val="xSeries306"/>
      <sheetName val="Sizing 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Commercial"/>
      <sheetName val="Datacenter Site"/>
      <sheetName val="Disaster Recovery Site "/>
      <sheetName val="DC Input"/>
      <sheetName val="DR Input"/>
      <sheetName val="RACI"/>
      <sheetName val="Discount Sheet"/>
      <sheetName val="Sheet1"/>
    </sheetNames>
    <sheetDataSet>
      <sheetData sheetId="0"/>
      <sheetData sheetId="1"/>
      <sheetData sheetId="2"/>
      <sheetData sheetId="3"/>
      <sheetData sheetId="4"/>
      <sheetData sheetId="5"/>
      <sheetData sheetId="6"/>
      <sheetData sheetId="7">
        <row r="7">
          <cell r="H7">
            <v>1.01</v>
          </cell>
        </row>
      </sheetData>
      <sheetData sheetId="8"/>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B34E26-6D01-4BDC-9609-5D3E833D5D63}" name="Table1" displayName="Table1" ref="B1:G46" totalsRowShown="0" headerRowDxfId="7" dataDxfId="6">
  <autoFilter ref="B1:G46" xr:uid="{38B34E26-6D01-4BDC-9609-5D3E833D5D63}"/>
  <tableColumns count="6">
    <tableColumn id="1" xr3:uid="{13562B8E-89BD-47DE-806C-701E1DAC8530}" name="Sr.No." dataDxfId="5"/>
    <tableColumn id="2" xr3:uid="{63DED10F-CA26-4EBA-AF7F-4F5DADB31084}" name="Product" dataDxfId="4"/>
    <tableColumn id="3" xr3:uid="{742629BB-E55E-4C10-AACF-D6B69EABCA53}" name="Discription" dataDxfId="3"/>
    <tableColumn id="4" xr3:uid="{2D986A4B-E279-4250-853B-B7B0E13739ED}" name="Qty" dataDxfId="2"/>
    <tableColumn id="5" xr3:uid="{1148ADFB-833C-4FC1-9707-D6DAA5569BBC}" name="Total Without GST" dataDxfId="1"/>
    <tableColumn id="6" xr3:uid="{20523F85-4325-4E47-AE52-092E9590333B}" name="With GST"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hyperlink" Target="mailto:vishal.b@inflowtechnologies.com" TargetMode="External"/><Relationship Id="rId3" Type="http://schemas.openxmlformats.org/officeDocument/2006/relationships/hyperlink" Target="mailto:brajgar@fortinet.com" TargetMode="External"/><Relationship Id="rId7" Type="http://schemas.openxmlformats.org/officeDocument/2006/relationships/hyperlink" Target="mailto:vishal.b@inflowtechnologies.com" TargetMode="External"/><Relationship Id="rId12" Type="http://schemas.openxmlformats.org/officeDocument/2006/relationships/hyperlink" Target="mailto:mayurc@radware.com" TargetMode="External"/><Relationship Id="rId2" Type="http://schemas.openxmlformats.org/officeDocument/2006/relationships/hyperlink" Target="mailto:ejaz.shaikh@kaspersky.com" TargetMode="External"/><Relationship Id="rId1" Type="http://schemas.openxmlformats.org/officeDocument/2006/relationships/hyperlink" Target="mailto:ejaz.shaikh@kaspersky.com" TargetMode="External"/><Relationship Id="rId6" Type="http://schemas.openxmlformats.org/officeDocument/2006/relationships/hyperlink" Target="mailto:sumit@adviacent.com" TargetMode="External"/><Relationship Id="rId11" Type="http://schemas.openxmlformats.org/officeDocument/2006/relationships/hyperlink" Target="mailto:kanishk@haltdos.com" TargetMode="External"/><Relationship Id="rId5" Type="http://schemas.openxmlformats.org/officeDocument/2006/relationships/hyperlink" Target="mailto:mandar.inamdar@gurucul.com" TargetMode="External"/><Relationship Id="rId10" Type="http://schemas.openxmlformats.org/officeDocument/2006/relationships/hyperlink" Target="mailto:riteshb@checkpoint.com" TargetMode="External"/><Relationship Id="rId4" Type="http://schemas.openxmlformats.org/officeDocument/2006/relationships/hyperlink" Target="mailto:mandar.inamdar@gurucul.com" TargetMode="External"/><Relationship Id="rId9" Type="http://schemas.openxmlformats.org/officeDocument/2006/relationships/hyperlink" Target="mailto:vishal.b@inflowtechnologies.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hyperlink" Target="https://www.ibm.com/docs/en/cloud-paks/cp-security/1.10?topic=planning-storage-requirements" TargetMode="External"/><Relationship Id="rId2" Type="http://schemas.openxmlformats.org/officeDocument/2006/relationships/hyperlink" Target="https://www.ibm.com/docs/en/qsip/7.5?topic=vai-requirements" TargetMode="External"/><Relationship Id="rId1" Type="http://schemas.openxmlformats.org/officeDocument/2006/relationships/hyperlink" Target="https://www.ibm.com/docs/en/qsip/7.5?topic=overview-qradar-network-insights-1920-m7-appliance" TargetMode="External"/><Relationship Id="rId4" Type="http://schemas.openxmlformats.org/officeDocument/2006/relationships/hyperlink" Target="https://www.ibm.com/docs/en/cloud-paks/cp-security/1.10?topic=planning-storage-requirements"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B1:D18"/>
  <sheetViews>
    <sheetView showGridLines="0" zoomScaleNormal="100" zoomScaleSheetLayoutView="87" workbookViewId="0">
      <selection activeCell="D9" sqref="D9"/>
    </sheetView>
  </sheetViews>
  <sheetFormatPr defaultColWidth="9.21875" defaultRowHeight="14.4"/>
  <cols>
    <col min="1" max="1" width="4.5546875" customWidth="1"/>
    <col min="3" max="3" width="69.21875" customWidth="1"/>
    <col min="4" max="4" width="30.5546875" customWidth="1"/>
    <col min="6" max="6" width="10" bestFit="1" customWidth="1"/>
  </cols>
  <sheetData>
    <row r="1" spans="2:4">
      <c r="B1" s="511"/>
      <c r="C1" s="511"/>
      <c r="D1" s="511"/>
    </row>
    <row r="2" spans="2:4">
      <c r="B2" s="512"/>
      <c r="C2" s="513"/>
      <c r="D2" s="514"/>
    </row>
    <row r="3" spans="2:4">
      <c r="B3" s="26" t="s">
        <v>0</v>
      </c>
      <c r="C3" s="25" t="s">
        <v>1</v>
      </c>
      <c r="D3" s="28" t="s">
        <v>2</v>
      </c>
    </row>
    <row r="4" spans="2:4">
      <c r="B4" s="23" t="s">
        <v>3</v>
      </c>
      <c r="C4" s="21" t="s">
        <v>4</v>
      </c>
      <c r="D4" s="72">
        <f>Working!K20</f>
        <v>175685511.09185743</v>
      </c>
    </row>
    <row r="5" spans="2:4">
      <c r="B5" s="23"/>
      <c r="C5" s="21"/>
      <c r="D5" s="72"/>
    </row>
    <row r="6" spans="2:4">
      <c r="B6" s="23"/>
      <c r="C6" s="21"/>
      <c r="D6" s="72"/>
    </row>
    <row r="7" spans="2:4">
      <c r="B7" s="23" t="s">
        <v>5</v>
      </c>
      <c r="C7" s="21" t="s">
        <v>6</v>
      </c>
      <c r="D7" s="72">
        <f>Working!K48</f>
        <v>88333690.302047387</v>
      </c>
    </row>
    <row r="8" spans="2:4" ht="21" customHeight="1">
      <c r="B8" s="515" t="s">
        <v>7</v>
      </c>
      <c r="C8" s="516"/>
      <c r="D8" s="73">
        <f>SUM(D4:D7)</f>
        <v>264019201.39390481</v>
      </c>
    </row>
    <row r="9" spans="2:4">
      <c r="B9" s="27"/>
      <c r="C9" s="27"/>
      <c r="D9" s="383"/>
    </row>
    <row r="10" spans="2:4" ht="28.2" customHeight="1">
      <c r="B10" s="57" t="s">
        <v>8</v>
      </c>
    </row>
    <row r="11" spans="2:4" ht="15.75" customHeight="1">
      <c r="B11" t="s">
        <v>9</v>
      </c>
    </row>
    <row r="12" spans="2:4">
      <c r="B12" t="s">
        <v>10</v>
      </c>
    </row>
    <row r="13" spans="2:4">
      <c r="B13" t="s">
        <v>11</v>
      </c>
    </row>
    <row r="14" spans="2:4">
      <c r="B14" t="s">
        <v>12</v>
      </c>
    </row>
    <row r="15" spans="2:4">
      <c r="B15" t="s">
        <v>13</v>
      </c>
    </row>
    <row r="16" spans="2:4">
      <c r="B16" t="s">
        <v>14</v>
      </c>
    </row>
    <row r="17" spans="2:2">
      <c r="B17" t="s">
        <v>15</v>
      </c>
    </row>
    <row r="18" spans="2:2">
      <c r="B18" t="s">
        <v>16</v>
      </c>
    </row>
  </sheetData>
  <mergeCells count="3">
    <mergeCell ref="B1:D1"/>
    <mergeCell ref="B2:D2"/>
    <mergeCell ref="B8:C8"/>
  </mergeCells>
  <pageMargins left="0.7" right="0.7" top="0.75" bottom="0.75" header="0.3" footer="0.3"/>
  <pageSetup paperSize="9" scale="80" orientation="landscape" verticalDpi="1200" r:id="rId1"/>
  <headerFooter>
    <oddHeader>&amp;LOBC-IT MSP&amp;CForm 13: Bill of Material&amp;R Summary</oddHeader>
    <oddFooter>&amp;C&amp;P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7B724-2F14-4AEA-BD69-6F825BDFFF1A}">
  <dimension ref="B1:G46"/>
  <sheetViews>
    <sheetView workbookViewId="0">
      <selection activeCell="D1" sqref="D1"/>
    </sheetView>
  </sheetViews>
  <sheetFormatPr defaultRowHeight="14.4"/>
  <cols>
    <col min="2" max="2" width="8.5546875" style="301" customWidth="1"/>
    <col min="3" max="3" width="14.44140625" style="301" bestFit="1" customWidth="1"/>
    <col min="4" max="4" width="54.77734375" style="1" customWidth="1"/>
    <col min="5" max="5" width="6.21875" style="301" customWidth="1"/>
    <col min="6" max="6" width="19.77734375" bestFit="1" customWidth="1"/>
    <col min="7" max="7" width="16" bestFit="1" customWidth="1"/>
  </cols>
  <sheetData>
    <row r="1" spans="2:7">
      <c r="B1" s="301" t="s">
        <v>203</v>
      </c>
      <c r="C1" s="301" t="s">
        <v>204</v>
      </c>
      <c r="D1" s="1" t="s">
        <v>205</v>
      </c>
      <c r="E1" s="301" t="s">
        <v>206</v>
      </c>
      <c r="F1" s="301" t="s">
        <v>1025</v>
      </c>
      <c r="G1" s="301" t="s">
        <v>210</v>
      </c>
    </row>
    <row r="2" spans="2:7" ht="230.4">
      <c r="B2" s="301">
        <v>1</v>
      </c>
      <c r="C2" s="301" t="s">
        <v>212</v>
      </c>
      <c r="D2" s="1" t="s">
        <v>794</v>
      </c>
      <c r="E2" s="301">
        <v>8</v>
      </c>
      <c r="F2" s="394">
        <f>'BID Format'!E33</f>
        <v>284603428.99390489</v>
      </c>
      <c r="G2" s="394">
        <f>'BID Format'!G33</f>
        <v>332788353.30377066</v>
      </c>
    </row>
    <row r="3" spans="2:7" ht="57.6">
      <c r="B3" s="301">
        <v>2</v>
      </c>
      <c r="C3" s="301" t="s">
        <v>469</v>
      </c>
      <c r="D3" s="1" t="s">
        <v>917</v>
      </c>
      <c r="E3" s="301">
        <v>2</v>
      </c>
      <c r="F3" s="301"/>
      <c r="G3" s="301"/>
    </row>
    <row r="4" spans="2:7">
      <c r="B4" s="301">
        <v>3</v>
      </c>
      <c r="C4" s="301" t="s">
        <v>468</v>
      </c>
      <c r="D4" s="1" t="s">
        <v>918</v>
      </c>
      <c r="E4" s="301">
        <v>2</v>
      </c>
      <c r="F4" s="301"/>
      <c r="G4" s="301"/>
    </row>
    <row r="5" spans="2:7">
      <c r="B5" s="301">
        <v>4</v>
      </c>
      <c r="C5" s="301" t="s">
        <v>919</v>
      </c>
      <c r="D5" s="1" t="s">
        <v>920</v>
      </c>
      <c r="E5" s="301">
        <v>2</v>
      </c>
      <c r="F5" s="301"/>
      <c r="G5" s="301"/>
    </row>
    <row r="6" spans="2:7">
      <c r="B6" s="301">
        <v>5</v>
      </c>
      <c r="C6" s="301" t="s">
        <v>678</v>
      </c>
      <c r="D6" s="1" t="s">
        <v>921</v>
      </c>
      <c r="E6" s="301">
        <v>2</v>
      </c>
      <c r="F6" s="301"/>
      <c r="G6" s="301"/>
    </row>
    <row r="7" spans="2:7">
      <c r="B7" s="301">
        <v>6</v>
      </c>
      <c r="D7" s="395" t="s">
        <v>1028</v>
      </c>
      <c r="E7" s="301">
        <v>2</v>
      </c>
      <c r="F7" s="301"/>
      <c r="G7" s="301"/>
    </row>
    <row r="8" spans="2:7">
      <c r="B8" s="301">
        <v>7</v>
      </c>
      <c r="C8" s="301" t="s">
        <v>467</v>
      </c>
      <c r="D8" s="1" t="s">
        <v>922</v>
      </c>
      <c r="E8" s="301">
        <v>1</v>
      </c>
      <c r="F8" s="301"/>
      <c r="G8" s="301"/>
    </row>
    <row r="9" spans="2:7">
      <c r="B9" s="301">
        <v>8</v>
      </c>
      <c r="C9" s="301" t="s">
        <v>923</v>
      </c>
      <c r="D9" s="1" t="s">
        <v>752</v>
      </c>
      <c r="E9" s="301">
        <v>1</v>
      </c>
      <c r="F9" s="301"/>
      <c r="G9" s="301"/>
    </row>
    <row r="10" spans="2:7">
      <c r="B10" s="301">
        <v>9</v>
      </c>
      <c r="C10" s="301" t="s">
        <v>472</v>
      </c>
      <c r="D10" s="1" t="s">
        <v>472</v>
      </c>
      <c r="E10" s="301">
        <v>1</v>
      </c>
      <c r="F10" s="301"/>
      <c r="G10" s="301"/>
    </row>
    <row r="11" spans="2:7">
      <c r="B11" s="301">
        <v>10</v>
      </c>
      <c r="C11" s="301" t="s">
        <v>471</v>
      </c>
      <c r="D11" s="1" t="s">
        <v>924</v>
      </c>
      <c r="E11" s="301">
        <v>3</v>
      </c>
      <c r="F11" s="301"/>
      <c r="G11" s="301"/>
    </row>
    <row r="12" spans="2:7">
      <c r="B12" s="301">
        <v>11</v>
      </c>
      <c r="C12" s="301" t="s">
        <v>217</v>
      </c>
      <c r="D12" s="1" t="s">
        <v>218</v>
      </c>
      <c r="E12" s="301">
        <v>1</v>
      </c>
      <c r="F12" s="301"/>
      <c r="G12" s="301"/>
    </row>
    <row r="13" spans="2:7" ht="28.8">
      <c r="B13" s="301">
        <v>12</v>
      </c>
      <c r="C13" s="301" t="s">
        <v>217</v>
      </c>
      <c r="D13" s="1" t="s">
        <v>749</v>
      </c>
      <c r="E13" s="301">
        <v>384</v>
      </c>
      <c r="F13" s="301"/>
      <c r="G13" s="301"/>
    </row>
    <row r="14" spans="2:7" ht="28.8">
      <c r="B14" s="301">
        <v>13</v>
      </c>
      <c r="C14" s="301" t="s">
        <v>217</v>
      </c>
      <c r="D14" s="1" t="s">
        <v>750</v>
      </c>
      <c r="E14" s="301">
        <v>384</v>
      </c>
      <c r="F14" s="301"/>
      <c r="G14" s="301"/>
    </row>
    <row r="15" spans="2:7" ht="28.8">
      <c r="B15" s="301">
        <v>14</v>
      </c>
      <c r="C15" s="301" t="s">
        <v>217</v>
      </c>
      <c r="D15" s="395" t="s">
        <v>751</v>
      </c>
      <c r="E15" s="301">
        <v>736</v>
      </c>
      <c r="F15" s="301"/>
      <c r="G15" s="301"/>
    </row>
    <row r="16" spans="2:7">
      <c r="B16" s="301">
        <v>15</v>
      </c>
      <c r="C16" s="301" t="s">
        <v>82</v>
      </c>
      <c r="D16" s="1" t="s">
        <v>219</v>
      </c>
      <c r="E16" s="301">
        <v>15</v>
      </c>
      <c r="F16" s="301"/>
      <c r="G16" s="301"/>
    </row>
    <row r="17" spans="2:7">
      <c r="B17" s="301">
        <v>16</v>
      </c>
      <c r="D17" s="1" t="s">
        <v>632</v>
      </c>
      <c r="E17" s="301">
        <v>2</v>
      </c>
      <c r="F17" s="301"/>
      <c r="G17" s="301"/>
    </row>
    <row r="18" spans="2:7">
      <c r="B18" s="301">
        <v>17</v>
      </c>
      <c r="D18" s="1" t="s">
        <v>633</v>
      </c>
      <c r="E18" s="301">
        <v>17</v>
      </c>
      <c r="F18" s="301"/>
      <c r="G18" s="301"/>
    </row>
    <row r="19" spans="2:7" ht="28.8">
      <c r="B19" s="301">
        <v>18</v>
      </c>
      <c r="C19" s="301" t="s">
        <v>82</v>
      </c>
      <c r="D19" s="1" t="s">
        <v>629</v>
      </c>
      <c r="E19" s="301">
        <v>10</v>
      </c>
      <c r="F19" s="301"/>
      <c r="G19" s="301"/>
    </row>
    <row r="20" spans="2:7" ht="28.8">
      <c r="B20" s="301">
        <v>19</v>
      </c>
      <c r="D20" s="1" t="s">
        <v>630</v>
      </c>
      <c r="E20" s="301">
        <v>10</v>
      </c>
      <c r="F20" s="301"/>
      <c r="G20" s="301"/>
    </row>
    <row r="21" spans="2:7" ht="43.2">
      <c r="B21" s="301">
        <v>20</v>
      </c>
      <c r="D21" s="1" t="s">
        <v>631</v>
      </c>
      <c r="E21" s="301">
        <v>4</v>
      </c>
      <c r="F21" s="301"/>
      <c r="G21" s="301"/>
    </row>
    <row r="22" spans="2:7">
      <c r="B22" s="301">
        <v>21</v>
      </c>
      <c r="C22" s="301" t="s">
        <v>215</v>
      </c>
      <c r="D22" s="1" t="s">
        <v>220</v>
      </c>
      <c r="E22" s="301">
        <v>1</v>
      </c>
      <c r="F22" s="301"/>
      <c r="G22" s="301"/>
    </row>
    <row r="23" spans="2:7">
      <c r="B23" s="301">
        <v>22</v>
      </c>
      <c r="C23" s="301" t="s">
        <v>482</v>
      </c>
      <c r="D23" s="132" t="s">
        <v>356</v>
      </c>
      <c r="E23" s="301">
        <v>8</v>
      </c>
      <c r="F23" s="301"/>
      <c r="G23" s="301"/>
    </row>
    <row r="24" spans="2:7">
      <c r="B24" s="301">
        <v>23</v>
      </c>
      <c r="C24" s="301" t="s">
        <v>482</v>
      </c>
      <c r="D24" s="132" t="s">
        <v>788</v>
      </c>
      <c r="E24" s="301">
        <v>1</v>
      </c>
      <c r="F24" s="301"/>
      <c r="G24" s="301"/>
    </row>
    <row r="25" spans="2:7">
      <c r="B25" s="301">
        <v>24</v>
      </c>
      <c r="C25" s="301" t="s">
        <v>215</v>
      </c>
      <c r="D25" s="395" t="s">
        <v>925</v>
      </c>
      <c r="E25" s="301">
        <v>1</v>
      </c>
      <c r="F25" s="301"/>
      <c r="G25" s="301"/>
    </row>
    <row r="26" spans="2:7">
      <c r="B26" s="301">
        <v>25</v>
      </c>
      <c r="C26" s="301" t="s">
        <v>215</v>
      </c>
      <c r="D26" s="1" t="s">
        <v>926</v>
      </c>
      <c r="E26" s="301">
        <v>1</v>
      </c>
      <c r="F26" s="301"/>
      <c r="G26" s="301"/>
    </row>
    <row r="27" spans="2:7">
      <c r="B27" s="301">
        <v>26</v>
      </c>
      <c r="C27" s="301" t="s">
        <v>215</v>
      </c>
      <c r="D27" s="1" t="s">
        <v>927</v>
      </c>
      <c r="E27" s="301">
        <v>1</v>
      </c>
      <c r="F27" s="301"/>
      <c r="G27" s="301"/>
    </row>
    <row r="28" spans="2:7">
      <c r="B28" s="301">
        <v>27</v>
      </c>
      <c r="C28" s="301" t="s">
        <v>215</v>
      </c>
      <c r="D28" s="1" t="s">
        <v>928</v>
      </c>
      <c r="E28" s="301">
        <v>1</v>
      </c>
      <c r="F28" s="301"/>
      <c r="G28" s="301"/>
    </row>
    <row r="29" spans="2:7">
      <c r="B29" s="301">
        <v>28</v>
      </c>
      <c r="C29" s="301" t="s">
        <v>215</v>
      </c>
      <c r="D29" s="1" t="s">
        <v>475</v>
      </c>
      <c r="E29" s="301">
        <v>50</v>
      </c>
      <c r="F29" s="301"/>
      <c r="G29" s="301"/>
    </row>
    <row r="30" spans="2:7">
      <c r="B30" s="301">
        <v>29</v>
      </c>
      <c r="C30" s="301" t="s">
        <v>215</v>
      </c>
      <c r="D30" s="1" t="s">
        <v>795</v>
      </c>
      <c r="E30" s="301">
        <v>5</v>
      </c>
      <c r="F30" s="301"/>
      <c r="G30" s="301"/>
    </row>
    <row r="31" spans="2:7">
      <c r="B31" s="301">
        <v>30</v>
      </c>
      <c r="C31" s="301" t="s">
        <v>215</v>
      </c>
      <c r="D31" s="1" t="s">
        <v>929</v>
      </c>
      <c r="E31" s="301">
        <v>65</v>
      </c>
      <c r="F31" s="301"/>
      <c r="G31" s="301"/>
    </row>
    <row r="32" spans="2:7">
      <c r="B32" s="301">
        <v>31</v>
      </c>
      <c r="C32" s="301" t="s">
        <v>215</v>
      </c>
      <c r="D32" s="1" t="s">
        <v>930</v>
      </c>
      <c r="E32" s="301">
        <v>1</v>
      </c>
      <c r="F32" s="301"/>
      <c r="G32" s="301"/>
    </row>
    <row r="33" spans="2:7">
      <c r="B33" s="301">
        <v>32</v>
      </c>
      <c r="C33" s="301" t="s">
        <v>215</v>
      </c>
      <c r="D33" s="1" t="s">
        <v>479</v>
      </c>
      <c r="E33" s="301">
        <v>1</v>
      </c>
      <c r="F33" s="301"/>
      <c r="G33" s="301"/>
    </row>
    <row r="34" spans="2:7">
      <c r="B34" s="301">
        <v>33</v>
      </c>
      <c r="C34" s="301" t="s">
        <v>215</v>
      </c>
      <c r="D34" s="132" t="s">
        <v>943</v>
      </c>
      <c r="E34" s="301">
        <v>10</v>
      </c>
      <c r="F34" s="301"/>
      <c r="G34" s="301"/>
    </row>
    <row r="35" spans="2:7">
      <c r="B35" s="301">
        <v>34</v>
      </c>
      <c r="C35" s="301" t="s">
        <v>217</v>
      </c>
      <c r="D35" s="1" t="s">
        <v>481</v>
      </c>
      <c r="E35" s="301">
        <v>1</v>
      </c>
      <c r="F35" s="301"/>
      <c r="G35" s="301"/>
    </row>
    <row r="36" spans="2:7" ht="28.8">
      <c r="B36" s="301">
        <v>35</v>
      </c>
      <c r="C36" s="301" t="s">
        <v>956</v>
      </c>
      <c r="D36" s="395" t="s">
        <v>968</v>
      </c>
      <c r="E36" s="301">
        <v>10</v>
      </c>
      <c r="F36" s="301"/>
      <c r="G36" s="301"/>
    </row>
    <row r="37" spans="2:7">
      <c r="B37" s="301">
        <v>36</v>
      </c>
      <c r="C37" s="301" t="s">
        <v>567</v>
      </c>
      <c r="D37" s="1" t="s">
        <v>961</v>
      </c>
      <c r="E37" s="301">
        <v>10</v>
      </c>
      <c r="F37" s="301"/>
      <c r="G37" s="301"/>
    </row>
    <row r="38" spans="2:7">
      <c r="B38" s="301">
        <v>37</v>
      </c>
      <c r="C38" s="301" t="s">
        <v>1026</v>
      </c>
      <c r="D38" s="395" t="s">
        <v>1027</v>
      </c>
      <c r="E38" s="301">
        <v>10</v>
      </c>
      <c r="F38" s="301"/>
      <c r="G38" s="301"/>
    </row>
    <row r="39" spans="2:7">
      <c r="B39" s="301">
        <v>38</v>
      </c>
      <c r="C39" s="301" t="s">
        <v>877</v>
      </c>
      <c r="D39" s="1" t="s">
        <v>931</v>
      </c>
      <c r="E39" s="301">
        <v>50</v>
      </c>
      <c r="F39" s="301"/>
      <c r="G39" s="301"/>
    </row>
    <row r="40" spans="2:7">
      <c r="B40" s="301">
        <v>39</v>
      </c>
      <c r="C40" s="301" t="s">
        <v>484</v>
      </c>
      <c r="D40" s="1" t="s">
        <v>485</v>
      </c>
      <c r="E40" s="301">
        <v>50</v>
      </c>
      <c r="F40" s="301"/>
      <c r="G40" s="301"/>
    </row>
    <row r="41" spans="2:7" ht="28.8">
      <c r="B41" s="301">
        <v>40</v>
      </c>
      <c r="C41" s="301" t="s">
        <v>567</v>
      </c>
      <c r="D41" s="1" t="s">
        <v>874</v>
      </c>
      <c r="E41" s="301">
        <v>50</v>
      </c>
      <c r="F41" s="301"/>
      <c r="G41" s="301"/>
    </row>
    <row r="42" spans="2:7">
      <c r="B42" s="301">
        <v>41</v>
      </c>
      <c r="C42" s="301" t="s">
        <v>567</v>
      </c>
      <c r="D42" s="1" t="s">
        <v>963</v>
      </c>
      <c r="E42" s="301">
        <v>7</v>
      </c>
      <c r="F42" s="301"/>
      <c r="G42" s="301"/>
    </row>
    <row r="43" spans="2:7">
      <c r="B43" s="301">
        <v>42</v>
      </c>
      <c r="C43" s="301" t="s">
        <v>567</v>
      </c>
      <c r="D43" s="1" t="s">
        <v>875</v>
      </c>
      <c r="E43" s="301">
        <v>600</v>
      </c>
      <c r="F43" s="301"/>
      <c r="G43" s="301"/>
    </row>
    <row r="44" spans="2:7">
      <c r="B44" s="301">
        <v>43</v>
      </c>
      <c r="C44" s="301" t="s">
        <v>567</v>
      </c>
      <c r="D44" s="1" t="s">
        <v>876</v>
      </c>
      <c r="E44" s="301">
        <v>2</v>
      </c>
      <c r="F44" s="301"/>
      <c r="G44" s="301"/>
    </row>
    <row r="45" spans="2:7">
      <c r="B45" s="301">
        <v>44</v>
      </c>
      <c r="C45" s="301" t="s">
        <v>567</v>
      </c>
      <c r="D45" s="1" t="s">
        <v>568</v>
      </c>
      <c r="E45" s="301">
        <v>50</v>
      </c>
      <c r="F45" s="301"/>
      <c r="G45" s="301"/>
    </row>
    <row r="46" spans="2:7" ht="72">
      <c r="B46" s="301">
        <v>45</v>
      </c>
      <c r="C46" s="301" t="s">
        <v>567</v>
      </c>
      <c r="D46" s="1" t="s">
        <v>569</v>
      </c>
      <c r="E46" s="301">
        <v>2</v>
      </c>
      <c r="F46" s="301"/>
      <c r="G46" s="30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C54F8-1CB3-4CA4-B020-90A4642C6863}">
  <sheetPr codeName="Sheet1"/>
  <dimension ref="B1:I38"/>
  <sheetViews>
    <sheetView workbookViewId="0">
      <selection activeCell="F14" sqref="F14"/>
    </sheetView>
  </sheetViews>
  <sheetFormatPr defaultRowHeight="14.4"/>
  <cols>
    <col min="2" max="2" width="27" bestFit="1" customWidth="1"/>
    <col min="3" max="3" width="11" bestFit="1" customWidth="1"/>
    <col min="4" max="4" width="31.77734375" bestFit="1" customWidth="1"/>
    <col min="6" max="6" width="11.44140625" bestFit="1" customWidth="1"/>
    <col min="8" max="8" width="23.21875" bestFit="1" customWidth="1"/>
  </cols>
  <sheetData>
    <row r="1" spans="2:9">
      <c r="B1" t="s">
        <v>204</v>
      </c>
      <c r="C1" t="s">
        <v>698</v>
      </c>
      <c r="D1" t="s">
        <v>699</v>
      </c>
      <c r="E1" t="s">
        <v>700</v>
      </c>
      <c r="F1" t="s">
        <v>701</v>
      </c>
      <c r="G1" t="s">
        <v>702</v>
      </c>
      <c r="H1" t="s">
        <v>703</v>
      </c>
      <c r="I1" t="s">
        <v>704</v>
      </c>
    </row>
    <row r="2" spans="2:9">
      <c r="B2" t="s">
        <v>679</v>
      </c>
      <c r="C2" t="s">
        <v>694</v>
      </c>
    </row>
    <row r="3" spans="2:9">
      <c r="B3" t="s">
        <v>677</v>
      </c>
      <c r="C3" t="s">
        <v>696</v>
      </c>
      <c r="D3" s="144" t="s">
        <v>791</v>
      </c>
    </row>
    <row r="4" spans="2:9">
      <c r="C4" t="s">
        <v>697</v>
      </c>
      <c r="D4" s="144" t="s">
        <v>717</v>
      </c>
    </row>
    <row r="5" spans="2:9">
      <c r="B5" t="s">
        <v>468</v>
      </c>
      <c r="C5" t="s">
        <v>714</v>
      </c>
      <c r="D5" s="144" t="s">
        <v>790</v>
      </c>
    </row>
    <row r="6" spans="2:9">
      <c r="B6" t="s">
        <v>680</v>
      </c>
      <c r="C6" t="s">
        <v>714</v>
      </c>
      <c r="D6" s="144" t="s">
        <v>790</v>
      </c>
    </row>
    <row r="7" spans="2:9">
      <c r="B7" t="s">
        <v>497</v>
      </c>
      <c r="C7" t="s">
        <v>714</v>
      </c>
      <c r="D7" s="144" t="s">
        <v>790</v>
      </c>
    </row>
    <row r="8" spans="2:9">
      <c r="B8" t="s">
        <v>467</v>
      </c>
      <c r="C8" t="s">
        <v>715</v>
      </c>
      <c r="D8" s="144" t="s">
        <v>792</v>
      </c>
    </row>
    <row r="9" spans="2:9">
      <c r="C9" t="s">
        <v>716</v>
      </c>
      <c r="D9" s="144" t="s">
        <v>793</v>
      </c>
    </row>
    <row r="10" spans="2:9">
      <c r="C10" t="s">
        <v>719</v>
      </c>
      <c r="D10" s="144" t="s">
        <v>789</v>
      </c>
    </row>
    <row r="11" spans="2:9">
      <c r="B11" t="s">
        <v>470</v>
      </c>
      <c r="C11" t="s">
        <v>706</v>
      </c>
    </row>
    <row r="12" spans="2:9">
      <c r="B12" t="s">
        <v>471</v>
      </c>
      <c r="C12" t="s">
        <v>706</v>
      </c>
    </row>
    <row r="13" spans="2:9">
      <c r="B13" t="s">
        <v>472</v>
      </c>
      <c r="C13" t="s">
        <v>705</v>
      </c>
    </row>
    <row r="14" spans="2:9">
      <c r="B14" t="s">
        <v>681</v>
      </c>
    </row>
    <row r="15" spans="2:9">
      <c r="B15" t="s">
        <v>163</v>
      </c>
      <c r="C15" t="s">
        <v>707</v>
      </c>
    </row>
    <row r="16" spans="2:9">
      <c r="C16" t="s">
        <v>708</v>
      </c>
      <c r="D16" s="144" t="s">
        <v>718</v>
      </c>
    </row>
    <row r="17" spans="2:4">
      <c r="C17" t="s">
        <v>710</v>
      </c>
      <c r="D17" s="144" t="s">
        <v>711</v>
      </c>
    </row>
    <row r="18" spans="2:4">
      <c r="B18" t="s">
        <v>473</v>
      </c>
      <c r="C18" t="s">
        <v>708</v>
      </c>
      <c r="D18" s="144" t="s">
        <v>718</v>
      </c>
    </row>
    <row r="19" spans="2:4">
      <c r="C19" t="s">
        <v>707</v>
      </c>
    </row>
    <row r="20" spans="2:4">
      <c r="B20" t="s">
        <v>682</v>
      </c>
      <c r="C20" t="s">
        <v>709</v>
      </c>
    </row>
    <row r="21" spans="2:4">
      <c r="B21" t="s">
        <v>476</v>
      </c>
      <c r="C21" t="s">
        <v>709</v>
      </c>
    </row>
    <row r="22" spans="2:4">
      <c r="B22" t="s">
        <v>475</v>
      </c>
      <c r="C22" t="s">
        <v>709</v>
      </c>
    </row>
    <row r="23" spans="2:4">
      <c r="B23" t="s">
        <v>474</v>
      </c>
      <c r="C23" t="s">
        <v>710</v>
      </c>
      <c r="D23" s="144" t="s">
        <v>711</v>
      </c>
    </row>
    <row r="24" spans="2:4">
      <c r="B24" t="s">
        <v>477</v>
      </c>
      <c r="C24" t="s">
        <v>709</v>
      </c>
    </row>
    <row r="25" spans="2:4">
      <c r="B25" t="s">
        <v>478</v>
      </c>
    </row>
    <row r="26" spans="2:4">
      <c r="B26" t="s">
        <v>712</v>
      </c>
      <c r="C26" t="s">
        <v>713</v>
      </c>
    </row>
    <row r="27" spans="2:4">
      <c r="B27" t="s">
        <v>685</v>
      </c>
      <c r="C27" t="s">
        <v>694</v>
      </c>
    </row>
    <row r="28" spans="2:4">
      <c r="B28" t="s">
        <v>683</v>
      </c>
      <c r="C28" t="s">
        <v>694</v>
      </c>
    </row>
    <row r="29" spans="2:4">
      <c r="B29" t="s">
        <v>684</v>
      </c>
    </row>
    <row r="30" spans="2:4">
      <c r="B30" t="s">
        <v>686</v>
      </c>
    </row>
    <row r="31" spans="2:4">
      <c r="B31" t="s">
        <v>687</v>
      </c>
    </row>
    <row r="32" spans="2:4">
      <c r="B32" t="s">
        <v>688</v>
      </c>
    </row>
    <row r="33" spans="2:3">
      <c r="B33" t="s">
        <v>689</v>
      </c>
    </row>
    <row r="34" spans="2:3">
      <c r="B34" t="s">
        <v>690</v>
      </c>
      <c r="C34" t="s">
        <v>694</v>
      </c>
    </row>
    <row r="35" spans="2:3">
      <c r="B35" t="s">
        <v>691</v>
      </c>
      <c r="C35" t="s">
        <v>694</v>
      </c>
    </row>
    <row r="36" spans="2:3">
      <c r="B36" t="s">
        <v>692</v>
      </c>
      <c r="C36" t="s">
        <v>694</v>
      </c>
    </row>
    <row r="37" spans="2:3">
      <c r="B37" t="s">
        <v>693</v>
      </c>
      <c r="C37" t="s">
        <v>694</v>
      </c>
    </row>
    <row r="38" spans="2:3">
      <c r="B38" t="s">
        <v>695</v>
      </c>
      <c r="C38" t="s">
        <v>694</v>
      </c>
    </row>
  </sheetData>
  <hyperlinks>
    <hyperlink ref="D23" r:id="rId1" xr:uid="{D0AE34D0-D214-4681-BB59-55896AE9C48E}"/>
    <hyperlink ref="D17" r:id="rId2" xr:uid="{EB71E603-A359-42B8-8DB6-8A8418E9BE0E}"/>
    <hyperlink ref="D4" r:id="rId3" xr:uid="{7E03FB41-DE3F-427B-9E2A-660D6C7CA584}"/>
    <hyperlink ref="D16" r:id="rId4" xr:uid="{688793B8-6B80-4DD7-AB7F-124A6C8E19AF}"/>
    <hyperlink ref="D18" r:id="rId5" xr:uid="{E6E4B5B3-1A24-4EFF-9F9B-3E4AFD239F12}"/>
    <hyperlink ref="D10" r:id="rId6" xr:uid="{6BE9C537-607B-4D0B-BDB8-2506A83BCAD5}"/>
    <hyperlink ref="D5" r:id="rId7" xr:uid="{26E81ACE-5484-4E56-9B0C-F4E1A67B8AB5}"/>
    <hyperlink ref="D6" r:id="rId8" xr:uid="{16707D4A-CC21-4088-BE0F-05F2D04D34FD}"/>
    <hyperlink ref="D7" r:id="rId9" xr:uid="{964E189A-68F8-43A1-BB01-E0F69868FF9B}"/>
    <hyperlink ref="D3" r:id="rId10" xr:uid="{685B6D9C-0F6C-4122-BC27-4A3722841EF7}"/>
    <hyperlink ref="D8" r:id="rId11" xr:uid="{2D27F3A4-38AC-4544-8D73-A9585DB2B3A0}"/>
    <hyperlink ref="D9" r:id="rId12" xr:uid="{F8205F5E-89BD-4774-89AA-EEB47E5F211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C2:O59"/>
  <sheetViews>
    <sheetView topLeftCell="B47" workbookViewId="0">
      <selection activeCell="D55" sqref="D55"/>
    </sheetView>
  </sheetViews>
  <sheetFormatPr defaultColWidth="9.21875" defaultRowHeight="14.4"/>
  <cols>
    <col min="1" max="2" width="9.21875" style="1"/>
    <col min="3" max="3" width="4.77734375" style="1" bestFit="1" customWidth="1"/>
    <col min="4" max="4" width="28" style="1" customWidth="1"/>
    <col min="5" max="5" width="11.77734375" style="1" customWidth="1"/>
    <col min="6" max="6" width="26.5546875" style="1" customWidth="1"/>
    <col min="7" max="7" width="13" style="1" customWidth="1"/>
    <col min="8" max="16384" width="9.21875" style="1"/>
  </cols>
  <sheetData>
    <row r="2" spans="3:15" ht="15" customHeight="1">
      <c r="C2" s="525" t="s">
        <v>17</v>
      </c>
      <c r="D2" s="525"/>
      <c r="E2" s="525"/>
      <c r="F2" s="525"/>
      <c r="G2" s="525"/>
      <c r="H2" s="525"/>
      <c r="I2" s="525"/>
      <c r="J2" s="525"/>
      <c r="K2" s="525"/>
      <c r="L2" s="525"/>
      <c r="M2" s="525"/>
      <c r="N2" s="525"/>
      <c r="O2" s="525"/>
    </row>
    <row r="3" spans="3:15" ht="46.5" customHeight="1">
      <c r="C3" s="7" t="s">
        <v>18</v>
      </c>
      <c r="D3" s="12" t="s">
        <v>1</v>
      </c>
      <c r="E3" s="12" t="s">
        <v>19</v>
      </c>
      <c r="F3" s="9" t="s">
        <v>20</v>
      </c>
      <c r="G3" s="9" t="s">
        <v>21</v>
      </c>
      <c r="H3" s="9" t="s">
        <v>22</v>
      </c>
      <c r="I3" s="9" t="s">
        <v>23</v>
      </c>
      <c r="J3" s="9" t="s">
        <v>24</v>
      </c>
      <c r="K3" s="9" t="s">
        <v>25</v>
      </c>
      <c r="L3" s="9" t="s">
        <v>26</v>
      </c>
      <c r="M3" s="9" t="s">
        <v>27</v>
      </c>
      <c r="N3" s="9" t="s">
        <v>28</v>
      </c>
      <c r="O3" s="9" t="s">
        <v>29</v>
      </c>
    </row>
    <row r="4" spans="3:15" ht="46.5" customHeight="1">
      <c r="C4" s="16" t="s">
        <v>30</v>
      </c>
      <c r="D4" s="16" t="s">
        <v>31</v>
      </c>
      <c r="E4" s="16"/>
      <c r="F4" s="16"/>
      <c r="G4" s="16"/>
      <c r="H4" s="17"/>
      <c r="I4" s="17"/>
      <c r="J4" s="17"/>
      <c r="K4" s="17"/>
      <c r="L4" s="17"/>
      <c r="M4" s="17"/>
      <c r="N4" s="17"/>
      <c r="O4" s="17"/>
    </row>
    <row r="5" spans="3:15">
      <c r="C5" s="520">
        <v>1</v>
      </c>
      <c r="D5" s="519" t="s">
        <v>32</v>
      </c>
      <c r="E5" s="519" t="s">
        <v>33</v>
      </c>
      <c r="F5" s="519" t="s">
        <v>34</v>
      </c>
      <c r="G5" s="519"/>
      <c r="H5" s="519"/>
      <c r="I5" s="519"/>
      <c r="J5" s="519"/>
      <c r="K5" s="519"/>
      <c r="L5" s="519"/>
      <c r="M5" s="519"/>
      <c r="N5" s="519"/>
      <c r="O5" s="519"/>
    </row>
    <row r="6" spans="3:15">
      <c r="C6" s="520"/>
      <c r="D6" s="519"/>
      <c r="E6" s="519"/>
      <c r="F6" s="519"/>
      <c r="G6" s="519"/>
      <c r="H6" s="519"/>
      <c r="I6" s="519"/>
      <c r="J6" s="519"/>
      <c r="K6" s="519"/>
      <c r="L6" s="519"/>
      <c r="M6" s="519"/>
      <c r="N6" s="519"/>
      <c r="O6" s="519"/>
    </row>
    <row r="7" spans="3:15">
      <c r="C7" s="520">
        <v>2</v>
      </c>
      <c r="D7" s="519" t="s">
        <v>32</v>
      </c>
      <c r="E7" s="520" t="s">
        <v>33</v>
      </c>
      <c r="F7" s="520" t="s">
        <v>35</v>
      </c>
      <c r="G7" s="520"/>
      <c r="H7" s="520"/>
      <c r="I7" s="520"/>
      <c r="J7" s="520"/>
      <c r="K7" s="520"/>
      <c r="L7" s="520"/>
      <c r="M7" s="520"/>
      <c r="N7" s="520"/>
      <c r="O7" s="520"/>
    </row>
    <row r="8" spans="3:15">
      <c r="C8" s="520"/>
      <c r="D8" s="519"/>
      <c r="E8" s="520"/>
      <c r="F8" s="520"/>
      <c r="G8" s="520"/>
      <c r="H8" s="520"/>
      <c r="I8" s="520"/>
      <c r="J8" s="520"/>
      <c r="K8" s="520"/>
      <c r="L8" s="520"/>
      <c r="M8" s="520"/>
      <c r="N8" s="520"/>
      <c r="O8" s="520"/>
    </row>
    <row r="9" spans="3:15">
      <c r="C9" s="520">
        <v>3</v>
      </c>
      <c r="D9" s="519" t="s">
        <v>32</v>
      </c>
      <c r="E9" s="519" t="s">
        <v>33</v>
      </c>
      <c r="F9" s="519" t="s">
        <v>36</v>
      </c>
      <c r="G9" s="519"/>
      <c r="H9" s="519"/>
      <c r="I9" s="519"/>
      <c r="J9" s="519"/>
      <c r="K9" s="519"/>
      <c r="L9" s="519"/>
      <c r="M9" s="519"/>
      <c r="N9" s="519"/>
      <c r="O9" s="519"/>
    </row>
    <row r="10" spans="3:15">
      <c r="C10" s="520"/>
      <c r="D10" s="519"/>
      <c r="E10" s="519"/>
      <c r="F10" s="519"/>
      <c r="G10" s="519"/>
      <c r="H10" s="519"/>
      <c r="I10" s="519"/>
      <c r="J10" s="519"/>
      <c r="K10" s="519"/>
      <c r="L10" s="519"/>
      <c r="M10" s="519"/>
      <c r="N10" s="519"/>
      <c r="O10" s="519"/>
    </row>
    <row r="11" spans="3:15">
      <c r="C11" s="520">
        <v>4</v>
      </c>
      <c r="D11" s="519" t="s">
        <v>37</v>
      </c>
      <c r="E11" s="520" t="s">
        <v>38</v>
      </c>
      <c r="F11" s="520" t="s">
        <v>39</v>
      </c>
      <c r="G11" s="520"/>
      <c r="H11" s="520"/>
      <c r="I11" s="520"/>
      <c r="J11" s="520"/>
      <c r="K11" s="520"/>
      <c r="L11" s="520"/>
      <c r="M11" s="520"/>
      <c r="N11" s="520"/>
      <c r="O11" s="520"/>
    </row>
    <row r="12" spans="3:15">
      <c r="C12" s="520"/>
      <c r="D12" s="519"/>
      <c r="E12" s="520"/>
      <c r="F12" s="520"/>
      <c r="G12" s="520"/>
      <c r="H12" s="520"/>
      <c r="I12" s="520"/>
      <c r="J12" s="520"/>
      <c r="K12" s="520"/>
      <c r="L12" s="520"/>
      <c r="M12" s="520"/>
      <c r="N12" s="520"/>
      <c r="O12" s="520"/>
    </row>
    <row r="13" spans="3:15">
      <c r="C13" s="520">
        <v>5</v>
      </c>
      <c r="D13" s="519" t="s">
        <v>37</v>
      </c>
      <c r="E13" s="519" t="s">
        <v>38</v>
      </c>
      <c r="F13" s="519" t="s">
        <v>40</v>
      </c>
      <c r="G13" s="519"/>
      <c r="H13" s="519"/>
      <c r="I13" s="519"/>
      <c r="J13" s="519"/>
      <c r="K13" s="519"/>
      <c r="L13" s="519"/>
      <c r="M13" s="519"/>
      <c r="N13" s="519"/>
      <c r="O13" s="519"/>
    </row>
    <row r="14" spans="3:15">
      <c r="C14" s="520"/>
      <c r="D14" s="519"/>
      <c r="E14" s="519"/>
      <c r="F14" s="519"/>
      <c r="G14" s="519"/>
      <c r="H14" s="519"/>
      <c r="I14" s="519"/>
      <c r="J14" s="519"/>
      <c r="K14" s="519"/>
      <c r="L14" s="519"/>
      <c r="M14" s="519"/>
      <c r="N14" s="519"/>
      <c r="O14" s="519"/>
    </row>
    <row r="15" spans="3:15">
      <c r="C15" s="520">
        <v>6</v>
      </c>
      <c r="D15" s="519" t="s">
        <v>37</v>
      </c>
      <c r="E15" s="519" t="s">
        <v>41</v>
      </c>
      <c r="F15" s="519" t="s">
        <v>42</v>
      </c>
      <c r="G15" s="519"/>
      <c r="H15" s="519"/>
      <c r="I15" s="519"/>
      <c r="J15" s="519"/>
      <c r="K15" s="519"/>
      <c r="L15" s="519"/>
      <c r="M15" s="519"/>
      <c r="N15" s="519"/>
      <c r="O15" s="519"/>
    </row>
    <row r="16" spans="3:15">
      <c r="C16" s="520"/>
      <c r="D16" s="519"/>
      <c r="E16" s="519"/>
      <c r="F16" s="519"/>
      <c r="G16" s="519"/>
      <c r="H16" s="519"/>
      <c r="I16" s="519"/>
      <c r="J16" s="519"/>
      <c r="K16" s="519"/>
      <c r="L16" s="519"/>
      <c r="M16" s="519"/>
      <c r="N16" s="519"/>
      <c r="O16" s="519"/>
    </row>
    <row r="17" spans="3:15">
      <c r="C17" s="520">
        <v>7</v>
      </c>
      <c r="D17" s="519" t="s">
        <v>43</v>
      </c>
      <c r="E17" s="519" t="s">
        <v>44</v>
      </c>
      <c r="F17" s="519" t="s">
        <v>45</v>
      </c>
      <c r="G17" s="519"/>
      <c r="H17" s="519"/>
      <c r="I17" s="519"/>
      <c r="J17" s="519"/>
      <c r="K17" s="519"/>
      <c r="L17" s="519"/>
      <c r="M17" s="519"/>
      <c r="N17" s="519"/>
      <c r="O17" s="519"/>
    </row>
    <row r="18" spans="3:15">
      <c r="C18" s="520"/>
      <c r="D18" s="519"/>
      <c r="E18" s="519"/>
      <c r="F18" s="519"/>
      <c r="G18" s="519"/>
      <c r="H18" s="519"/>
      <c r="I18" s="519"/>
      <c r="J18" s="519"/>
      <c r="K18" s="519"/>
      <c r="L18" s="519"/>
      <c r="M18" s="519"/>
      <c r="N18" s="519"/>
      <c r="O18" s="519"/>
    </row>
    <row r="19" spans="3:15">
      <c r="C19" s="520">
        <v>8</v>
      </c>
      <c r="D19" s="519" t="s">
        <v>46</v>
      </c>
      <c r="E19" s="519" t="s">
        <v>47</v>
      </c>
      <c r="F19" s="519" t="s">
        <v>48</v>
      </c>
      <c r="G19" s="519"/>
      <c r="H19" s="519"/>
      <c r="I19" s="519"/>
      <c r="J19" s="519"/>
      <c r="K19" s="519"/>
      <c r="L19" s="519"/>
      <c r="M19" s="519"/>
      <c r="N19" s="519"/>
      <c r="O19" s="519"/>
    </row>
    <row r="20" spans="3:15">
      <c r="C20" s="520"/>
      <c r="D20" s="519"/>
      <c r="E20" s="519"/>
      <c r="F20" s="519"/>
      <c r="G20" s="519"/>
      <c r="H20" s="519"/>
      <c r="I20" s="519"/>
      <c r="J20" s="519"/>
      <c r="K20" s="519"/>
      <c r="L20" s="519"/>
      <c r="M20" s="519"/>
      <c r="N20" s="519"/>
      <c r="O20" s="519"/>
    </row>
    <row r="21" spans="3:15">
      <c r="C21" s="520">
        <v>9</v>
      </c>
      <c r="D21" s="519" t="s">
        <v>46</v>
      </c>
      <c r="E21" s="519" t="s">
        <v>47</v>
      </c>
      <c r="F21" s="519" t="s">
        <v>49</v>
      </c>
      <c r="G21" s="519"/>
      <c r="H21" s="519"/>
      <c r="I21" s="519"/>
      <c r="J21" s="519"/>
      <c r="K21" s="519"/>
      <c r="L21" s="519"/>
      <c r="M21" s="519"/>
      <c r="N21" s="519"/>
      <c r="O21" s="519"/>
    </row>
    <row r="22" spans="3:15">
      <c r="C22" s="520"/>
      <c r="D22" s="519"/>
      <c r="E22" s="519"/>
      <c r="F22" s="519"/>
      <c r="G22" s="519"/>
      <c r="H22" s="519"/>
      <c r="I22" s="519"/>
      <c r="J22" s="519"/>
      <c r="K22" s="519"/>
      <c r="L22" s="519"/>
      <c r="M22" s="519"/>
      <c r="N22" s="519"/>
      <c r="O22" s="519"/>
    </row>
    <row r="23" spans="3:15">
      <c r="C23" s="520">
        <v>10</v>
      </c>
      <c r="D23" s="519" t="s">
        <v>46</v>
      </c>
      <c r="E23" s="519" t="s">
        <v>47</v>
      </c>
      <c r="F23" s="519" t="s">
        <v>50</v>
      </c>
      <c r="G23" s="519"/>
      <c r="H23" s="519"/>
      <c r="I23" s="519"/>
      <c r="J23" s="519"/>
      <c r="K23" s="519"/>
      <c r="L23" s="519"/>
      <c r="M23" s="519"/>
      <c r="N23" s="519"/>
      <c r="O23" s="519"/>
    </row>
    <row r="24" spans="3:15">
      <c r="C24" s="520"/>
      <c r="D24" s="519"/>
      <c r="E24" s="519"/>
      <c r="F24" s="519"/>
      <c r="G24" s="519"/>
      <c r="H24" s="519"/>
      <c r="I24" s="519"/>
      <c r="J24" s="519"/>
      <c r="K24" s="519"/>
      <c r="L24" s="519"/>
      <c r="M24" s="519"/>
      <c r="N24" s="519"/>
      <c r="O24" s="519"/>
    </row>
    <row r="25" spans="3:15">
      <c r="C25" s="520">
        <v>11</v>
      </c>
      <c r="D25" s="519" t="s">
        <v>51</v>
      </c>
      <c r="E25" s="519" t="s">
        <v>52</v>
      </c>
      <c r="F25" s="519" t="s">
        <v>53</v>
      </c>
      <c r="G25" s="519"/>
      <c r="H25" s="519"/>
      <c r="I25" s="519"/>
      <c r="J25" s="519"/>
      <c r="K25" s="519"/>
      <c r="L25" s="519"/>
      <c r="M25" s="519"/>
      <c r="N25" s="519"/>
      <c r="O25" s="519"/>
    </row>
    <row r="26" spans="3:15">
      <c r="C26" s="520"/>
      <c r="D26" s="519"/>
      <c r="E26" s="519"/>
      <c r="F26" s="519"/>
      <c r="G26" s="519"/>
      <c r="H26" s="519"/>
      <c r="I26" s="519"/>
      <c r="J26" s="519"/>
      <c r="K26" s="519"/>
      <c r="L26" s="519"/>
      <c r="M26" s="519"/>
      <c r="N26" s="519"/>
      <c r="O26" s="519"/>
    </row>
    <row r="27" spans="3:15" ht="28.8">
      <c r="C27" s="13"/>
      <c r="D27" s="13" t="s">
        <v>54</v>
      </c>
      <c r="E27" s="13"/>
      <c r="F27" s="13"/>
      <c r="G27" s="13"/>
      <c r="H27" s="13"/>
      <c r="I27" s="13"/>
      <c r="J27" s="13"/>
      <c r="K27" s="13"/>
      <c r="L27" s="13"/>
      <c r="M27" s="13"/>
      <c r="N27" s="13"/>
      <c r="O27" s="13"/>
    </row>
    <row r="28" spans="3:15">
      <c r="C28" s="16" t="s">
        <v>5</v>
      </c>
      <c r="D28" s="16" t="s">
        <v>55</v>
      </c>
      <c r="E28" s="16"/>
      <c r="F28" s="16"/>
      <c r="G28" s="16"/>
      <c r="H28" s="17"/>
      <c r="I28" s="17"/>
      <c r="J28" s="17"/>
      <c r="K28" s="17"/>
      <c r="L28" s="17"/>
      <c r="M28" s="17"/>
      <c r="N28" s="17"/>
      <c r="O28" s="17"/>
    </row>
    <row r="29" spans="3:15" ht="43.2">
      <c r="C29" s="8" t="s">
        <v>18</v>
      </c>
      <c r="D29" s="8" t="s">
        <v>56</v>
      </c>
      <c r="E29" s="8" t="s">
        <v>57</v>
      </c>
      <c r="F29" s="8" t="s">
        <v>58</v>
      </c>
      <c r="G29" s="8" t="s">
        <v>59</v>
      </c>
      <c r="H29" s="9" t="s">
        <v>22</v>
      </c>
      <c r="I29" s="9" t="s">
        <v>23</v>
      </c>
      <c r="J29" s="9" t="s">
        <v>24</v>
      </c>
      <c r="K29" s="9" t="s">
        <v>25</v>
      </c>
      <c r="L29" s="9" t="s">
        <v>26</v>
      </c>
      <c r="M29" s="9" t="s">
        <v>27</v>
      </c>
      <c r="N29" s="9" t="s">
        <v>28</v>
      </c>
      <c r="O29" s="9" t="s">
        <v>29</v>
      </c>
    </row>
    <row r="30" spans="3:15">
      <c r="C30" s="2">
        <v>1</v>
      </c>
      <c r="D30" s="4" t="s">
        <v>32</v>
      </c>
      <c r="E30" s="2"/>
      <c r="F30" s="4"/>
      <c r="G30" s="4"/>
      <c r="H30" s="2"/>
      <c r="I30" s="2"/>
      <c r="J30" s="2"/>
      <c r="K30" s="2"/>
      <c r="L30" s="2"/>
      <c r="M30" s="2"/>
      <c r="N30" s="2"/>
      <c r="O30" s="2"/>
    </row>
    <row r="31" spans="3:15">
      <c r="C31" s="2">
        <v>2</v>
      </c>
      <c r="D31" s="4" t="s">
        <v>37</v>
      </c>
      <c r="E31" s="2"/>
      <c r="F31" s="4"/>
      <c r="G31" s="4"/>
      <c r="H31" s="2"/>
      <c r="I31" s="2"/>
      <c r="J31" s="2"/>
      <c r="K31" s="2"/>
      <c r="L31" s="2"/>
      <c r="M31" s="2"/>
      <c r="N31" s="2"/>
      <c r="O31" s="2"/>
    </row>
    <row r="32" spans="3:15">
      <c r="C32" s="2">
        <v>3</v>
      </c>
      <c r="D32" s="4" t="s">
        <v>60</v>
      </c>
      <c r="E32" s="2"/>
      <c r="F32" s="4"/>
      <c r="G32" s="4"/>
      <c r="H32" s="2"/>
      <c r="I32" s="2"/>
      <c r="J32" s="2"/>
      <c r="K32" s="2"/>
      <c r="L32" s="2"/>
      <c r="M32" s="2"/>
      <c r="N32" s="2"/>
      <c r="O32" s="2"/>
    </row>
    <row r="33" spans="3:15">
      <c r="C33" s="2">
        <v>4</v>
      </c>
      <c r="D33" s="4" t="s">
        <v>61</v>
      </c>
      <c r="E33" s="2"/>
      <c r="F33" s="4"/>
      <c r="G33" s="4"/>
      <c r="H33" s="2"/>
      <c r="I33" s="2"/>
      <c r="J33" s="2"/>
      <c r="K33" s="2"/>
      <c r="L33" s="2"/>
      <c r="M33" s="2"/>
      <c r="N33" s="2"/>
      <c r="O33" s="2"/>
    </row>
    <row r="34" spans="3:15">
      <c r="C34" s="2">
        <v>5</v>
      </c>
      <c r="D34" s="4" t="s">
        <v>51</v>
      </c>
      <c r="E34" s="2"/>
      <c r="F34" s="4"/>
      <c r="G34" s="4"/>
      <c r="H34" s="2"/>
      <c r="I34" s="2"/>
      <c r="J34" s="2"/>
      <c r="K34" s="2"/>
      <c r="L34" s="2"/>
      <c r="M34" s="2"/>
      <c r="N34" s="2"/>
      <c r="O34" s="2"/>
    </row>
    <row r="35" spans="3:15">
      <c r="C35" s="2">
        <v>6</v>
      </c>
      <c r="D35" s="4" t="s">
        <v>62</v>
      </c>
      <c r="E35" s="2"/>
      <c r="F35" s="4"/>
      <c r="G35" s="4"/>
      <c r="H35" s="2"/>
      <c r="I35" s="2"/>
      <c r="J35" s="2"/>
      <c r="K35" s="2"/>
      <c r="L35" s="2"/>
      <c r="M35" s="2"/>
      <c r="N35" s="2"/>
      <c r="O35" s="2"/>
    </row>
    <row r="36" spans="3:15" ht="28.8">
      <c r="C36" s="2">
        <v>7</v>
      </c>
      <c r="D36" s="4" t="s">
        <v>63</v>
      </c>
      <c r="E36" s="2"/>
      <c r="F36" s="4"/>
      <c r="G36" s="4"/>
      <c r="H36" s="2"/>
      <c r="I36" s="2"/>
      <c r="J36" s="2"/>
      <c r="K36" s="2"/>
      <c r="L36" s="2"/>
      <c r="M36" s="2"/>
      <c r="N36" s="2"/>
      <c r="O36" s="2"/>
    </row>
    <row r="37" spans="3:15">
      <c r="C37" s="2">
        <v>8</v>
      </c>
      <c r="D37" s="3" t="s">
        <v>64</v>
      </c>
      <c r="E37" s="2"/>
      <c r="F37" s="4"/>
      <c r="G37" s="4"/>
      <c r="H37" s="2"/>
      <c r="I37" s="2"/>
      <c r="J37" s="2"/>
      <c r="K37" s="2"/>
      <c r="L37" s="2"/>
      <c r="M37" s="2"/>
      <c r="N37" s="2"/>
      <c r="O37" s="2"/>
    </row>
    <row r="38" spans="3:15">
      <c r="C38" s="2">
        <v>9</v>
      </c>
      <c r="D38" s="4" t="s">
        <v>65</v>
      </c>
      <c r="E38" s="2"/>
      <c r="F38" s="4"/>
      <c r="G38" s="4"/>
      <c r="H38" s="2"/>
      <c r="I38" s="2"/>
      <c r="J38" s="2"/>
      <c r="K38" s="2"/>
      <c r="L38" s="2"/>
      <c r="M38" s="2"/>
      <c r="N38" s="2"/>
      <c r="O38" s="2"/>
    </row>
    <row r="39" spans="3:15">
      <c r="C39" s="2">
        <v>10</v>
      </c>
      <c r="D39" s="4" t="s">
        <v>66</v>
      </c>
      <c r="E39" s="2"/>
      <c r="F39" s="4"/>
      <c r="G39" s="4"/>
      <c r="H39" s="2"/>
      <c r="I39" s="2"/>
      <c r="J39" s="2"/>
      <c r="K39" s="2"/>
      <c r="L39" s="2"/>
      <c r="M39" s="2"/>
      <c r="N39" s="2"/>
      <c r="O39" s="2"/>
    </row>
    <row r="40" spans="3:15">
      <c r="C40" s="2">
        <v>11</v>
      </c>
      <c r="D40" s="4" t="s">
        <v>67</v>
      </c>
      <c r="E40" s="2"/>
      <c r="F40" s="4"/>
      <c r="G40" s="4"/>
      <c r="H40" s="2"/>
      <c r="I40" s="2"/>
      <c r="J40" s="2"/>
      <c r="K40" s="2"/>
      <c r="L40" s="2"/>
      <c r="M40" s="2"/>
      <c r="N40" s="2"/>
      <c r="O40" s="2"/>
    </row>
    <row r="41" spans="3:15">
      <c r="C41" s="2">
        <v>12</v>
      </c>
      <c r="D41" s="4" t="s">
        <v>68</v>
      </c>
      <c r="E41" s="2"/>
      <c r="F41" s="4"/>
      <c r="G41" s="4"/>
      <c r="H41" s="2"/>
      <c r="I41" s="2"/>
      <c r="J41" s="2"/>
      <c r="K41" s="2"/>
      <c r="L41" s="2"/>
      <c r="M41" s="2"/>
      <c r="N41" s="2"/>
      <c r="O41" s="2"/>
    </row>
    <row r="42" spans="3:15">
      <c r="C42" s="2">
        <v>13</v>
      </c>
      <c r="D42" s="4" t="s">
        <v>69</v>
      </c>
      <c r="E42" s="2"/>
      <c r="F42" s="4"/>
      <c r="G42" s="4"/>
      <c r="H42" s="2"/>
      <c r="I42" s="2"/>
      <c r="J42" s="2"/>
      <c r="K42" s="2"/>
      <c r="L42" s="2"/>
      <c r="M42" s="2"/>
      <c r="N42" s="2"/>
      <c r="O42" s="2"/>
    </row>
    <row r="43" spans="3:15">
      <c r="C43" s="2">
        <v>14</v>
      </c>
      <c r="D43" s="4" t="s">
        <v>70</v>
      </c>
      <c r="E43" s="2"/>
      <c r="F43" s="4"/>
      <c r="G43" s="4"/>
      <c r="H43" s="2"/>
      <c r="I43" s="2"/>
      <c r="J43" s="2"/>
      <c r="K43" s="2"/>
      <c r="L43" s="2"/>
      <c r="M43" s="2"/>
      <c r="N43" s="2"/>
      <c r="O43" s="2"/>
    </row>
    <row r="44" spans="3:15">
      <c r="C44" s="13"/>
      <c r="D44" s="13" t="s">
        <v>71</v>
      </c>
      <c r="E44" s="13"/>
      <c r="F44" s="13"/>
      <c r="G44" s="13"/>
      <c r="H44" s="13"/>
      <c r="I44" s="13"/>
      <c r="J44" s="13"/>
      <c r="K44" s="13"/>
      <c r="L44" s="13"/>
      <c r="M44" s="13"/>
      <c r="N44" s="13"/>
      <c r="O44" s="13"/>
    </row>
    <row r="45" spans="3:15" ht="28.8">
      <c r="C45" s="16" t="s">
        <v>72</v>
      </c>
      <c r="D45" s="16" t="s">
        <v>73</v>
      </c>
      <c r="E45" s="16"/>
      <c r="F45" s="16"/>
      <c r="G45" s="16"/>
      <c r="H45" s="17"/>
      <c r="I45" s="17"/>
      <c r="J45" s="17"/>
      <c r="K45" s="17"/>
      <c r="L45" s="17"/>
      <c r="M45" s="17"/>
      <c r="N45" s="17"/>
      <c r="O45" s="17"/>
    </row>
    <row r="46" spans="3:15" s="18" customFormat="1" ht="43.2">
      <c r="C46" s="20" t="s">
        <v>74</v>
      </c>
      <c r="D46" s="20" t="s">
        <v>75</v>
      </c>
      <c r="E46" s="20" t="s">
        <v>76</v>
      </c>
      <c r="F46" s="20" t="s">
        <v>77</v>
      </c>
      <c r="G46" s="20" t="s">
        <v>78</v>
      </c>
      <c r="H46" s="9" t="s">
        <v>22</v>
      </c>
      <c r="I46" s="9" t="s">
        <v>23</v>
      </c>
      <c r="J46" s="9" t="s">
        <v>24</v>
      </c>
      <c r="K46" s="9" t="s">
        <v>25</v>
      </c>
      <c r="L46" s="9" t="s">
        <v>26</v>
      </c>
      <c r="M46" s="9" t="s">
        <v>27</v>
      </c>
      <c r="N46" s="9" t="s">
        <v>28</v>
      </c>
      <c r="O46" s="9" t="s">
        <v>29</v>
      </c>
    </row>
    <row r="47" spans="3:15" ht="43.2">
      <c r="C47" s="2">
        <v>1</v>
      </c>
      <c r="D47" s="4" t="s">
        <v>79</v>
      </c>
      <c r="E47" s="2" t="s">
        <v>80</v>
      </c>
      <c r="F47" s="2"/>
      <c r="G47" s="22">
        <v>300000</v>
      </c>
      <c r="H47" s="2"/>
      <c r="I47" s="2"/>
      <c r="J47" s="2"/>
      <c r="K47" s="2"/>
      <c r="L47" s="2"/>
      <c r="M47" s="2"/>
      <c r="N47" s="2"/>
      <c r="O47" s="2"/>
    </row>
    <row r="48" spans="3:15" ht="28.8">
      <c r="C48" s="2">
        <v>2</v>
      </c>
      <c r="D48" s="4" t="s">
        <v>38</v>
      </c>
      <c r="E48" s="2" t="s">
        <v>81</v>
      </c>
      <c r="F48" s="2"/>
      <c r="G48" s="22">
        <v>50000</v>
      </c>
      <c r="H48" s="2"/>
      <c r="I48" s="2"/>
      <c r="J48" s="2"/>
      <c r="K48" s="2"/>
      <c r="L48" s="2"/>
      <c r="M48" s="2"/>
      <c r="N48" s="2"/>
      <c r="O48" s="2"/>
    </row>
    <row r="49" spans="3:15" ht="28.8">
      <c r="C49" s="2">
        <v>3</v>
      </c>
      <c r="D49" s="4" t="s">
        <v>82</v>
      </c>
      <c r="E49" s="2" t="s">
        <v>83</v>
      </c>
      <c r="F49" s="2"/>
      <c r="G49" s="22">
        <v>40000</v>
      </c>
      <c r="H49" s="2"/>
      <c r="I49" s="2"/>
      <c r="J49" s="2"/>
      <c r="K49" s="2"/>
      <c r="L49" s="2"/>
      <c r="M49" s="2"/>
      <c r="N49" s="2"/>
      <c r="O49" s="2"/>
    </row>
    <row r="50" spans="3:15" ht="28.8">
      <c r="C50" s="2">
        <v>4</v>
      </c>
      <c r="D50" s="4" t="s">
        <v>47</v>
      </c>
      <c r="E50" s="2" t="s">
        <v>84</v>
      </c>
      <c r="F50" s="2"/>
      <c r="G50" s="22">
        <v>500000</v>
      </c>
      <c r="H50" s="2"/>
      <c r="I50" s="2"/>
      <c r="J50" s="2"/>
      <c r="K50" s="2"/>
      <c r="L50" s="2"/>
      <c r="M50" s="2"/>
      <c r="N50" s="2"/>
      <c r="O50" s="2"/>
    </row>
    <row r="51" spans="3:15" ht="28.8">
      <c r="C51" s="13"/>
      <c r="D51" s="13" t="s">
        <v>85</v>
      </c>
      <c r="E51" s="13"/>
      <c r="F51" s="13"/>
      <c r="G51" s="13"/>
      <c r="H51" s="13"/>
      <c r="I51" s="13"/>
      <c r="J51" s="13"/>
      <c r="K51" s="13"/>
      <c r="L51" s="13"/>
      <c r="M51" s="13"/>
      <c r="N51" s="13"/>
      <c r="O51" s="13"/>
    </row>
    <row r="52" spans="3:15">
      <c r="C52" s="16" t="s">
        <v>86</v>
      </c>
      <c r="D52" s="16" t="s">
        <v>87</v>
      </c>
      <c r="E52" s="16"/>
      <c r="F52" s="16"/>
      <c r="G52" s="16"/>
      <c r="H52" s="17"/>
      <c r="I52" s="17"/>
      <c r="J52" s="17"/>
      <c r="K52" s="17"/>
      <c r="L52" s="17"/>
      <c r="M52" s="17"/>
      <c r="N52" s="17"/>
      <c r="O52" s="17"/>
    </row>
    <row r="53" spans="3:15" s="18" customFormat="1" ht="43.2">
      <c r="C53" s="9" t="s">
        <v>18</v>
      </c>
      <c r="D53" s="19" t="s">
        <v>88</v>
      </c>
      <c r="E53" s="521" t="s">
        <v>89</v>
      </c>
      <c r="F53" s="522"/>
      <c r="G53" s="9" t="s">
        <v>21</v>
      </c>
      <c r="H53" s="9" t="s">
        <v>22</v>
      </c>
      <c r="I53" s="9" t="s">
        <v>23</v>
      </c>
      <c r="J53" s="9" t="s">
        <v>24</v>
      </c>
      <c r="K53" s="9" t="s">
        <v>25</v>
      </c>
      <c r="L53" s="9" t="s">
        <v>26</v>
      </c>
      <c r="M53" s="9" t="s">
        <v>27</v>
      </c>
      <c r="N53" s="9" t="s">
        <v>28</v>
      </c>
      <c r="O53" s="9" t="s">
        <v>29</v>
      </c>
    </row>
    <row r="54" spans="3:15" ht="28.8">
      <c r="C54" s="2">
        <v>1</v>
      </c>
      <c r="D54" s="6" t="s">
        <v>90</v>
      </c>
      <c r="E54" s="523" t="s">
        <v>91</v>
      </c>
      <c r="F54" s="524"/>
      <c r="G54" s="2">
        <v>4</v>
      </c>
      <c r="H54" s="2"/>
      <c r="I54" s="2"/>
      <c r="J54" s="2"/>
      <c r="K54" s="2"/>
      <c r="L54" s="2"/>
      <c r="M54" s="2"/>
      <c r="N54" s="2"/>
      <c r="O54" s="2"/>
    </row>
    <row r="55" spans="3:15" ht="28.8">
      <c r="C55" s="2">
        <v>2</v>
      </c>
      <c r="D55" s="6" t="s">
        <v>92</v>
      </c>
      <c r="E55" s="523" t="s">
        <v>93</v>
      </c>
      <c r="F55" s="524"/>
      <c r="G55" s="2">
        <v>2</v>
      </c>
      <c r="H55" s="2"/>
      <c r="I55" s="2"/>
      <c r="J55" s="2"/>
      <c r="K55" s="2"/>
      <c r="L55" s="2"/>
      <c r="M55" s="2"/>
      <c r="N55" s="2"/>
      <c r="O55" s="2"/>
    </row>
    <row r="56" spans="3:15" ht="28.8">
      <c r="C56" s="2">
        <v>3</v>
      </c>
      <c r="D56" s="6" t="s">
        <v>94</v>
      </c>
      <c r="E56" s="523" t="s">
        <v>93</v>
      </c>
      <c r="F56" s="524"/>
      <c r="G56" s="2">
        <v>2</v>
      </c>
      <c r="H56" s="2"/>
      <c r="I56" s="2"/>
      <c r="J56" s="2"/>
      <c r="K56" s="2"/>
      <c r="L56" s="2"/>
      <c r="M56" s="2"/>
      <c r="N56" s="2"/>
      <c r="O56" s="2"/>
    </row>
    <row r="57" spans="3:15" ht="28.8">
      <c r="C57" s="2">
        <v>4</v>
      </c>
      <c r="D57" s="6" t="s">
        <v>95</v>
      </c>
      <c r="E57" s="523" t="s">
        <v>91</v>
      </c>
      <c r="F57" s="524"/>
      <c r="G57" s="2">
        <v>4</v>
      </c>
      <c r="H57" s="2"/>
      <c r="I57" s="2"/>
      <c r="J57" s="2"/>
      <c r="K57" s="2"/>
      <c r="L57" s="2"/>
      <c r="M57" s="2"/>
      <c r="N57" s="2"/>
      <c r="O57" s="2"/>
    </row>
    <row r="58" spans="3:15" ht="28.8">
      <c r="C58" s="14"/>
      <c r="D58" s="15" t="s">
        <v>96</v>
      </c>
      <c r="E58" s="517"/>
      <c r="F58" s="518"/>
      <c r="G58" s="14"/>
      <c r="H58" s="14"/>
      <c r="I58" s="14"/>
      <c r="J58" s="14"/>
      <c r="K58" s="14"/>
      <c r="L58" s="14"/>
      <c r="M58" s="14"/>
      <c r="N58" s="14"/>
      <c r="O58" s="14"/>
    </row>
    <row r="59" spans="3:15">
      <c r="C59" s="10"/>
      <c r="D59" s="11" t="s">
        <v>97</v>
      </c>
      <c r="E59" s="10"/>
      <c r="F59" s="10"/>
      <c r="G59" s="10"/>
      <c r="H59" s="10"/>
      <c r="I59" s="10"/>
      <c r="J59" s="10"/>
      <c r="K59" s="10"/>
      <c r="L59" s="10"/>
      <c r="M59" s="10"/>
      <c r="N59" s="10"/>
      <c r="O59" s="10"/>
    </row>
  </sheetData>
  <mergeCells count="150">
    <mergeCell ref="C2:O2"/>
    <mergeCell ref="O5:O6"/>
    <mergeCell ref="O7:O8"/>
    <mergeCell ref="O9:O10"/>
    <mergeCell ref="O11:O12"/>
    <mergeCell ref="O13:O14"/>
    <mergeCell ref="O15:O16"/>
    <mergeCell ref="O17:O18"/>
    <mergeCell ref="O19:O20"/>
    <mergeCell ref="C5:C6"/>
    <mergeCell ref="D5:D6"/>
    <mergeCell ref="E5:E6"/>
    <mergeCell ref="F5:F6"/>
    <mergeCell ref="C7:C8"/>
    <mergeCell ref="D7:D8"/>
    <mergeCell ref="E7:E8"/>
    <mergeCell ref="F7:F8"/>
    <mergeCell ref="H5:H6"/>
    <mergeCell ref="I5:I6"/>
    <mergeCell ref="J5:J6"/>
    <mergeCell ref="K5:K6"/>
    <mergeCell ref="L5:L6"/>
    <mergeCell ref="N5:N6"/>
    <mergeCell ref="N7:N8"/>
    <mergeCell ref="O21:O22"/>
    <mergeCell ref="O23:O24"/>
    <mergeCell ref="O25:O26"/>
    <mergeCell ref="C9:C10"/>
    <mergeCell ref="D9:D10"/>
    <mergeCell ref="E9:E10"/>
    <mergeCell ref="F9:F10"/>
    <mergeCell ref="C11:C12"/>
    <mergeCell ref="D11:D12"/>
    <mergeCell ref="E11:E12"/>
    <mergeCell ref="F11:F12"/>
    <mergeCell ref="E19:E20"/>
    <mergeCell ref="F19:F20"/>
    <mergeCell ref="C13:C14"/>
    <mergeCell ref="D13:D14"/>
    <mergeCell ref="E13:E14"/>
    <mergeCell ref="F13:F14"/>
    <mergeCell ref="C15:C16"/>
    <mergeCell ref="D15:D16"/>
    <mergeCell ref="E15:E16"/>
    <mergeCell ref="F15:F16"/>
    <mergeCell ref="C25:C26"/>
    <mergeCell ref="D25:D26"/>
    <mergeCell ref="E25:E26"/>
    <mergeCell ref="I7:I8"/>
    <mergeCell ref="J7:J8"/>
    <mergeCell ref="K7:K8"/>
    <mergeCell ref="L7:L8"/>
    <mergeCell ref="C21:C22"/>
    <mergeCell ref="D21:D22"/>
    <mergeCell ref="E21:E22"/>
    <mergeCell ref="F21:F22"/>
    <mergeCell ref="C23:C24"/>
    <mergeCell ref="D23:D24"/>
    <mergeCell ref="E23:E24"/>
    <mergeCell ref="F23:F24"/>
    <mergeCell ref="C17:C18"/>
    <mergeCell ref="D17:D18"/>
    <mergeCell ref="E17:E18"/>
    <mergeCell ref="F17:F18"/>
    <mergeCell ref="C19:C20"/>
    <mergeCell ref="D19:D20"/>
    <mergeCell ref="M5:M6"/>
    <mergeCell ref="M7:M8"/>
    <mergeCell ref="M9:M10"/>
    <mergeCell ref="H7:H8"/>
    <mergeCell ref="N11:N12"/>
    <mergeCell ref="H13:H14"/>
    <mergeCell ref="I13:I14"/>
    <mergeCell ref="J13:J14"/>
    <mergeCell ref="K13:K14"/>
    <mergeCell ref="L13:L14"/>
    <mergeCell ref="N13:N14"/>
    <mergeCell ref="M11:M12"/>
    <mergeCell ref="M13:M14"/>
    <mergeCell ref="I11:I12"/>
    <mergeCell ref="J11:J12"/>
    <mergeCell ref="K11:K12"/>
    <mergeCell ref="L11:L12"/>
    <mergeCell ref="H11:H12"/>
    <mergeCell ref="H9:H10"/>
    <mergeCell ref="I9:I10"/>
    <mergeCell ref="J9:J10"/>
    <mergeCell ref="K9:K10"/>
    <mergeCell ref="L9:L10"/>
    <mergeCell ref="N9:N10"/>
    <mergeCell ref="N15:N16"/>
    <mergeCell ref="H17:H18"/>
    <mergeCell ref="I17:I18"/>
    <mergeCell ref="J17:J18"/>
    <mergeCell ref="K17:K18"/>
    <mergeCell ref="L17:L18"/>
    <mergeCell ref="N17:N18"/>
    <mergeCell ref="M15:M16"/>
    <mergeCell ref="M17:M18"/>
    <mergeCell ref="I15:I16"/>
    <mergeCell ref="J15:J16"/>
    <mergeCell ref="K15:K16"/>
    <mergeCell ref="L15:L16"/>
    <mergeCell ref="H15:H16"/>
    <mergeCell ref="N19:N20"/>
    <mergeCell ref="H21:H22"/>
    <mergeCell ref="I21:I22"/>
    <mergeCell ref="J21:J22"/>
    <mergeCell ref="K21:K22"/>
    <mergeCell ref="L21:L22"/>
    <mergeCell ref="N21:N22"/>
    <mergeCell ref="M19:M20"/>
    <mergeCell ref="M21:M22"/>
    <mergeCell ref="I19:I20"/>
    <mergeCell ref="J19:J20"/>
    <mergeCell ref="K19:K20"/>
    <mergeCell ref="L19:L20"/>
    <mergeCell ref="H19:H20"/>
    <mergeCell ref="N23:N24"/>
    <mergeCell ref="H25:H26"/>
    <mergeCell ref="I25:I26"/>
    <mergeCell ref="J25:J26"/>
    <mergeCell ref="K25:K26"/>
    <mergeCell ref="L25:L26"/>
    <mergeCell ref="N25:N26"/>
    <mergeCell ref="M23:M24"/>
    <mergeCell ref="M25:M26"/>
    <mergeCell ref="I23:I24"/>
    <mergeCell ref="J23:J24"/>
    <mergeCell ref="K23:K24"/>
    <mergeCell ref="L23:L24"/>
    <mergeCell ref="H23:H24"/>
    <mergeCell ref="E58:F58"/>
    <mergeCell ref="G5:G6"/>
    <mergeCell ref="G7:G8"/>
    <mergeCell ref="G9:G10"/>
    <mergeCell ref="G11:G12"/>
    <mergeCell ref="G13:G14"/>
    <mergeCell ref="G15:G16"/>
    <mergeCell ref="G17:G18"/>
    <mergeCell ref="G19:G20"/>
    <mergeCell ref="G21:G22"/>
    <mergeCell ref="G23:G24"/>
    <mergeCell ref="G25:G26"/>
    <mergeCell ref="E53:F53"/>
    <mergeCell ref="E54:F54"/>
    <mergeCell ref="E55:F55"/>
    <mergeCell ref="E56:F56"/>
    <mergeCell ref="E57:F57"/>
    <mergeCell ref="F25:F26"/>
  </mergeCells>
  <pageMargins left="0.7" right="0.7" top="0.75" bottom="0.75" header="0.3" footer="0.3"/>
  <pageSetup paperSize="9" scale="60"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09A6A-BDD2-435D-8116-5423ED11142D}">
  <sheetPr codeName="Sheet4"/>
  <dimension ref="A1:P84"/>
  <sheetViews>
    <sheetView topLeftCell="A87" zoomScale="93" workbookViewId="0">
      <selection activeCell="A62" sqref="A62"/>
    </sheetView>
  </sheetViews>
  <sheetFormatPr defaultRowHeight="14.4"/>
  <cols>
    <col min="1" max="1" width="32.21875" customWidth="1"/>
    <col min="2" max="2" width="34" customWidth="1"/>
    <col min="3" max="3" width="40.77734375" customWidth="1"/>
    <col min="4" max="4" width="27.77734375" customWidth="1"/>
    <col min="6" max="6" width="23" customWidth="1"/>
    <col min="7" max="7" width="18.5546875" customWidth="1"/>
    <col min="8" max="8" width="16.44140625" customWidth="1"/>
    <col min="10" max="10" width="14" customWidth="1"/>
    <col min="12" max="12" width="21.5546875" customWidth="1"/>
    <col min="13" max="13" width="35.21875" customWidth="1"/>
  </cols>
  <sheetData>
    <row r="1" spans="1:3">
      <c r="A1" s="526" t="s">
        <v>98</v>
      </c>
      <c r="B1" s="526"/>
      <c r="C1" s="18"/>
    </row>
    <row r="2" spans="1:3">
      <c r="A2" s="18"/>
      <c r="B2" s="18"/>
      <c r="C2" s="18"/>
    </row>
    <row r="3" spans="1:3">
      <c r="A3" s="45" t="s">
        <v>99</v>
      </c>
      <c r="B3" s="45" t="s">
        <v>100</v>
      </c>
      <c r="C3" s="45" t="s">
        <v>101</v>
      </c>
    </row>
    <row r="4" spans="1:3" ht="43.2">
      <c r="A4" s="45" t="s">
        <v>102</v>
      </c>
      <c r="B4" s="18" t="s">
        <v>103</v>
      </c>
      <c r="C4" s="46" t="s">
        <v>104</v>
      </c>
    </row>
    <row r="5" spans="1:3" ht="28.8">
      <c r="A5" s="527" t="s">
        <v>105</v>
      </c>
      <c r="B5" s="18" t="s">
        <v>106</v>
      </c>
      <c r="C5" s="18"/>
    </row>
    <row r="6" spans="1:3" ht="28.8">
      <c r="A6" s="527"/>
      <c r="B6" s="18" t="s">
        <v>107</v>
      </c>
      <c r="C6" s="18"/>
    </row>
    <row r="7" spans="1:3" ht="28.8">
      <c r="A7" s="527"/>
      <c r="B7" s="18" t="s">
        <v>108</v>
      </c>
      <c r="C7" s="18"/>
    </row>
    <row r="8" spans="1:3" ht="43.2">
      <c r="A8" s="527"/>
      <c r="B8" s="18" t="s">
        <v>109</v>
      </c>
      <c r="C8" s="18"/>
    </row>
    <row r="9" spans="1:3" ht="28.8">
      <c r="A9" s="527" t="s">
        <v>110</v>
      </c>
      <c r="B9" s="18" t="s">
        <v>111</v>
      </c>
      <c r="C9" s="18"/>
    </row>
    <row r="10" spans="1:3" ht="28.8">
      <c r="A10" s="527"/>
      <c r="B10" s="18" t="s">
        <v>112</v>
      </c>
      <c r="C10" s="18"/>
    </row>
    <row r="11" spans="1:3" ht="43.2">
      <c r="A11" s="527"/>
      <c r="B11" s="18" t="s">
        <v>113</v>
      </c>
      <c r="C11" s="18"/>
    </row>
    <row r="12" spans="1:3">
      <c r="A12" s="527" t="s">
        <v>114</v>
      </c>
      <c r="B12" s="18" t="s">
        <v>115</v>
      </c>
      <c r="C12" s="18"/>
    </row>
    <row r="13" spans="1:3">
      <c r="A13" s="527"/>
      <c r="B13" s="18" t="s">
        <v>116</v>
      </c>
      <c r="C13" s="18"/>
    </row>
    <row r="14" spans="1:3">
      <c r="A14" s="527"/>
      <c r="B14" s="18" t="s">
        <v>117</v>
      </c>
      <c r="C14" s="18"/>
    </row>
    <row r="15" spans="1:3" ht="28.8">
      <c r="A15" s="527"/>
      <c r="B15" s="18" t="s">
        <v>118</v>
      </c>
      <c r="C15" s="18"/>
    </row>
    <row r="16" spans="1:3">
      <c r="A16" s="527" t="s">
        <v>38</v>
      </c>
      <c r="B16" s="18" t="s">
        <v>119</v>
      </c>
      <c r="C16" s="18"/>
    </row>
    <row r="17" spans="1:4">
      <c r="A17" s="527"/>
      <c r="B17" s="18" t="s">
        <v>120</v>
      </c>
      <c r="C17" s="18"/>
    </row>
    <row r="18" spans="1:4">
      <c r="A18" s="45" t="s">
        <v>121</v>
      </c>
      <c r="B18" s="18" t="s">
        <v>122</v>
      </c>
      <c r="C18" s="18"/>
    </row>
    <row r="19" spans="1:4">
      <c r="A19" s="45" t="s">
        <v>123</v>
      </c>
      <c r="B19" s="18" t="s">
        <v>124</v>
      </c>
      <c r="C19" s="18"/>
    </row>
    <row r="20" spans="1:4" ht="28.8">
      <c r="A20" s="45" t="s">
        <v>125</v>
      </c>
      <c r="B20" s="18" t="s">
        <v>126</v>
      </c>
      <c r="C20" s="18"/>
    </row>
    <row r="21" spans="1:4" ht="28.8">
      <c r="A21" s="45" t="s">
        <v>127</v>
      </c>
      <c r="B21" s="18" t="s">
        <v>128</v>
      </c>
      <c r="C21" s="18"/>
    </row>
    <row r="22" spans="1:4">
      <c r="A22" s="18" t="s">
        <v>129</v>
      </c>
      <c r="B22" s="18"/>
      <c r="C22" s="18"/>
    </row>
    <row r="23" spans="1:4" ht="187.2">
      <c r="A23" s="18" t="s">
        <v>130</v>
      </c>
      <c r="B23" s="18"/>
      <c r="C23" s="18"/>
    </row>
    <row r="24" spans="1:4">
      <c r="A24" s="18"/>
      <c r="B24" s="18"/>
      <c r="C24" s="18"/>
    </row>
    <row r="27" spans="1:4">
      <c r="A27" s="45" t="s">
        <v>131</v>
      </c>
      <c r="B27" s="18"/>
      <c r="C27" s="18"/>
      <c r="D27" s="18"/>
    </row>
    <row r="28" spans="1:4" ht="43.2">
      <c r="A28" s="45" t="s">
        <v>132</v>
      </c>
      <c r="B28" s="45" t="s">
        <v>133</v>
      </c>
      <c r="C28" s="45" t="s">
        <v>134</v>
      </c>
      <c r="D28" s="45" t="s">
        <v>135</v>
      </c>
    </row>
    <row r="29" spans="1:4">
      <c r="A29" s="18" t="s">
        <v>136</v>
      </c>
      <c r="B29" s="18" t="s">
        <v>137</v>
      </c>
      <c r="C29" s="18" t="s">
        <v>138</v>
      </c>
      <c r="D29" s="18" t="s">
        <v>138</v>
      </c>
    </row>
    <row r="30" spans="1:4">
      <c r="A30" s="18" t="s">
        <v>139</v>
      </c>
      <c r="B30" s="18" t="s">
        <v>140</v>
      </c>
      <c r="C30" s="18" t="s">
        <v>140</v>
      </c>
      <c r="D30" s="18" t="s">
        <v>141</v>
      </c>
    </row>
    <row r="31" spans="1:4">
      <c r="A31" s="18" t="s">
        <v>142</v>
      </c>
      <c r="B31" s="18">
        <v>8</v>
      </c>
      <c r="C31" s="18">
        <v>8</v>
      </c>
      <c r="D31" s="18">
        <v>4</v>
      </c>
    </row>
    <row r="32" spans="1:4">
      <c r="A32" s="18" t="s">
        <v>143</v>
      </c>
      <c r="B32" s="18">
        <v>16</v>
      </c>
      <c r="C32" s="18">
        <v>16</v>
      </c>
      <c r="D32" s="18">
        <v>8</v>
      </c>
    </row>
    <row r="33" spans="1:14">
      <c r="A33" s="18" t="s">
        <v>144</v>
      </c>
      <c r="B33" s="18">
        <v>500</v>
      </c>
      <c r="C33" s="18">
        <v>300</v>
      </c>
      <c r="D33" s="18">
        <v>200</v>
      </c>
    </row>
    <row r="34" spans="1:14">
      <c r="A34" s="18" t="s">
        <v>145</v>
      </c>
      <c r="B34" s="18" t="s">
        <v>146</v>
      </c>
      <c r="C34" s="18" t="s">
        <v>147</v>
      </c>
      <c r="D34" s="18"/>
    </row>
    <row r="36" spans="1:14">
      <c r="B36" s="47" t="s">
        <v>148</v>
      </c>
      <c r="C36" s="47" t="s">
        <v>149</v>
      </c>
    </row>
    <row r="37" spans="1:14">
      <c r="B37" s="47">
        <f>16+16+8</f>
        <v>40</v>
      </c>
      <c r="C37" s="47">
        <f>8+8+4</f>
        <v>20</v>
      </c>
      <c r="D37">
        <f>24+24</f>
        <v>48</v>
      </c>
    </row>
    <row r="38" spans="1:14">
      <c r="B38" s="47">
        <f>32+32+16</f>
        <v>80</v>
      </c>
      <c r="C38" s="47">
        <f>16+16+8</f>
        <v>40</v>
      </c>
    </row>
    <row r="39" spans="1:14">
      <c r="B39" s="47">
        <f>1000+600+400</f>
        <v>2000</v>
      </c>
      <c r="C39" s="47">
        <f>500+300+200</f>
        <v>1000</v>
      </c>
    </row>
    <row r="46" spans="1:14">
      <c r="A46" s="45" t="s">
        <v>150</v>
      </c>
      <c r="B46" s="18"/>
      <c r="C46" s="18"/>
      <c r="D46" s="18"/>
      <c r="E46" s="18"/>
      <c r="F46" s="18"/>
      <c r="G46" s="18"/>
      <c r="H46" s="18"/>
      <c r="I46" s="18"/>
      <c r="J46" s="18"/>
      <c r="K46" s="18"/>
      <c r="L46" s="18"/>
      <c r="M46" s="18"/>
      <c r="N46" s="18"/>
    </row>
    <row r="47" spans="1:14">
      <c r="A47" s="18"/>
      <c r="B47" s="18"/>
      <c r="C47" s="18"/>
      <c r="D47" s="18"/>
      <c r="E47" s="18"/>
      <c r="F47" s="18"/>
      <c r="G47" s="18"/>
      <c r="H47" s="18"/>
      <c r="I47" s="18"/>
      <c r="J47" s="18"/>
      <c r="K47" s="18"/>
      <c r="L47" s="18"/>
      <c r="M47" s="18"/>
      <c r="N47" s="18"/>
    </row>
    <row r="48" spans="1:14">
      <c r="A48" s="528" t="s">
        <v>151</v>
      </c>
      <c r="B48" s="528"/>
      <c r="C48" s="528"/>
      <c r="D48" s="528"/>
      <c r="E48" s="18"/>
      <c r="F48" s="18"/>
      <c r="G48" s="18"/>
      <c r="H48" s="18"/>
      <c r="I48" s="18"/>
      <c r="J48" s="18"/>
      <c r="K48" s="18"/>
      <c r="L48" s="18"/>
      <c r="M48" s="18"/>
      <c r="N48" s="18"/>
    </row>
    <row r="49" spans="1:14">
      <c r="A49" s="527" t="s">
        <v>74</v>
      </c>
      <c r="B49" s="527" t="s">
        <v>152</v>
      </c>
      <c r="C49" s="527" t="s">
        <v>153</v>
      </c>
      <c r="D49" s="527" t="s">
        <v>154</v>
      </c>
      <c r="E49" s="527" t="s">
        <v>155</v>
      </c>
      <c r="F49" s="527" t="s">
        <v>156</v>
      </c>
      <c r="G49" s="527" t="s">
        <v>82</v>
      </c>
      <c r="H49" s="527" t="s">
        <v>157</v>
      </c>
      <c r="I49" s="527" t="s">
        <v>158</v>
      </c>
      <c r="J49" s="527" t="s">
        <v>159</v>
      </c>
      <c r="K49" s="45" t="s">
        <v>143</v>
      </c>
      <c r="L49" s="45" t="s">
        <v>38</v>
      </c>
      <c r="M49" s="527" t="s">
        <v>160</v>
      </c>
      <c r="N49" s="527" t="s">
        <v>101</v>
      </c>
    </row>
    <row r="50" spans="1:14">
      <c r="A50" s="527"/>
      <c r="B50" s="527"/>
      <c r="C50" s="527"/>
      <c r="D50" s="527"/>
      <c r="E50" s="527"/>
      <c r="F50" s="527"/>
      <c r="G50" s="527"/>
      <c r="H50" s="527"/>
      <c r="I50" s="527"/>
      <c r="J50" s="527"/>
      <c r="K50" s="45" t="s">
        <v>161</v>
      </c>
      <c r="L50" s="45" t="s">
        <v>162</v>
      </c>
      <c r="M50" s="527"/>
      <c r="N50" s="527"/>
    </row>
    <row r="51" spans="1:14" ht="28.8">
      <c r="A51" s="18">
        <v>1</v>
      </c>
      <c r="B51" s="18" t="s">
        <v>163</v>
      </c>
      <c r="C51" s="18" t="s">
        <v>148</v>
      </c>
      <c r="D51" s="18" t="s">
        <v>164</v>
      </c>
      <c r="E51" s="18">
        <v>2</v>
      </c>
      <c r="F51" s="18" t="s">
        <v>165</v>
      </c>
      <c r="G51" s="18" t="s">
        <v>166</v>
      </c>
      <c r="H51" s="18" t="s">
        <v>167</v>
      </c>
      <c r="I51" s="18">
        <v>40</v>
      </c>
      <c r="J51" s="18" t="s">
        <v>168</v>
      </c>
      <c r="K51" s="18">
        <v>128</v>
      </c>
      <c r="L51" s="18">
        <v>14</v>
      </c>
      <c r="M51" s="18" t="s">
        <v>169</v>
      </c>
      <c r="N51" s="18"/>
    </row>
    <row r="52" spans="1:14">
      <c r="A52" s="18">
        <v>2</v>
      </c>
      <c r="B52" s="18" t="s">
        <v>163</v>
      </c>
      <c r="C52" s="18" t="s">
        <v>148</v>
      </c>
      <c r="D52" s="18" t="s">
        <v>170</v>
      </c>
      <c r="E52" s="18">
        <v>2</v>
      </c>
      <c r="F52" s="18" t="s">
        <v>171</v>
      </c>
      <c r="G52" s="18" t="s">
        <v>166</v>
      </c>
      <c r="H52" s="18" t="s">
        <v>172</v>
      </c>
      <c r="I52" s="18">
        <v>24</v>
      </c>
      <c r="J52" s="18" t="s">
        <v>168</v>
      </c>
      <c r="K52" s="18">
        <v>64</v>
      </c>
      <c r="L52" s="18">
        <v>3</v>
      </c>
      <c r="M52" s="18" t="s">
        <v>169</v>
      </c>
      <c r="N52" s="18"/>
    </row>
    <row r="53" spans="1:14">
      <c r="A53" s="18"/>
      <c r="B53" s="18"/>
      <c r="C53" s="18"/>
      <c r="D53" s="18"/>
      <c r="E53" s="18"/>
      <c r="F53" s="18"/>
      <c r="G53" s="18"/>
      <c r="H53" s="18"/>
      <c r="I53" s="18"/>
      <c r="J53" s="18"/>
      <c r="K53" s="18"/>
      <c r="L53" s="18"/>
      <c r="M53" s="18"/>
      <c r="N53" s="18"/>
    </row>
    <row r="54" spans="1:14">
      <c r="A54" s="18"/>
      <c r="B54" s="18"/>
      <c r="C54" s="18"/>
      <c r="D54" s="18"/>
      <c r="E54" s="18"/>
      <c r="F54" s="18"/>
      <c r="G54" s="18"/>
      <c r="H54" s="18"/>
      <c r="I54" s="18"/>
      <c r="J54" s="18"/>
      <c r="K54" s="18"/>
      <c r="L54" s="18"/>
      <c r="M54" s="18"/>
      <c r="N54" s="18"/>
    </row>
    <row r="55" spans="1:14">
      <c r="A55" s="527" t="s">
        <v>74</v>
      </c>
      <c r="B55" s="527" t="s">
        <v>152</v>
      </c>
      <c r="C55" s="527" t="s">
        <v>153</v>
      </c>
      <c r="D55" s="527" t="s">
        <v>154</v>
      </c>
      <c r="E55" s="527" t="s">
        <v>155</v>
      </c>
      <c r="F55" s="527" t="s">
        <v>156</v>
      </c>
      <c r="G55" s="527" t="s">
        <v>82</v>
      </c>
      <c r="H55" s="527" t="s">
        <v>157</v>
      </c>
      <c r="I55" s="527" t="s">
        <v>158</v>
      </c>
      <c r="J55" s="527" t="s">
        <v>159</v>
      </c>
      <c r="K55" s="45" t="s">
        <v>143</v>
      </c>
      <c r="L55" s="45" t="s">
        <v>38</v>
      </c>
      <c r="M55" s="527" t="s">
        <v>160</v>
      </c>
      <c r="N55" s="527" t="s">
        <v>101</v>
      </c>
    </row>
    <row r="56" spans="1:14">
      <c r="A56" s="527"/>
      <c r="B56" s="527"/>
      <c r="C56" s="527"/>
      <c r="D56" s="527"/>
      <c r="E56" s="527"/>
      <c r="F56" s="527"/>
      <c r="G56" s="527"/>
      <c r="H56" s="527"/>
      <c r="I56" s="527"/>
      <c r="J56" s="527"/>
      <c r="K56" s="45" t="s">
        <v>161</v>
      </c>
      <c r="L56" s="45" t="s">
        <v>162</v>
      </c>
      <c r="M56" s="527"/>
      <c r="N56" s="527"/>
    </row>
    <row r="57" spans="1:14" ht="28.8">
      <c r="A57" s="18">
        <v>1</v>
      </c>
      <c r="B57" s="18" t="s">
        <v>163</v>
      </c>
      <c r="C57" s="18" t="s">
        <v>149</v>
      </c>
      <c r="D57" s="18" t="s">
        <v>164</v>
      </c>
      <c r="E57" s="18">
        <v>2</v>
      </c>
      <c r="F57" s="18" t="s">
        <v>165</v>
      </c>
      <c r="G57" s="18" t="s">
        <v>166</v>
      </c>
      <c r="H57" s="18" t="s">
        <v>167</v>
      </c>
      <c r="I57" s="18">
        <v>40</v>
      </c>
      <c r="J57" s="18" t="s">
        <v>168</v>
      </c>
      <c r="K57" s="18">
        <v>128</v>
      </c>
      <c r="L57" s="18">
        <v>14</v>
      </c>
      <c r="M57" s="18" t="s">
        <v>169</v>
      </c>
      <c r="N57" s="18"/>
    </row>
    <row r="58" spans="1:14">
      <c r="A58" s="18">
        <v>2</v>
      </c>
      <c r="B58" s="18" t="s">
        <v>163</v>
      </c>
      <c r="C58" s="18" t="s">
        <v>149</v>
      </c>
      <c r="D58" s="18" t="s">
        <v>170</v>
      </c>
      <c r="E58" s="18">
        <v>2</v>
      </c>
      <c r="F58" s="18" t="s">
        <v>171</v>
      </c>
      <c r="G58" s="18" t="s">
        <v>166</v>
      </c>
      <c r="H58" s="18" t="s">
        <v>172</v>
      </c>
      <c r="I58" s="18">
        <v>24</v>
      </c>
      <c r="J58" s="18" t="s">
        <v>168</v>
      </c>
      <c r="K58" s="18">
        <v>64</v>
      </c>
      <c r="L58" s="18">
        <v>3</v>
      </c>
      <c r="M58" s="18" t="s">
        <v>169</v>
      </c>
      <c r="N58" s="18"/>
    </row>
    <row r="65" spans="1:16" ht="57.6">
      <c r="A65" s="45" t="s">
        <v>173</v>
      </c>
      <c r="B65" s="45" t="s">
        <v>174</v>
      </c>
      <c r="C65" s="45" t="s">
        <v>175</v>
      </c>
      <c r="D65" s="45" t="s">
        <v>19</v>
      </c>
      <c r="E65" s="45" t="s">
        <v>176</v>
      </c>
      <c r="F65" s="45" t="s">
        <v>177</v>
      </c>
      <c r="G65" s="45" t="s">
        <v>178</v>
      </c>
      <c r="H65" s="45" t="s">
        <v>179</v>
      </c>
      <c r="I65" s="45" t="s">
        <v>180</v>
      </c>
      <c r="J65" s="45" t="s">
        <v>181</v>
      </c>
      <c r="K65" s="45" t="s">
        <v>182</v>
      </c>
      <c r="L65" s="45" t="s">
        <v>183</v>
      </c>
      <c r="M65" s="45" t="s">
        <v>101</v>
      </c>
    </row>
    <row r="66" spans="1:16">
      <c r="A66" s="18">
        <v>1</v>
      </c>
      <c r="B66" s="18" t="s">
        <v>184</v>
      </c>
      <c r="C66" s="18">
        <v>3</v>
      </c>
      <c r="D66" s="18" t="s">
        <v>185</v>
      </c>
      <c r="E66" s="18">
        <v>16</v>
      </c>
      <c r="F66" s="18">
        <v>32</v>
      </c>
      <c r="G66" s="18">
        <v>120</v>
      </c>
      <c r="H66" s="18" t="s">
        <v>186</v>
      </c>
      <c r="I66" s="18" t="s">
        <v>187</v>
      </c>
      <c r="J66" s="18" t="s">
        <v>188</v>
      </c>
      <c r="K66" s="18" t="s">
        <v>185</v>
      </c>
      <c r="L66" s="18"/>
      <c r="M66" s="18"/>
      <c r="N66">
        <f>E66*C66</f>
        <v>48</v>
      </c>
      <c r="O66">
        <f>F66*C66</f>
        <v>96</v>
      </c>
      <c r="P66">
        <f>G66*C66</f>
        <v>360</v>
      </c>
    </row>
    <row r="67" spans="1:16">
      <c r="A67" s="18">
        <v>2</v>
      </c>
      <c r="B67" s="18" t="s">
        <v>189</v>
      </c>
      <c r="C67" s="18">
        <v>3</v>
      </c>
      <c r="D67" s="18" t="s">
        <v>185</v>
      </c>
      <c r="E67" s="18">
        <v>16</v>
      </c>
      <c r="F67" s="18">
        <v>64</v>
      </c>
      <c r="G67" s="18">
        <v>120</v>
      </c>
      <c r="H67" s="18" t="s">
        <v>186</v>
      </c>
      <c r="I67" s="18" t="s">
        <v>187</v>
      </c>
      <c r="J67" s="18" t="s">
        <v>188</v>
      </c>
      <c r="K67" s="18" t="s">
        <v>185</v>
      </c>
      <c r="L67" s="18"/>
      <c r="M67" s="18"/>
      <c r="N67">
        <f t="shared" ref="N67:N71" si="0">E67*C67</f>
        <v>48</v>
      </c>
      <c r="O67">
        <f t="shared" ref="O67:O71" si="1">F67*C67</f>
        <v>192</v>
      </c>
      <c r="P67">
        <f t="shared" ref="P67:P71" si="2">G67*C67</f>
        <v>360</v>
      </c>
    </row>
    <row r="68" spans="1:16">
      <c r="A68" s="18">
        <v>3</v>
      </c>
      <c r="B68" s="18" t="s">
        <v>190</v>
      </c>
      <c r="C68" s="18">
        <v>2</v>
      </c>
      <c r="D68" s="18" t="s">
        <v>185</v>
      </c>
      <c r="E68" s="18">
        <v>4</v>
      </c>
      <c r="F68" s="18">
        <v>16</v>
      </c>
      <c r="G68" s="18">
        <v>100</v>
      </c>
      <c r="H68" s="18" t="s">
        <v>172</v>
      </c>
      <c r="I68" s="18" t="s">
        <v>187</v>
      </c>
      <c r="J68" s="18" t="s">
        <v>191</v>
      </c>
      <c r="K68" s="18" t="s">
        <v>185</v>
      </c>
      <c r="L68" s="18"/>
      <c r="M68" s="18" t="s">
        <v>192</v>
      </c>
      <c r="N68">
        <f t="shared" si="0"/>
        <v>8</v>
      </c>
      <c r="O68">
        <f t="shared" si="1"/>
        <v>32</v>
      </c>
      <c r="P68">
        <f t="shared" si="2"/>
        <v>200</v>
      </c>
    </row>
    <row r="69" spans="1:16" ht="43.2">
      <c r="A69" s="18">
        <v>4</v>
      </c>
      <c r="B69" s="18" t="s">
        <v>193</v>
      </c>
      <c r="C69" s="18">
        <v>1</v>
      </c>
      <c r="D69" s="18" t="s">
        <v>185</v>
      </c>
      <c r="E69" s="18"/>
      <c r="F69" s="18"/>
      <c r="G69" s="18">
        <v>3584</v>
      </c>
      <c r="H69" s="18" t="s">
        <v>172</v>
      </c>
      <c r="I69" s="18" t="s">
        <v>187</v>
      </c>
      <c r="J69" s="18"/>
      <c r="K69" s="18" t="s">
        <v>185</v>
      </c>
      <c r="L69" s="18" t="s">
        <v>194</v>
      </c>
      <c r="M69" s="46" t="s">
        <v>195</v>
      </c>
      <c r="N69">
        <f t="shared" si="0"/>
        <v>0</v>
      </c>
      <c r="O69">
        <f t="shared" si="1"/>
        <v>0</v>
      </c>
      <c r="P69">
        <f t="shared" si="2"/>
        <v>3584</v>
      </c>
    </row>
    <row r="70" spans="1:16">
      <c r="A70" s="18">
        <v>5</v>
      </c>
      <c r="B70" s="18" t="s">
        <v>196</v>
      </c>
      <c r="C70" s="18">
        <v>1</v>
      </c>
      <c r="D70" s="18" t="s">
        <v>185</v>
      </c>
      <c r="E70" s="18">
        <v>4</v>
      </c>
      <c r="F70" s="18">
        <v>16</v>
      </c>
      <c r="G70" s="18">
        <v>100</v>
      </c>
      <c r="H70" s="18" t="s">
        <v>172</v>
      </c>
      <c r="I70" s="18" t="s">
        <v>187</v>
      </c>
      <c r="J70" s="18" t="s">
        <v>191</v>
      </c>
      <c r="K70" s="18" t="s">
        <v>185</v>
      </c>
      <c r="L70" s="18"/>
      <c r="M70" s="18"/>
      <c r="N70">
        <f t="shared" si="0"/>
        <v>4</v>
      </c>
      <c r="O70">
        <f t="shared" si="1"/>
        <v>16</v>
      </c>
      <c r="P70">
        <f t="shared" si="2"/>
        <v>100</v>
      </c>
    </row>
    <row r="71" spans="1:16">
      <c r="A71" s="18">
        <v>6</v>
      </c>
      <c r="B71" s="18" t="s">
        <v>197</v>
      </c>
      <c r="C71" s="18">
        <v>1</v>
      </c>
      <c r="D71" s="18" t="s">
        <v>185</v>
      </c>
      <c r="E71" s="18">
        <v>8</v>
      </c>
      <c r="F71" s="18">
        <v>32</v>
      </c>
      <c r="G71" s="18">
        <v>120</v>
      </c>
      <c r="H71" s="18" t="s">
        <v>172</v>
      </c>
      <c r="I71" s="18" t="s">
        <v>187</v>
      </c>
      <c r="J71" s="18" t="s">
        <v>191</v>
      </c>
      <c r="K71" s="18" t="s">
        <v>185</v>
      </c>
      <c r="L71" s="18"/>
      <c r="M71" s="18"/>
      <c r="N71">
        <f t="shared" si="0"/>
        <v>8</v>
      </c>
      <c r="O71">
        <f t="shared" si="1"/>
        <v>32</v>
      </c>
      <c r="P71">
        <f t="shared" si="2"/>
        <v>120</v>
      </c>
    </row>
    <row r="72" spans="1:16">
      <c r="A72" s="526" t="s">
        <v>198</v>
      </c>
      <c r="B72" s="526"/>
      <c r="C72" s="18">
        <f>SUM(C66:C71)</f>
        <v>11</v>
      </c>
      <c r="D72" s="18">
        <f t="shared" ref="D72:G72" si="3">SUM(D66:D71)</f>
        <v>0</v>
      </c>
      <c r="E72" s="18">
        <f t="shared" si="3"/>
        <v>48</v>
      </c>
      <c r="F72" s="18">
        <f t="shared" si="3"/>
        <v>160</v>
      </c>
      <c r="G72" s="18">
        <f t="shared" si="3"/>
        <v>4144</v>
      </c>
      <c r="H72" s="18"/>
      <c r="I72" s="18"/>
      <c r="J72" s="18"/>
      <c r="K72" s="18"/>
      <c r="L72" s="18"/>
      <c r="M72" s="18"/>
    </row>
    <row r="73" spans="1:16">
      <c r="N73">
        <f>SUM(N66:N72)</f>
        <v>116</v>
      </c>
      <c r="O73">
        <f t="shared" ref="O73:P73" si="4">SUM(O66:O72)</f>
        <v>368</v>
      </c>
      <c r="P73">
        <f t="shared" si="4"/>
        <v>4724</v>
      </c>
    </row>
    <row r="77" spans="1:16" ht="57.6">
      <c r="A77" s="45" t="s">
        <v>173</v>
      </c>
      <c r="B77" s="45" t="s">
        <v>174</v>
      </c>
      <c r="C77" s="45" t="s">
        <v>199</v>
      </c>
      <c r="D77" s="45" t="s">
        <v>19</v>
      </c>
      <c r="E77" s="45" t="s">
        <v>176</v>
      </c>
      <c r="F77" s="45" t="s">
        <v>177</v>
      </c>
      <c r="G77" s="45" t="s">
        <v>178</v>
      </c>
      <c r="H77" s="45" t="s">
        <v>179</v>
      </c>
      <c r="I77" s="45" t="s">
        <v>180</v>
      </c>
      <c r="J77" s="45" t="s">
        <v>181</v>
      </c>
      <c r="K77" s="45" t="s">
        <v>182</v>
      </c>
      <c r="L77" s="45" t="s">
        <v>183</v>
      </c>
      <c r="M77" s="45" t="s">
        <v>101</v>
      </c>
    </row>
    <row r="78" spans="1:16">
      <c r="A78" s="18">
        <v>1</v>
      </c>
      <c r="B78" s="18" t="s">
        <v>184</v>
      </c>
      <c r="C78" s="18">
        <v>3</v>
      </c>
      <c r="D78" s="18" t="s">
        <v>185</v>
      </c>
      <c r="E78" s="18">
        <v>16</v>
      </c>
      <c r="F78" s="18">
        <v>32</v>
      </c>
      <c r="G78" s="18">
        <v>120</v>
      </c>
      <c r="H78" s="18" t="s">
        <v>186</v>
      </c>
      <c r="I78" s="18" t="s">
        <v>187</v>
      </c>
      <c r="J78" s="18" t="s">
        <v>188</v>
      </c>
      <c r="K78" s="18" t="s">
        <v>185</v>
      </c>
      <c r="L78" s="18"/>
      <c r="M78" s="18"/>
    </row>
    <row r="79" spans="1:16">
      <c r="A79" s="18">
        <v>2</v>
      </c>
      <c r="B79" s="18" t="s">
        <v>189</v>
      </c>
      <c r="C79" s="18">
        <v>3</v>
      </c>
      <c r="D79" s="18" t="s">
        <v>185</v>
      </c>
      <c r="E79" s="18">
        <v>16</v>
      </c>
      <c r="F79" s="18">
        <v>64</v>
      </c>
      <c r="G79" s="18">
        <v>120</v>
      </c>
      <c r="H79" s="18" t="s">
        <v>186</v>
      </c>
      <c r="I79" s="18" t="s">
        <v>187</v>
      </c>
      <c r="J79" s="18" t="s">
        <v>188</v>
      </c>
      <c r="K79" s="18" t="s">
        <v>185</v>
      </c>
      <c r="L79" s="18"/>
      <c r="M79" s="18"/>
    </row>
    <row r="80" spans="1:16">
      <c r="A80" s="18">
        <v>3</v>
      </c>
      <c r="B80" s="18" t="s">
        <v>190</v>
      </c>
      <c r="C80" s="18">
        <v>2</v>
      </c>
      <c r="D80" s="18" t="s">
        <v>185</v>
      </c>
      <c r="E80" s="18">
        <v>4</v>
      </c>
      <c r="F80" s="18">
        <v>16</v>
      </c>
      <c r="G80" s="18">
        <v>100</v>
      </c>
      <c r="H80" s="18" t="s">
        <v>172</v>
      </c>
      <c r="I80" s="18" t="s">
        <v>187</v>
      </c>
      <c r="J80" s="18" t="s">
        <v>191</v>
      </c>
      <c r="K80" s="18" t="s">
        <v>185</v>
      </c>
      <c r="L80" s="18"/>
      <c r="M80" s="18" t="s">
        <v>192</v>
      </c>
    </row>
    <row r="81" spans="1:13" ht="43.2">
      <c r="A81" s="18">
        <v>4</v>
      </c>
      <c r="B81" s="18" t="s">
        <v>193</v>
      </c>
      <c r="C81" s="18">
        <v>1</v>
      </c>
      <c r="D81" s="18" t="s">
        <v>185</v>
      </c>
      <c r="E81" s="18"/>
      <c r="F81" s="18"/>
      <c r="G81" s="18">
        <v>3584</v>
      </c>
      <c r="H81" s="18" t="s">
        <v>172</v>
      </c>
      <c r="I81" s="18" t="s">
        <v>187</v>
      </c>
      <c r="J81" s="18"/>
      <c r="K81" s="18" t="s">
        <v>185</v>
      </c>
      <c r="L81" s="18" t="s">
        <v>194</v>
      </c>
      <c r="M81" s="46" t="s">
        <v>195</v>
      </c>
    </row>
    <row r="82" spans="1:13">
      <c r="A82" s="18">
        <v>5</v>
      </c>
      <c r="B82" s="18" t="s">
        <v>196</v>
      </c>
      <c r="C82" s="18">
        <v>1</v>
      </c>
      <c r="D82" s="18" t="s">
        <v>185</v>
      </c>
      <c r="E82" s="18">
        <v>4</v>
      </c>
      <c r="F82" s="18">
        <v>16</v>
      </c>
      <c r="G82" s="18">
        <v>100</v>
      </c>
      <c r="H82" s="18" t="s">
        <v>172</v>
      </c>
      <c r="I82" s="18" t="s">
        <v>187</v>
      </c>
      <c r="J82" s="18" t="s">
        <v>191</v>
      </c>
      <c r="K82" s="18" t="s">
        <v>185</v>
      </c>
      <c r="L82" s="18"/>
      <c r="M82" s="18"/>
    </row>
    <row r="83" spans="1:13">
      <c r="A83" s="18">
        <v>6</v>
      </c>
      <c r="B83" s="18" t="s">
        <v>197</v>
      </c>
      <c r="C83" s="18">
        <v>1</v>
      </c>
      <c r="D83" s="18" t="s">
        <v>185</v>
      </c>
      <c r="E83" s="18">
        <v>8</v>
      </c>
      <c r="F83" s="18">
        <v>32</v>
      </c>
      <c r="G83" s="18">
        <v>120</v>
      </c>
      <c r="H83" s="18" t="s">
        <v>172</v>
      </c>
      <c r="I83" s="18" t="s">
        <v>187</v>
      </c>
      <c r="J83" s="18" t="s">
        <v>191</v>
      </c>
      <c r="K83" s="18" t="s">
        <v>185</v>
      </c>
      <c r="L83" s="18"/>
      <c r="M83" s="18"/>
    </row>
    <row r="84" spans="1:13">
      <c r="A84" s="526" t="s">
        <v>198</v>
      </c>
      <c r="B84" s="526"/>
      <c r="C84" s="18">
        <v>10</v>
      </c>
      <c r="D84" s="18"/>
      <c r="E84" s="18">
        <v>116</v>
      </c>
      <c r="F84" s="18">
        <v>368</v>
      </c>
      <c r="G84" s="18">
        <v>4724</v>
      </c>
      <c r="H84" s="18"/>
      <c r="I84" s="18"/>
      <c r="J84" s="18"/>
      <c r="K84" s="18"/>
      <c r="L84" s="18"/>
      <c r="M84" s="18"/>
    </row>
  </sheetData>
  <mergeCells count="32">
    <mergeCell ref="A48:D48"/>
    <mergeCell ref="A1:B1"/>
    <mergeCell ref="A5:A8"/>
    <mergeCell ref="A9:A11"/>
    <mergeCell ref="A12:A15"/>
    <mergeCell ref="A16:A17"/>
    <mergeCell ref="N49:N50"/>
    <mergeCell ref="A49:A50"/>
    <mergeCell ref="B49:B50"/>
    <mergeCell ref="C49:C50"/>
    <mergeCell ref="D49:D50"/>
    <mergeCell ref="E49:E50"/>
    <mergeCell ref="F49:F50"/>
    <mergeCell ref="G49:G50"/>
    <mergeCell ref="H49:H50"/>
    <mergeCell ref="I49:I50"/>
    <mergeCell ref="J49:J50"/>
    <mergeCell ref="M49:M50"/>
    <mergeCell ref="J55:J56"/>
    <mergeCell ref="M55:M56"/>
    <mergeCell ref="N55:N56"/>
    <mergeCell ref="A55:A56"/>
    <mergeCell ref="B55:B56"/>
    <mergeCell ref="C55:C56"/>
    <mergeCell ref="D55:D56"/>
    <mergeCell ref="E55:E56"/>
    <mergeCell ref="F55:F56"/>
    <mergeCell ref="A72:B72"/>
    <mergeCell ref="A84:B84"/>
    <mergeCell ref="G55:G56"/>
    <mergeCell ref="H55:H56"/>
    <mergeCell ref="I55:I56"/>
  </mergeCells>
  <hyperlinks>
    <hyperlink ref="C4" r:id="rId1" tooltip="https://www.ibm.com/docs/en/qsip/7.5?topic=overview-qradar-network-insights-1920-m7-appliance" xr:uid="{9123DD70-53B7-476B-BEA5-9B0BCEECE539}"/>
    <hyperlink ref="A48" r:id="rId2" tooltip="https://www.ibm.com/docs/en/qsip/7.5?topic=vai-requirements" xr:uid="{A725DF0B-9192-4BE9-93CF-6BD53E0ADE69}"/>
    <hyperlink ref="M69" r:id="rId3" tooltip="https://www.ibm.com/docs/en/cloud-paks/cp-security/1.10?topic=planning-storage-requirements" xr:uid="{74FDEDCF-853D-474C-9A47-B194EE8F58BF}"/>
    <hyperlink ref="M81" r:id="rId4" tooltip="https://www.ibm.com/docs/en/cloud-paks/cp-security/1.10?topic=planning-storage-requirements" xr:uid="{080859BC-A97F-4B29-B47A-F7ACCD059C1E}"/>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30755-122A-48A5-9376-02A343DDA702}">
  <sheetPr codeName="Sheet5"/>
  <dimension ref="A1:E26"/>
  <sheetViews>
    <sheetView workbookViewId="0">
      <selection activeCell="B2" sqref="B2:E6"/>
    </sheetView>
  </sheetViews>
  <sheetFormatPr defaultColWidth="9.21875" defaultRowHeight="14.4"/>
  <cols>
    <col min="1" max="1" width="9.77734375" style="110" customWidth="1"/>
    <col min="2" max="2" width="21.5546875" style="110" bestFit="1" customWidth="1"/>
    <col min="3" max="3" width="55.21875" style="110" customWidth="1"/>
    <col min="4" max="4" width="8.44140625" style="110" customWidth="1"/>
    <col min="5" max="5" width="10.21875" style="110" customWidth="1"/>
    <col min="6" max="16384" width="9.21875" style="110"/>
  </cols>
  <sheetData>
    <row r="1" spans="1:5" ht="13.95" customHeight="1">
      <c r="A1" s="115" t="s">
        <v>570</v>
      </c>
      <c r="B1" s="115" t="s">
        <v>571</v>
      </c>
      <c r="C1" s="115" t="s">
        <v>572</v>
      </c>
      <c r="D1" s="115" t="s">
        <v>573</v>
      </c>
      <c r="E1" s="115" t="s">
        <v>21</v>
      </c>
    </row>
    <row r="2" spans="1:5" ht="13.95" customHeight="1">
      <c r="A2" t="s">
        <v>598</v>
      </c>
      <c r="B2" t="s">
        <v>599</v>
      </c>
      <c r="C2" t="s">
        <v>468</v>
      </c>
      <c r="D2" t="s">
        <v>179</v>
      </c>
      <c r="E2">
        <v>2</v>
      </c>
    </row>
    <row r="3" spans="1:5" ht="13.95" customHeight="1">
      <c r="A3" t="s">
        <v>598</v>
      </c>
      <c r="B3" t="s">
        <v>599</v>
      </c>
      <c r="C3" t="s">
        <v>576</v>
      </c>
      <c r="D3" t="s">
        <v>179</v>
      </c>
      <c r="E3">
        <v>2</v>
      </c>
    </row>
    <row r="4" spans="1:5" ht="13.95" customHeight="1">
      <c r="A4" t="s">
        <v>598</v>
      </c>
      <c r="B4" t="s">
        <v>599</v>
      </c>
      <c r="C4" t="s">
        <v>577</v>
      </c>
      <c r="D4" t="s">
        <v>179</v>
      </c>
      <c r="E4">
        <v>2</v>
      </c>
    </row>
    <row r="5" spans="1:5" ht="13.95" customHeight="1">
      <c r="A5" t="s">
        <v>598</v>
      </c>
      <c r="B5" t="s">
        <v>599</v>
      </c>
      <c r="C5" t="s">
        <v>578</v>
      </c>
      <c r="D5" t="s">
        <v>179</v>
      </c>
      <c r="E5">
        <v>2</v>
      </c>
    </row>
    <row r="6" spans="1:5" ht="13.95" customHeight="1">
      <c r="A6" t="s">
        <v>598</v>
      </c>
      <c r="B6" t="s">
        <v>599</v>
      </c>
      <c r="C6" t="s">
        <v>579</v>
      </c>
      <c r="D6" t="s">
        <v>580</v>
      </c>
      <c r="E6">
        <v>1</v>
      </c>
    </row>
    <row r="7" spans="1:5" ht="13.95" customHeight="1">
      <c r="A7" t="s">
        <v>600</v>
      </c>
      <c r="B7" t="s">
        <v>601</v>
      </c>
      <c r="C7" t="s">
        <v>583</v>
      </c>
      <c r="D7" t="s">
        <v>584</v>
      </c>
      <c r="E7">
        <v>8</v>
      </c>
    </row>
    <row r="8" spans="1:5" ht="15.3" customHeight="1">
      <c r="A8" t="s">
        <v>600</v>
      </c>
      <c r="B8" t="s">
        <v>601</v>
      </c>
      <c r="C8" t="s">
        <v>585</v>
      </c>
      <c r="D8" t="s">
        <v>584</v>
      </c>
      <c r="E8" t="s">
        <v>586</v>
      </c>
    </row>
    <row r="9" spans="1:5" ht="13.95" customHeight="1">
      <c r="A9" t="s">
        <v>600</v>
      </c>
      <c r="B9" t="s">
        <v>601</v>
      </c>
      <c r="C9" t="s">
        <v>587</v>
      </c>
      <c r="D9" t="s">
        <v>584</v>
      </c>
      <c r="E9">
        <v>1</v>
      </c>
    </row>
    <row r="10" spans="1:5" ht="13.95" customHeight="1">
      <c r="A10" t="s">
        <v>602</v>
      </c>
      <c r="B10" t="s">
        <v>38</v>
      </c>
      <c r="C10" t="s">
        <v>590</v>
      </c>
      <c r="D10" t="s">
        <v>584</v>
      </c>
      <c r="E10">
        <v>1</v>
      </c>
    </row>
    <row r="11" spans="1:5" ht="13.95" customHeight="1">
      <c r="A11" t="s">
        <v>602</v>
      </c>
      <c r="B11" t="s">
        <v>38</v>
      </c>
      <c r="C11" t="s">
        <v>591</v>
      </c>
      <c r="D11" t="s">
        <v>584</v>
      </c>
      <c r="E11">
        <v>3</v>
      </c>
    </row>
    <row r="12" spans="1:5" ht="14.1" customHeight="1">
      <c r="A12" t="s">
        <v>602</v>
      </c>
      <c r="B12" t="s">
        <v>38</v>
      </c>
      <c r="C12" t="s">
        <v>472</v>
      </c>
      <c r="D12" t="s">
        <v>584</v>
      </c>
      <c r="E12">
        <v>1</v>
      </c>
    </row>
    <row r="13" spans="1:5" ht="13.95" customHeight="1">
      <c r="A13" t="s">
        <v>602</v>
      </c>
      <c r="B13" t="s">
        <v>38</v>
      </c>
      <c r="C13" t="s">
        <v>603</v>
      </c>
      <c r="D13" t="s">
        <v>584</v>
      </c>
      <c r="E13">
        <v>1</v>
      </c>
    </row>
    <row r="14" spans="1:5" ht="13.95" customHeight="1">
      <c r="A14" t="s">
        <v>604</v>
      </c>
      <c r="B14" t="s">
        <v>605</v>
      </c>
      <c r="C14" t="s">
        <v>594</v>
      </c>
      <c r="D14" t="s">
        <v>584</v>
      </c>
      <c r="E14">
        <v>1</v>
      </c>
    </row>
    <row r="15" spans="1:5" ht="13.95" customHeight="1">
      <c r="A15" t="s">
        <v>604</v>
      </c>
      <c r="B15" t="s">
        <v>605</v>
      </c>
      <c r="C15" t="s">
        <v>595</v>
      </c>
      <c r="D15" t="s">
        <v>584</v>
      </c>
      <c r="E15">
        <v>1</v>
      </c>
    </row>
    <row r="16" spans="1:5" ht="13.95" customHeight="1">
      <c r="A16" t="s">
        <v>604</v>
      </c>
      <c r="B16" t="s">
        <v>605</v>
      </c>
      <c r="C16" t="s">
        <v>596</v>
      </c>
      <c r="D16" t="s">
        <v>584</v>
      </c>
      <c r="E16">
        <v>1</v>
      </c>
    </row>
    <row r="17" spans="1:5">
      <c r="A17" t="s">
        <v>604</v>
      </c>
      <c r="B17" t="s">
        <v>605</v>
      </c>
      <c r="C17" t="s">
        <v>597</v>
      </c>
      <c r="D17" t="s">
        <v>584</v>
      </c>
      <c r="E17">
        <v>1</v>
      </c>
    </row>
    <row r="18" spans="1:5">
      <c r="A18" t="s">
        <v>604</v>
      </c>
      <c r="B18" t="s">
        <v>605</v>
      </c>
      <c r="C18" t="s">
        <v>606</v>
      </c>
      <c r="D18" t="s">
        <v>584</v>
      </c>
      <c r="E18">
        <v>1</v>
      </c>
    </row>
    <row r="19" spans="1:5">
      <c r="A19" t="s">
        <v>604</v>
      </c>
      <c r="B19" t="s">
        <v>605</v>
      </c>
      <c r="C19" t="s">
        <v>607</v>
      </c>
      <c r="D19" t="s">
        <v>584</v>
      </c>
      <c r="E19">
        <v>1</v>
      </c>
    </row>
    <row r="20" spans="1:5">
      <c r="A20" t="s">
        <v>604</v>
      </c>
      <c r="B20" t="s">
        <v>605</v>
      </c>
      <c r="C20" t="s">
        <v>608</v>
      </c>
      <c r="D20" t="s">
        <v>584</v>
      </c>
      <c r="E20">
        <v>1</v>
      </c>
    </row>
    <row r="21" spans="1:5">
      <c r="A21" t="s">
        <v>609</v>
      </c>
      <c r="B21" t="s">
        <v>610</v>
      </c>
      <c r="C21" t="s">
        <v>611</v>
      </c>
      <c r="D21" t="s">
        <v>584</v>
      </c>
      <c r="E21" t="s">
        <v>612</v>
      </c>
    </row>
    <row r="22" spans="1:5">
      <c r="A22" t="s">
        <v>609</v>
      </c>
      <c r="B22" t="s">
        <v>610</v>
      </c>
      <c r="C22" t="s">
        <v>613</v>
      </c>
      <c r="D22" t="s">
        <v>584</v>
      </c>
      <c r="E22">
        <v>1</v>
      </c>
    </row>
    <row r="23" spans="1:5">
      <c r="A23" t="s">
        <v>609</v>
      </c>
      <c r="B23" t="s">
        <v>610</v>
      </c>
      <c r="C23" t="s">
        <v>614</v>
      </c>
      <c r="D23" t="s">
        <v>584</v>
      </c>
      <c r="E23">
        <v>1</v>
      </c>
    </row>
    <row r="24" spans="1:5">
      <c r="A24" t="s">
        <v>615</v>
      </c>
      <c r="B24" t="s">
        <v>616</v>
      </c>
      <c r="C24" t="s">
        <v>617</v>
      </c>
      <c r="D24" t="s">
        <v>584</v>
      </c>
      <c r="E24" t="s">
        <v>618</v>
      </c>
    </row>
    <row r="25" spans="1:5">
      <c r="A25" t="s">
        <v>615</v>
      </c>
      <c r="B25" t="s">
        <v>616</v>
      </c>
      <c r="C25" t="s">
        <v>619</v>
      </c>
      <c r="D25" t="s">
        <v>584</v>
      </c>
      <c r="E25" t="s">
        <v>620</v>
      </c>
    </row>
    <row r="26" spans="1:5">
      <c r="A26" t="s">
        <v>615</v>
      </c>
      <c r="B26" t="s">
        <v>616</v>
      </c>
      <c r="C26" t="s">
        <v>621</v>
      </c>
      <c r="D26" t="s">
        <v>584</v>
      </c>
      <c r="E26" t="s">
        <v>622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709EB-9BDE-4645-B5F8-4C9517924581}">
  <sheetPr codeName="Sheet6"/>
  <dimension ref="A1:E16"/>
  <sheetViews>
    <sheetView workbookViewId="0">
      <selection activeCell="G15" sqref="G15"/>
    </sheetView>
  </sheetViews>
  <sheetFormatPr defaultColWidth="9.21875" defaultRowHeight="14.4"/>
  <cols>
    <col min="1" max="1" width="9.77734375" style="110" customWidth="1"/>
    <col min="2" max="2" width="14.77734375" style="110" customWidth="1"/>
    <col min="3" max="3" width="55.21875" style="110" customWidth="1"/>
    <col min="4" max="4" width="8.44140625" style="110" customWidth="1"/>
    <col min="5" max="5" width="10.21875" style="110" customWidth="1"/>
    <col min="6" max="16384" width="9.21875" style="110"/>
  </cols>
  <sheetData>
    <row r="1" spans="1:5" ht="13.95" customHeight="1">
      <c r="A1" s="108" t="s">
        <v>570</v>
      </c>
      <c r="B1" s="108" t="s">
        <v>571</v>
      </c>
      <c r="C1" s="109" t="s">
        <v>572</v>
      </c>
      <c r="D1" s="108" t="s">
        <v>573</v>
      </c>
      <c r="E1" s="108" t="s">
        <v>21</v>
      </c>
    </row>
    <row r="2" spans="1:5" ht="13.95" customHeight="1">
      <c r="A2" s="529" t="s">
        <v>574</v>
      </c>
      <c r="B2" s="530" t="s">
        <v>575</v>
      </c>
      <c r="C2" s="111" t="s">
        <v>468</v>
      </c>
      <c r="D2" s="112" t="s">
        <v>179</v>
      </c>
      <c r="E2" s="112">
        <v>2</v>
      </c>
    </row>
    <row r="3" spans="1:5" ht="13.95" customHeight="1">
      <c r="A3" s="529" t="s">
        <v>574</v>
      </c>
      <c r="B3" s="530" t="s">
        <v>575</v>
      </c>
      <c r="C3" s="111" t="s">
        <v>576</v>
      </c>
      <c r="D3" s="112" t="s">
        <v>179</v>
      </c>
      <c r="E3" s="112">
        <v>2</v>
      </c>
    </row>
    <row r="4" spans="1:5" ht="13.95" customHeight="1">
      <c r="A4" s="529" t="s">
        <v>574</v>
      </c>
      <c r="B4" s="530" t="s">
        <v>575</v>
      </c>
      <c r="C4" s="111" t="s">
        <v>577</v>
      </c>
      <c r="D4" s="112" t="s">
        <v>179</v>
      </c>
      <c r="E4" s="112">
        <v>2</v>
      </c>
    </row>
    <row r="5" spans="1:5" ht="13.95" customHeight="1">
      <c r="A5" s="529" t="s">
        <v>574</v>
      </c>
      <c r="B5" s="530" t="s">
        <v>575</v>
      </c>
      <c r="C5" s="111" t="s">
        <v>578</v>
      </c>
      <c r="D5" s="112" t="s">
        <v>179</v>
      </c>
      <c r="E5" s="112">
        <v>2</v>
      </c>
    </row>
    <row r="6" spans="1:5" ht="13.95" customHeight="1">
      <c r="A6" s="529" t="s">
        <v>574</v>
      </c>
      <c r="B6" s="530" t="s">
        <v>575</v>
      </c>
      <c r="C6" s="111" t="s">
        <v>579</v>
      </c>
      <c r="D6" s="112" t="s">
        <v>580</v>
      </c>
      <c r="E6" s="112">
        <v>1</v>
      </c>
    </row>
    <row r="7" spans="1:5" ht="13.95" customHeight="1">
      <c r="A7" s="529" t="s">
        <v>581</v>
      </c>
      <c r="B7" s="530" t="s">
        <v>582</v>
      </c>
      <c r="C7" s="111" t="s">
        <v>583</v>
      </c>
      <c r="D7" s="112" t="s">
        <v>584</v>
      </c>
      <c r="E7" s="112">
        <v>8</v>
      </c>
    </row>
    <row r="8" spans="1:5" ht="15.3" customHeight="1">
      <c r="A8" s="529" t="s">
        <v>581</v>
      </c>
      <c r="B8" s="530" t="s">
        <v>582</v>
      </c>
      <c r="C8" s="111" t="s">
        <v>585</v>
      </c>
      <c r="D8" s="113" t="s">
        <v>584</v>
      </c>
      <c r="E8" s="114" t="s">
        <v>586</v>
      </c>
    </row>
    <row r="9" spans="1:5" ht="13.95" customHeight="1">
      <c r="A9" s="529" t="s">
        <v>581</v>
      </c>
      <c r="B9" s="530" t="s">
        <v>582</v>
      </c>
      <c r="C9" s="111" t="s">
        <v>587</v>
      </c>
      <c r="D9" s="112" t="s">
        <v>584</v>
      </c>
      <c r="E9" s="112">
        <v>1</v>
      </c>
    </row>
    <row r="10" spans="1:5" ht="13.95" customHeight="1">
      <c r="A10" s="529" t="s">
        <v>588</v>
      </c>
      <c r="B10" s="530" t="s">
        <v>589</v>
      </c>
      <c r="C10" s="111" t="s">
        <v>590</v>
      </c>
      <c r="D10" s="112" t="s">
        <v>584</v>
      </c>
      <c r="E10" s="112">
        <v>1</v>
      </c>
    </row>
    <row r="11" spans="1:5" ht="13.95" customHeight="1">
      <c r="A11" s="529" t="s">
        <v>588</v>
      </c>
      <c r="B11" s="530" t="s">
        <v>589</v>
      </c>
      <c r="C11" s="111" t="s">
        <v>591</v>
      </c>
      <c r="D11" s="112" t="s">
        <v>584</v>
      </c>
      <c r="E11" s="112">
        <v>3</v>
      </c>
    </row>
    <row r="12" spans="1:5" ht="14.1" customHeight="1">
      <c r="A12" s="529" t="s">
        <v>588</v>
      </c>
      <c r="B12" s="530" t="s">
        <v>589</v>
      </c>
      <c r="C12" s="111" t="s">
        <v>472</v>
      </c>
      <c r="D12" s="112" t="s">
        <v>584</v>
      </c>
      <c r="E12" s="112">
        <v>1</v>
      </c>
    </row>
    <row r="13" spans="1:5" ht="13.95" customHeight="1">
      <c r="A13" s="529" t="s">
        <v>592</v>
      </c>
      <c r="B13" s="530" t="s">
        <v>593</v>
      </c>
      <c r="C13" s="111" t="s">
        <v>594</v>
      </c>
      <c r="D13" s="112" t="s">
        <v>584</v>
      </c>
      <c r="E13" s="112">
        <v>1</v>
      </c>
    </row>
    <row r="14" spans="1:5" ht="13.95" customHeight="1">
      <c r="A14" s="529" t="s">
        <v>592</v>
      </c>
      <c r="B14" s="530" t="s">
        <v>593</v>
      </c>
      <c r="C14" s="111" t="s">
        <v>595</v>
      </c>
      <c r="D14" s="112" t="s">
        <v>584</v>
      </c>
      <c r="E14" s="112">
        <v>1</v>
      </c>
    </row>
    <row r="15" spans="1:5" ht="13.95" customHeight="1">
      <c r="A15" s="529" t="s">
        <v>592</v>
      </c>
      <c r="B15" s="530" t="s">
        <v>593</v>
      </c>
      <c r="C15" s="111" t="s">
        <v>596</v>
      </c>
      <c r="D15" s="112" t="s">
        <v>584</v>
      </c>
      <c r="E15" s="112">
        <v>1</v>
      </c>
    </row>
    <row r="16" spans="1:5" ht="13.95" customHeight="1">
      <c r="A16" s="529" t="s">
        <v>592</v>
      </c>
      <c r="B16" s="530" t="s">
        <v>593</v>
      </c>
      <c r="C16" s="111" t="s">
        <v>597</v>
      </c>
      <c r="D16" s="112" t="s">
        <v>584</v>
      </c>
      <c r="E16" s="112">
        <v>1</v>
      </c>
    </row>
  </sheetData>
  <mergeCells count="8">
    <mergeCell ref="A13:A16"/>
    <mergeCell ref="B13:B16"/>
    <mergeCell ref="A2:A6"/>
    <mergeCell ref="B2:B6"/>
    <mergeCell ref="A7:A9"/>
    <mergeCell ref="B7:B9"/>
    <mergeCell ref="A10:A12"/>
    <mergeCell ref="B10:B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5B91A-C216-4B47-AF3C-3C4A69600824}">
  <dimension ref="A2:I39"/>
  <sheetViews>
    <sheetView topLeftCell="A12" zoomScale="90" zoomScaleNormal="90" workbookViewId="0">
      <selection activeCell="B25" sqref="B25"/>
    </sheetView>
  </sheetViews>
  <sheetFormatPr defaultColWidth="31.21875" defaultRowHeight="14.4"/>
  <cols>
    <col min="1" max="1" width="14.44140625" customWidth="1"/>
    <col min="2" max="2" width="66.44140625" bestFit="1" customWidth="1"/>
    <col min="3" max="3" width="5.77734375" bestFit="1" customWidth="1"/>
    <col min="4" max="4" width="15.5546875" bestFit="1" customWidth="1"/>
    <col min="5" max="5" width="19.5546875" bestFit="1" customWidth="1"/>
    <col min="6" max="6" width="15.5546875" bestFit="1" customWidth="1"/>
    <col min="7" max="7" width="16.5546875" bestFit="1" customWidth="1"/>
  </cols>
  <sheetData>
    <row r="2" spans="1:7">
      <c r="B2" s="507" t="s">
        <v>888</v>
      </c>
      <c r="C2" s="509" t="s">
        <v>889</v>
      </c>
      <c r="D2" s="509" t="s">
        <v>890</v>
      </c>
      <c r="E2" s="509" t="s">
        <v>891</v>
      </c>
      <c r="F2" s="505" t="s">
        <v>892</v>
      </c>
      <c r="G2" s="223" t="s">
        <v>893</v>
      </c>
    </row>
    <row r="3" spans="1:7" ht="15" thickBot="1">
      <c r="B3" s="508"/>
      <c r="C3" s="510"/>
      <c r="D3" s="510"/>
      <c r="E3" s="510"/>
      <c r="F3" s="506"/>
      <c r="G3" s="224" t="s">
        <v>892</v>
      </c>
    </row>
    <row r="4" spans="1:7" ht="15" thickBot="1">
      <c r="B4" s="221" t="s">
        <v>895</v>
      </c>
      <c r="C4" s="220" t="s">
        <v>896</v>
      </c>
      <c r="D4" s="463">
        <f>Working!J11</f>
        <v>502570.40740740736</v>
      </c>
      <c r="E4" s="238">
        <f>Working!K11</f>
        <v>1005140.8148148147</v>
      </c>
      <c r="F4" s="238">
        <f>E4*18%</f>
        <v>180925.34666666665</v>
      </c>
      <c r="G4" s="239">
        <f>SUM(E4:F4)</f>
        <v>1186066.1614814813</v>
      </c>
    </row>
    <row r="5" spans="1:7" ht="15" thickBot="1">
      <c r="B5" s="221" t="s">
        <v>897</v>
      </c>
      <c r="C5" s="220" t="s">
        <v>896</v>
      </c>
      <c r="D5" s="463">
        <f>Working!J12</f>
        <v>2543903.4022222222</v>
      </c>
      <c r="E5" s="238">
        <f>Working!K12</f>
        <v>5087806.8044444444</v>
      </c>
      <c r="F5" s="238">
        <f t="shared" ref="F5:F32" si="0">E5*18%</f>
        <v>915805.22479999997</v>
      </c>
      <c r="G5" s="239">
        <f>SUM(E5:F5)</f>
        <v>6003612.0292444443</v>
      </c>
    </row>
    <row r="6" spans="1:7" ht="15" thickBot="1">
      <c r="B6" s="221" t="s">
        <v>899</v>
      </c>
      <c r="C6" s="220" t="s">
        <v>896</v>
      </c>
      <c r="D6" s="463">
        <f>Working!J10</f>
        <v>1435000</v>
      </c>
      <c r="E6" s="238">
        <f>Working!K10</f>
        <v>2870000</v>
      </c>
      <c r="F6" s="238">
        <f t="shared" si="0"/>
        <v>516600</v>
      </c>
      <c r="G6" s="239">
        <f>SUM(E6:F6)</f>
        <v>3386600</v>
      </c>
    </row>
    <row r="7" spans="1:7" ht="29.4" thickBot="1">
      <c r="B7" s="221" t="s">
        <v>900</v>
      </c>
      <c r="C7" s="220" t="s">
        <v>894</v>
      </c>
      <c r="D7" s="503" t="s">
        <v>1150</v>
      </c>
      <c r="E7" s="503" t="s">
        <v>1150</v>
      </c>
      <c r="F7" s="503" t="s">
        <v>1150</v>
      </c>
      <c r="G7" s="503" t="s">
        <v>1150</v>
      </c>
    </row>
    <row r="8" spans="1:7" ht="15" thickBot="1">
      <c r="B8" s="221" t="s">
        <v>901</v>
      </c>
      <c r="C8" s="220" t="s">
        <v>896</v>
      </c>
      <c r="D8" s="463">
        <f>Working!J13</f>
        <v>303703.70370370371</v>
      </c>
      <c r="E8" s="238">
        <f>Working!K13</f>
        <v>607407.40740740742</v>
      </c>
      <c r="F8" s="238">
        <f t="shared" si="0"/>
        <v>109333.33333333333</v>
      </c>
      <c r="G8" s="239">
        <f>SUM(E8:F8)</f>
        <v>716740.74074074079</v>
      </c>
    </row>
    <row r="9" spans="1:7" ht="15" thickBot="1">
      <c r="B9" s="221" t="s">
        <v>902</v>
      </c>
      <c r="C9" s="220" t="s">
        <v>894</v>
      </c>
      <c r="D9" s="463">
        <f>Working!J15</f>
        <v>4701333.333333333</v>
      </c>
      <c r="E9" s="238">
        <f>Working!K15</f>
        <v>4701333.333333333</v>
      </c>
      <c r="F9" s="238">
        <f t="shared" si="0"/>
        <v>846239.99999999988</v>
      </c>
      <c r="G9" s="239">
        <f t="shared" ref="G9:G32" si="1">SUM(E9:F9)</f>
        <v>5547573.333333333</v>
      </c>
    </row>
    <row r="10" spans="1:7" ht="15" thickBot="1">
      <c r="A10" s="308"/>
      <c r="B10" s="221" t="s">
        <v>903</v>
      </c>
      <c r="C10" s="220" t="s">
        <v>904</v>
      </c>
      <c r="D10" s="463">
        <f>Working!J9</f>
        <v>10448726.434238723</v>
      </c>
      <c r="E10" s="238">
        <f>Working!K9</f>
        <v>83589811.47390978</v>
      </c>
      <c r="F10" s="238">
        <f t="shared" si="0"/>
        <v>15046166.06530376</v>
      </c>
      <c r="G10" s="239">
        <f t="shared" si="1"/>
        <v>98635977.539213538</v>
      </c>
    </row>
    <row r="11" spans="1:7" ht="15" thickBot="1">
      <c r="A11" s="308"/>
      <c r="B11" s="221" t="s">
        <v>905</v>
      </c>
      <c r="C11" s="220" t="s">
        <v>894</v>
      </c>
      <c r="D11" s="463">
        <f>Working!J16</f>
        <v>29647468.048071105</v>
      </c>
      <c r="E11" s="238">
        <f>Working!K16</f>
        <v>29647468.048071105</v>
      </c>
      <c r="F11" s="238">
        <f t="shared" si="0"/>
        <v>5336544.2486527991</v>
      </c>
      <c r="G11" s="239">
        <f t="shared" si="1"/>
        <v>34984012.296723902</v>
      </c>
    </row>
    <row r="12" spans="1:7" ht="15" thickBot="1">
      <c r="B12" s="221" t="s">
        <v>906</v>
      </c>
      <c r="C12" s="220" t="s">
        <v>898</v>
      </c>
      <c r="D12" s="463">
        <f>Working!J18</f>
        <v>607407.40740740742</v>
      </c>
      <c r="E12" s="238">
        <f>Working!K18</f>
        <v>1822222.2222222222</v>
      </c>
      <c r="F12" s="238">
        <f t="shared" si="0"/>
        <v>328000</v>
      </c>
      <c r="G12" s="239">
        <f t="shared" si="1"/>
        <v>2150222.222222222</v>
      </c>
    </row>
    <row r="13" spans="1:7" ht="15" thickBot="1">
      <c r="B13" s="221" t="s">
        <v>1031</v>
      </c>
      <c r="C13" s="220" t="s">
        <v>894</v>
      </c>
      <c r="D13" s="463">
        <f>Working!J38</f>
        <v>22222.222222222219</v>
      </c>
      <c r="E13" s="238">
        <f>Working!K38</f>
        <v>1111111.111111111</v>
      </c>
      <c r="F13" s="238">
        <f t="shared" si="0"/>
        <v>199999.99999999997</v>
      </c>
      <c r="G13" s="239">
        <f t="shared" si="1"/>
        <v>1311111.111111111</v>
      </c>
    </row>
    <row r="14" spans="1:7" ht="15" thickBot="1">
      <c r="B14" s="221" t="s">
        <v>907</v>
      </c>
      <c r="C14" s="220" t="s">
        <v>894</v>
      </c>
      <c r="D14" s="463">
        <f>SUM(Working!J29:J31)</f>
        <v>790580.30903703696</v>
      </c>
      <c r="E14" s="238">
        <f>SUM(Working!K29:K31)</f>
        <v>7082335.1117037041</v>
      </c>
      <c r="F14" s="238">
        <f t="shared" si="0"/>
        <v>1274820.3201066668</v>
      </c>
      <c r="G14" s="239">
        <f t="shared" si="1"/>
        <v>8357155.4318103706</v>
      </c>
    </row>
    <row r="15" spans="1:7" ht="15" thickBot="1">
      <c r="B15" s="221" t="s">
        <v>908</v>
      </c>
      <c r="C15" s="220" t="s">
        <v>894</v>
      </c>
      <c r="D15" s="463">
        <f>SUM(Working!J26,Working!J28)</f>
        <v>998498.1481481482</v>
      </c>
      <c r="E15" s="238">
        <f>SUM(Working!K26,Working!K28)</f>
        <v>16515796.666666668</v>
      </c>
      <c r="F15" s="238">
        <f t="shared" si="0"/>
        <v>2972843.4</v>
      </c>
      <c r="G15" s="239">
        <f t="shared" si="1"/>
        <v>19488640.066666666</v>
      </c>
    </row>
    <row r="16" spans="1:7" ht="15" thickBot="1">
      <c r="B16" s="221" t="s">
        <v>941</v>
      </c>
      <c r="C16" s="220" t="s">
        <v>894</v>
      </c>
      <c r="D16" s="463">
        <f>Working!J37</f>
        <v>1185185.1851851852</v>
      </c>
      <c r="E16" s="238">
        <f>Working!K37</f>
        <v>1185185.1851851852</v>
      </c>
      <c r="F16" s="238">
        <f t="shared" si="0"/>
        <v>213333.33333333331</v>
      </c>
      <c r="G16" s="239">
        <f t="shared" si="1"/>
        <v>1398518.5185185184</v>
      </c>
    </row>
    <row r="17" spans="1:9" ht="15" thickBot="1">
      <c r="B17" s="221" t="s">
        <v>909</v>
      </c>
      <c r="C17" s="220" t="s">
        <v>894</v>
      </c>
      <c r="D17" s="463">
        <f>Working!J17</f>
        <v>516296.29629629623</v>
      </c>
      <c r="E17" s="238">
        <f>Working!K17</f>
        <v>516296.29629629623</v>
      </c>
      <c r="F17" s="238">
        <f t="shared" si="0"/>
        <v>92933.333333333314</v>
      </c>
      <c r="G17" s="239">
        <f t="shared" si="1"/>
        <v>609229.62962962955</v>
      </c>
    </row>
    <row r="18" spans="1:9" ht="15" thickBot="1">
      <c r="B18" s="222" t="s">
        <v>1345</v>
      </c>
      <c r="C18" s="220">
        <v>1</v>
      </c>
      <c r="D18" s="463">
        <f>Working!J36</f>
        <v>14621601.277777776</v>
      </c>
      <c r="E18" s="463">
        <f>Working!K36</f>
        <v>14621601.277777776</v>
      </c>
      <c r="F18" s="238">
        <f t="shared" ref="F18" si="2">E18*18%</f>
        <v>2631888.2299999995</v>
      </c>
      <c r="G18" s="239">
        <f t="shared" ref="G18" si="3">SUM(E18:F18)</f>
        <v>17253489.507777777</v>
      </c>
    </row>
    <row r="19" spans="1:9" ht="43.8" thickBot="1">
      <c r="B19" s="229" t="s">
        <v>910</v>
      </c>
      <c r="C19" s="220" t="s">
        <v>894</v>
      </c>
      <c r="D19" s="503" t="s">
        <v>1151</v>
      </c>
      <c r="E19" s="503" t="s">
        <v>1151</v>
      </c>
      <c r="F19" s="503" t="s">
        <v>1151</v>
      </c>
      <c r="G19" s="503" t="s">
        <v>1151</v>
      </c>
    </row>
    <row r="20" spans="1:9" ht="15" thickBot="1">
      <c r="B20" s="229" t="s">
        <v>911</v>
      </c>
      <c r="C20" s="220" t="s">
        <v>894</v>
      </c>
      <c r="D20" s="463">
        <f>Working!J45</f>
        <v>143500</v>
      </c>
      <c r="E20" s="238">
        <f>Working!K45</f>
        <v>1435000</v>
      </c>
      <c r="F20" s="238">
        <f t="shared" si="0"/>
        <v>258300</v>
      </c>
      <c r="G20" s="239">
        <f t="shared" si="1"/>
        <v>1693300</v>
      </c>
    </row>
    <row r="21" spans="1:9" ht="15" thickBot="1">
      <c r="B21" s="221" t="s">
        <v>942</v>
      </c>
      <c r="C21" s="220" t="s">
        <v>894</v>
      </c>
      <c r="D21" s="463">
        <f>SUM(Working!J39:J40)</f>
        <v>206222.22222222222</v>
      </c>
      <c r="E21" s="238">
        <f>SUM(Working!K39:K40)</f>
        <v>4871111.111111111</v>
      </c>
      <c r="F21" s="238">
        <f t="shared" si="0"/>
        <v>876800</v>
      </c>
      <c r="G21" s="239">
        <f t="shared" si="1"/>
        <v>5747911.111111111</v>
      </c>
    </row>
    <row r="22" spans="1:9" ht="15" thickBot="1">
      <c r="B22" s="221" t="s">
        <v>912</v>
      </c>
      <c r="C22" s="220" t="s">
        <v>894</v>
      </c>
      <c r="D22" s="463">
        <f>Working!J27</f>
        <v>908155.92592592572</v>
      </c>
      <c r="E22" s="238">
        <f>Working!K27</f>
        <v>1816311.8518518514</v>
      </c>
      <c r="F22" s="238">
        <f t="shared" si="0"/>
        <v>326936.13333333324</v>
      </c>
      <c r="G22" s="239">
        <f t="shared" si="1"/>
        <v>2143247.9851851845</v>
      </c>
    </row>
    <row r="23" spans="1:9" ht="15" thickBot="1">
      <c r="B23" s="227" t="s">
        <v>913</v>
      </c>
      <c r="C23" s="228"/>
      <c r="D23" s="240"/>
      <c r="E23" s="463">
        <f>Working!K19</f>
        <v>2469135.8024691357</v>
      </c>
      <c r="F23" s="238">
        <f t="shared" si="0"/>
        <v>444444.44444444444</v>
      </c>
      <c r="G23" s="239">
        <f t="shared" si="1"/>
        <v>2913580.2469135802</v>
      </c>
    </row>
    <row r="24" spans="1:9" ht="15" thickBot="1">
      <c r="B24" s="227" t="s">
        <v>914</v>
      </c>
      <c r="C24" s="228"/>
      <c r="D24" s="240"/>
      <c r="E24" s="463">
        <f>Working!K32</f>
        <v>11851851.851851851</v>
      </c>
      <c r="F24" s="238">
        <f t="shared" si="0"/>
        <v>2133333.333333333</v>
      </c>
      <c r="G24" s="239">
        <f t="shared" si="1"/>
        <v>13985185.185185183</v>
      </c>
    </row>
    <row r="25" spans="1:9" ht="15" thickBot="1">
      <c r="B25" s="227" t="s">
        <v>1153</v>
      </c>
      <c r="C25" s="309"/>
      <c r="D25" s="464">
        <f>'Broadband Cost'!F5</f>
        <v>1440000</v>
      </c>
      <c r="E25" s="238">
        <f>D25</f>
        <v>1440000</v>
      </c>
      <c r="F25" s="238">
        <f t="shared" si="0"/>
        <v>259200</v>
      </c>
      <c r="G25" s="239">
        <f t="shared" si="1"/>
        <v>1699200</v>
      </c>
    </row>
    <row r="26" spans="1:9" ht="29.4" thickBot="1">
      <c r="A26" t="s">
        <v>1363</v>
      </c>
      <c r="B26" s="227" t="s">
        <v>967</v>
      </c>
      <c r="C26" s="310">
        <v>1</v>
      </c>
      <c r="D26" s="238">
        <f>Working!K33+Working!K34</f>
        <v>23663985.364417776</v>
      </c>
      <c r="E26" s="238">
        <f>SUM(Working!K33:K34)</f>
        <v>23663985.364417776</v>
      </c>
      <c r="F26" s="238">
        <f t="shared" si="0"/>
        <v>4259517.3655951992</v>
      </c>
      <c r="G26" s="239">
        <f t="shared" si="1"/>
        <v>27923502.730012976</v>
      </c>
      <c r="H26" t="s">
        <v>1364</v>
      </c>
    </row>
    <row r="27" spans="1:9" ht="47.55" customHeight="1" thickBot="1">
      <c r="A27" t="s">
        <v>1363</v>
      </c>
      <c r="B27" s="494" t="s">
        <v>915</v>
      </c>
      <c r="C27" s="220">
        <v>1</v>
      </c>
      <c r="D27" s="464">
        <f>Working!J14</f>
        <v>43368888.888888888</v>
      </c>
      <c r="E27" s="240">
        <f>Working!K14</f>
        <v>43368888.888888888</v>
      </c>
      <c r="F27" s="238">
        <f t="shared" si="0"/>
        <v>7806400</v>
      </c>
      <c r="G27" s="239">
        <f t="shared" si="1"/>
        <v>51175288.888888888</v>
      </c>
      <c r="H27" t="s">
        <v>1365</v>
      </c>
    </row>
    <row r="28" spans="1:9" ht="15" thickBot="1">
      <c r="B28" s="493" t="s">
        <v>966</v>
      </c>
      <c r="C28" s="220">
        <v>1</v>
      </c>
      <c r="D28" s="463">
        <f>'Monthly Recurring'!H19</f>
        <v>19144227.599999998</v>
      </c>
      <c r="E28" s="238">
        <f>'Monthly Recurring'!H19</f>
        <v>19144227.599999998</v>
      </c>
      <c r="F28" s="238">
        <f t="shared" si="0"/>
        <v>3445960.9679999994</v>
      </c>
      <c r="G28" s="239">
        <f t="shared" si="1"/>
        <v>22590188.567999996</v>
      </c>
    </row>
    <row r="29" spans="1:9" ht="15" thickBot="1">
      <c r="B29" s="227" t="s">
        <v>1023</v>
      </c>
      <c r="C29" s="220">
        <v>1</v>
      </c>
      <c r="D29" s="390" t="s">
        <v>1121</v>
      </c>
      <c r="E29" s="390" t="s">
        <v>1121</v>
      </c>
      <c r="F29" s="390" t="s">
        <v>1121</v>
      </c>
      <c r="G29" s="390" t="s">
        <v>1121</v>
      </c>
      <c r="I29">
        <v>240000000</v>
      </c>
    </row>
    <row r="30" spans="1:9" ht="15" thickBot="1">
      <c r="B30" s="227" t="s">
        <v>1340</v>
      </c>
      <c r="C30" s="220">
        <v>1</v>
      </c>
      <c r="D30" s="466">
        <f>Working!J47</f>
        <v>1600000</v>
      </c>
      <c r="E30" s="390">
        <f>Working!K47</f>
        <v>1600000</v>
      </c>
      <c r="F30" s="238">
        <f t="shared" si="0"/>
        <v>288000</v>
      </c>
      <c r="G30" s="239">
        <f t="shared" si="1"/>
        <v>1888000</v>
      </c>
      <c r="I30">
        <f>I29*6%</f>
        <v>14400000</v>
      </c>
    </row>
    <row r="31" spans="1:9" ht="15" thickBot="1">
      <c r="B31" s="227" t="s">
        <v>1353</v>
      </c>
      <c r="C31" s="475">
        <v>1</v>
      </c>
      <c r="D31" s="466">
        <f>Working!J43</f>
        <v>680141.51111111115</v>
      </c>
      <c r="E31" s="466">
        <f>Working!K43</f>
        <v>680141.51111111115</v>
      </c>
      <c r="F31" s="238">
        <f t="shared" si="0"/>
        <v>122425.47200000001</v>
      </c>
      <c r="G31" s="239">
        <f t="shared" si="1"/>
        <v>802566.98311111121</v>
      </c>
      <c r="H31" t="s">
        <v>1352</v>
      </c>
      <c r="I31">
        <v>30000000</v>
      </c>
    </row>
    <row r="32" spans="1:9" ht="15" thickBot="1">
      <c r="B32" s="227" t="s">
        <v>1157</v>
      </c>
      <c r="C32" s="475">
        <v>1</v>
      </c>
      <c r="D32" s="466">
        <f>Working!J44</f>
        <v>1899259.2592592591</v>
      </c>
      <c r="E32" s="466">
        <f>Working!K44</f>
        <v>1899259.2592592591</v>
      </c>
      <c r="F32" s="238">
        <f t="shared" si="0"/>
        <v>341866.66666666663</v>
      </c>
      <c r="G32" s="239">
        <f t="shared" si="1"/>
        <v>2241125.9259259258</v>
      </c>
      <c r="H32" t="s">
        <v>1352</v>
      </c>
      <c r="I32">
        <f>I29+I30+I31</f>
        <v>284400000</v>
      </c>
    </row>
    <row r="33" spans="2:9">
      <c r="B33" s="225" t="s">
        <v>916</v>
      </c>
      <c r="C33" s="226"/>
      <c r="D33" s="241"/>
      <c r="E33" s="462">
        <f>SUM(E4:E32)</f>
        <v>284603428.99390489</v>
      </c>
      <c r="F33" s="462">
        <f>SUM(F4:F30)</f>
        <v>50764325.080236197</v>
      </c>
      <c r="G33" s="462">
        <f>SUM(G4:G30)</f>
        <v>332788353.30377066</v>
      </c>
      <c r="I33">
        <f>I32*18%</f>
        <v>51192000</v>
      </c>
    </row>
    <row r="34" spans="2:9">
      <c r="E34" s="308"/>
    </row>
    <row r="35" spans="2:9">
      <c r="E35" s="308"/>
    </row>
    <row r="36" spans="2:9">
      <c r="E36" s="308"/>
    </row>
    <row r="37" spans="2:9">
      <c r="B37" t="s">
        <v>916</v>
      </c>
      <c r="E37">
        <v>320348148.96269882</v>
      </c>
      <c r="F37">
        <v>57662666.813285783</v>
      </c>
      <c r="G37">
        <v>378010815.77598459</v>
      </c>
    </row>
    <row r="39" spans="2:9">
      <c r="E39" s="396">
        <v>275668318.5776453</v>
      </c>
      <c r="F39">
        <v>49620297.34397614</v>
      </c>
      <c r="G39">
        <v>325288615.9216215</v>
      </c>
    </row>
  </sheetData>
  <mergeCells count="5">
    <mergeCell ref="F2:F3"/>
    <mergeCell ref="B2:B3"/>
    <mergeCell ref="C2:C3"/>
    <mergeCell ref="D2:D3"/>
    <mergeCell ref="E2:E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F5EE1-CD8A-42D4-8A3B-C8C397CEB8F1}">
  <sheetPr codeName="Sheet7">
    <tabColor rgb="FFFFC000"/>
  </sheetPr>
  <dimension ref="A1:CV55"/>
  <sheetViews>
    <sheetView showGridLines="0" topLeftCell="F15" zoomScale="70" zoomScaleNormal="70" workbookViewId="0">
      <selection activeCell="K32" sqref="K32"/>
    </sheetView>
  </sheetViews>
  <sheetFormatPr defaultColWidth="9" defaultRowHeight="14.4"/>
  <cols>
    <col min="1" max="1" width="3.77734375" style="29" customWidth="1"/>
    <col min="2" max="2" width="9.44140625" style="30" customWidth="1"/>
    <col min="3" max="3" width="36.77734375" style="31" bestFit="1" customWidth="1"/>
    <col min="4" max="4" width="78.77734375" style="89" customWidth="1"/>
    <col min="5" max="5" width="18.5546875" style="32" customWidth="1"/>
    <col min="6" max="6" width="21.21875" style="32" bestFit="1" customWidth="1"/>
    <col min="7" max="7" width="18.21875" style="32" customWidth="1"/>
    <col min="8" max="8" width="23.5546875" style="32" bestFit="1" customWidth="1"/>
    <col min="9" max="9" width="21.77734375" style="32" customWidth="1"/>
    <col min="10" max="10" width="21.77734375" style="32" bestFit="1" customWidth="1"/>
    <col min="11" max="11" width="24.5546875" style="32" bestFit="1" customWidth="1"/>
    <col min="12" max="12" width="24.5546875" style="32" customWidth="1"/>
    <col min="13" max="15" width="23.21875" style="32" customWidth="1"/>
    <col min="16" max="16" width="16" style="33" bestFit="1" customWidth="1"/>
    <col min="17" max="17" width="23.21875" style="32" customWidth="1"/>
    <col min="18" max="18" width="16" style="33" bestFit="1" customWidth="1"/>
    <col min="19" max="19" width="15.77734375" style="311" bestFit="1" customWidth="1"/>
    <col min="20" max="20" width="14.109375" style="33" bestFit="1" customWidth="1"/>
    <col min="21" max="23" width="15.77734375" style="33" bestFit="1" customWidth="1"/>
    <col min="24" max="25" width="9" style="33"/>
    <col min="26" max="26" width="14.21875" style="33" bestFit="1" customWidth="1"/>
    <col min="27" max="28" width="9" style="33"/>
    <col min="29" max="29" width="14.21875" style="33" bestFit="1" customWidth="1"/>
    <col min="30" max="100" width="9" style="33"/>
    <col min="101" max="16384" width="9" style="32"/>
  </cols>
  <sheetData>
    <row r="1" spans="1:29" ht="15" thickBot="1"/>
    <row r="2" spans="1:29" ht="15" thickBot="1">
      <c r="C2" s="34"/>
      <c r="D2" s="90" t="s">
        <v>200</v>
      </c>
      <c r="E2" s="35">
        <v>0.05</v>
      </c>
      <c r="F2" s="33">
        <f>13/12</f>
        <v>1.0833333333333333</v>
      </c>
      <c r="G2" s="33">
        <f>F2*3</f>
        <v>3.25</v>
      </c>
      <c r="H2" s="33"/>
      <c r="I2" s="39"/>
      <c r="J2" s="39"/>
      <c r="K2" s="48"/>
      <c r="L2" s="48"/>
      <c r="M2" s="48"/>
      <c r="N2" s="48"/>
      <c r="O2" s="48"/>
      <c r="Q2" s="48"/>
    </row>
    <row r="3" spans="1:29" ht="15" thickBot="1">
      <c r="C3" s="34"/>
      <c r="D3" s="90" t="s">
        <v>935</v>
      </c>
      <c r="E3" s="35">
        <v>0.19</v>
      </c>
      <c r="F3" s="33" t="s">
        <v>1148</v>
      </c>
      <c r="G3" s="33"/>
      <c r="H3" s="33"/>
      <c r="I3" s="39"/>
      <c r="J3" s="39"/>
      <c r="K3" s="48"/>
      <c r="L3" s="48"/>
      <c r="M3" s="48"/>
      <c r="N3" s="48"/>
      <c r="O3" s="48"/>
      <c r="Q3" s="48"/>
    </row>
    <row r="4" spans="1:29" ht="15" thickBot="1">
      <c r="C4" s="34"/>
      <c r="D4" s="91" t="s">
        <v>201</v>
      </c>
      <c r="E4" s="36">
        <v>0.18</v>
      </c>
      <c r="F4" s="33"/>
      <c r="G4" s="33"/>
      <c r="H4" s="33"/>
      <c r="I4" s="74"/>
      <c r="J4" s="74"/>
      <c r="K4" s="75">
        <f>15/12</f>
        <v>1.25</v>
      </c>
      <c r="L4" s="75"/>
      <c r="M4" s="75"/>
      <c r="N4" s="75"/>
      <c r="O4" s="48"/>
      <c r="Q4" s="75"/>
    </row>
    <row r="5" spans="1:29" ht="15" thickBot="1">
      <c r="C5" s="34"/>
      <c r="D5" s="92" t="s">
        <v>202</v>
      </c>
      <c r="E5" s="37">
        <v>0.15</v>
      </c>
      <c r="F5" s="33"/>
      <c r="G5" s="33"/>
      <c r="H5" s="33"/>
      <c r="I5" s="74"/>
      <c r="J5" s="74"/>
      <c r="K5" s="75"/>
      <c r="L5" s="75"/>
      <c r="M5" s="75"/>
      <c r="N5" s="75"/>
      <c r="O5" s="48"/>
      <c r="Q5" s="75"/>
    </row>
    <row r="6" spans="1:29" s="33" customFormat="1">
      <c r="A6" s="29"/>
      <c r="B6" s="30"/>
      <c r="C6" s="34"/>
      <c r="D6" s="93"/>
      <c r="E6" s="38"/>
      <c r="I6" s="377"/>
      <c r="J6" s="377"/>
      <c r="S6" s="311"/>
    </row>
    <row r="7" spans="1:29" ht="28.8">
      <c r="B7" s="40" t="s">
        <v>203</v>
      </c>
      <c r="C7" s="40" t="s">
        <v>204</v>
      </c>
      <c r="D7" s="40" t="s">
        <v>205</v>
      </c>
      <c r="E7" s="40" t="s">
        <v>206</v>
      </c>
      <c r="F7" s="40" t="s">
        <v>207</v>
      </c>
      <c r="G7" s="40" t="s">
        <v>200</v>
      </c>
      <c r="H7" s="40" t="s">
        <v>208</v>
      </c>
      <c r="I7" s="40" t="s">
        <v>1030</v>
      </c>
      <c r="J7" s="40" t="s">
        <v>936</v>
      </c>
      <c r="K7" s="41" t="s">
        <v>209</v>
      </c>
      <c r="L7" s="78" t="s">
        <v>938</v>
      </c>
      <c r="M7" s="78" t="s">
        <v>210</v>
      </c>
      <c r="N7" s="78"/>
      <c r="O7" s="535" t="s">
        <v>101</v>
      </c>
      <c r="Q7" s="78" t="s">
        <v>981</v>
      </c>
      <c r="S7" s="378" t="s">
        <v>935</v>
      </c>
    </row>
    <row r="8" spans="1:29" ht="21" customHeight="1">
      <c r="B8" s="42"/>
      <c r="C8" s="42" t="s">
        <v>19</v>
      </c>
      <c r="D8" s="42" t="s">
        <v>483</v>
      </c>
      <c r="E8" s="42" t="s">
        <v>211</v>
      </c>
      <c r="F8" s="42"/>
      <c r="G8" s="42"/>
      <c r="H8" s="42"/>
      <c r="I8" s="42"/>
      <c r="J8" s="42" t="s">
        <v>3</v>
      </c>
      <c r="K8" s="42"/>
      <c r="L8" s="79"/>
      <c r="M8" s="79"/>
      <c r="N8" s="79"/>
      <c r="O8" s="536"/>
      <c r="Q8" s="79"/>
      <c r="S8" s="379"/>
    </row>
    <row r="9" spans="1:29" ht="158.4">
      <c r="B9" s="53">
        <v>1</v>
      </c>
      <c r="C9" s="76" t="s">
        <v>212</v>
      </c>
      <c r="D9" s="94" t="s">
        <v>794</v>
      </c>
      <c r="E9" s="50">
        <v>8</v>
      </c>
      <c r="F9" s="77">
        <f>'Lenovo Quote'!D4</f>
        <v>6880868.6274255011</v>
      </c>
      <c r="G9" s="77">
        <f>(F9*$E$2)</f>
        <v>344043.4313712751</v>
      </c>
      <c r="H9" s="77">
        <f>$E$4*F9</f>
        <v>1238556.3529365901</v>
      </c>
      <c r="I9" s="469"/>
      <c r="J9" s="77">
        <f t="shared" ref="J9:J19" si="0">(SUM(F9:H9)/(1-$E$3))-(I9*(SUM(F9:H9)/(1-$E$3)))</f>
        <v>10448726.434238723</v>
      </c>
      <c r="K9" s="601">
        <f>(J9*E9)-(I9*(J9*E9))</f>
        <v>83589811.47390978</v>
      </c>
      <c r="L9" s="80"/>
      <c r="M9" s="80">
        <f>J9*12%</f>
        <v>1253847.1721086467</v>
      </c>
      <c r="N9" s="80">
        <f>M9*E9</f>
        <v>10030777.376869174</v>
      </c>
      <c r="O9" s="58">
        <f>(SUM(F9:H9)/(1-$E$3))</f>
        <v>10448726.434238723</v>
      </c>
      <c r="Q9" s="313">
        <f t="shared" ref="Q9:Q18" si="1">F9*E9</f>
        <v>55046949.019404009</v>
      </c>
      <c r="S9" s="380">
        <f>K9*$E$3</f>
        <v>15882064.180042859</v>
      </c>
      <c r="T9" s="377">
        <f>SUM(F9:H9)</f>
        <v>8463468.4117333665</v>
      </c>
      <c r="U9" s="377">
        <f>T9*E9</f>
        <v>67707747.293866932</v>
      </c>
      <c r="V9" s="377">
        <f>K9</f>
        <v>83589811.47390978</v>
      </c>
      <c r="W9" s="377">
        <f>V9-U9</f>
        <v>15882064.180042848</v>
      </c>
      <c r="Y9" s="33">
        <v>100</v>
      </c>
      <c r="Z9" s="377">
        <f>(Z11*Y9)/Y11</f>
        <v>9617577.7406060975</v>
      </c>
      <c r="AB9" s="33">
        <v>112</v>
      </c>
      <c r="AC9" s="377">
        <f>(AC11*AB9)/AB11</f>
        <v>9479084.6211413704</v>
      </c>
    </row>
    <row r="10" spans="1:29" ht="28.8">
      <c r="B10" s="53">
        <v>2</v>
      </c>
      <c r="C10" s="76" t="s">
        <v>469</v>
      </c>
      <c r="D10" s="94" t="s">
        <v>917</v>
      </c>
      <c r="E10" s="50">
        <v>2</v>
      </c>
      <c r="F10" s="77">
        <f>945000</f>
        <v>945000</v>
      </c>
      <c r="G10" s="77">
        <f t="shared" ref="G10:G18" si="2">(F10*$E$2)</f>
        <v>47250</v>
      </c>
      <c r="H10" s="77">
        <f t="shared" ref="H10:H18" si="3">$E$4*F10</f>
        <v>170100</v>
      </c>
      <c r="I10" s="469"/>
      <c r="J10" s="77">
        <f t="shared" si="0"/>
        <v>1435000</v>
      </c>
      <c r="K10" s="601">
        <f t="shared" ref="K10:K19" si="4">J10*E10</f>
        <v>2870000</v>
      </c>
      <c r="L10" s="80"/>
      <c r="M10" s="80"/>
      <c r="N10" s="80"/>
      <c r="O10" s="58"/>
      <c r="Q10" s="313">
        <f t="shared" si="1"/>
        <v>1890000</v>
      </c>
      <c r="S10" s="380">
        <f t="shared" ref="S10:S18" si="5">K10*$E$3</f>
        <v>545300</v>
      </c>
      <c r="T10" s="377"/>
      <c r="U10" s="377"/>
      <c r="Y10" s="33">
        <v>12</v>
      </c>
    </row>
    <row r="11" spans="1:29">
      <c r="B11" s="53">
        <v>3</v>
      </c>
      <c r="C11" s="94" t="s">
        <v>468</v>
      </c>
      <c r="D11" s="94" t="s">
        <v>918</v>
      </c>
      <c r="E11" s="50">
        <v>2</v>
      </c>
      <c r="F11" s="77">
        <f>OEM!G155</f>
        <v>330961</v>
      </c>
      <c r="G11" s="77">
        <f>(F11*$E$2)</f>
        <v>16548.05</v>
      </c>
      <c r="H11" s="77">
        <f t="shared" si="3"/>
        <v>59572.979999999996</v>
      </c>
      <c r="I11" s="469"/>
      <c r="J11" s="77">
        <f t="shared" si="0"/>
        <v>502570.40740740736</v>
      </c>
      <c r="K11" s="601">
        <f t="shared" si="4"/>
        <v>1005140.8148148147</v>
      </c>
      <c r="L11" s="80"/>
      <c r="M11" s="80"/>
      <c r="N11" s="80"/>
      <c r="O11" s="58"/>
      <c r="Q11" s="313">
        <f t="shared" si="1"/>
        <v>661922</v>
      </c>
      <c r="S11" s="380">
        <f t="shared" si="5"/>
        <v>190976.75481481481</v>
      </c>
      <c r="T11" s="377"/>
      <c r="U11" s="377"/>
      <c r="Y11" s="33">
        <v>88</v>
      </c>
      <c r="Z11" s="377">
        <f>SUM(F9:H9)</f>
        <v>8463468.4117333665</v>
      </c>
      <c r="AB11" s="33">
        <v>100</v>
      </c>
      <c r="AC11" s="377">
        <f>Z11</f>
        <v>8463468.4117333665</v>
      </c>
    </row>
    <row r="12" spans="1:29">
      <c r="B12" s="53">
        <v>4</v>
      </c>
      <c r="C12" s="94" t="s">
        <v>919</v>
      </c>
      <c r="D12" s="94" t="s">
        <v>920</v>
      </c>
      <c r="E12" s="50">
        <v>2</v>
      </c>
      <c r="F12" s="77">
        <f>OEM!G156</f>
        <v>1675253.46</v>
      </c>
      <c r="G12" s="77">
        <f t="shared" si="2"/>
        <v>83762.67300000001</v>
      </c>
      <c r="H12" s="77">
        <f t="shared" si="3"/>
        <v>301545.62279999995</v>
      </c>
      <c r="I12" s="469"/>
      <c r="J12" s="77">
        <f t="shared" si="0"/>
        <v>2543903.4022222222</v>
      </c>
      <c r="K12" s="601">
        <f t="shared" si="4"/>
        <v>5087806.8044444444</v>
      </c>
      <c r="L12" s="80"/>
      <c r="M12" s="80"/>
      <c r="N12" s="80"/>
      <c r="O12" s="58"/>
      <c r="Q12" s="313">
        <f t="shared" si="1"/>
        <v>3350506.92</v>
      </c>
      <c r="S12" s="380">
        <f t="shared" si="5"/>
        <v>966683.2928444444</v>
      </c>
      <c r="T12" s="377"/>
      <c r="U12" s="377"/>
    </row>
    <row r="13" spans="1:29">
      <c r="B13" s="53">
        <v>5</v>
      </c>
      <c r="C13" s="94" t="s">
        <v>678</v>
      </c>
      <c r="D13" s="94" t="s">
        <v>921</v>
      </c>
      <c r="E13" s="50">
        <v>2</v>
      </c>
      <c r="F13" s="77">
        <f>OEM!G157</f>
        <v>200000</v>
      </c>
      <c r="G13" s="77">
        <f t="shared" si="2"/>
        <v>10000</v>
      </c>
      <c r="H13" s="77">
        <f t="shared" si="3"/>
        <v>36000</v>
      </c>
      <c r="I13" s="469"/>
      <c r="J13" s="77">
        <f t="shared" si="0"/>
        <v>303703.70370370371</v>
      </c>
      <c r="K13" s="601">
        <f t="shared" si="4"/>
        <v>607407.40740740742</v>
      </c>
      <c r="L13" s="80"/>
      <c r="M13" s="80"/>
      <c r="N13" s="80"/>
      <c r="O13" s="58"/>
      <c r="Q13" s="313">
        <f t="shared" si="1"/>
        <v>400000</v>
      </c>
      <c r="S13" s="380">
        <f t="shared" si="5"/>
        <v>115407.40740740742</v>
      </c>
      <c r="T13" s="377"/>
      <c r="U13" s="377"/>
    </row>
    <row r="14" spans="1:29" ht="28.8">
      <c r="B14" s="53">
        <v>6</v>
      </c>
      <c r="C14" s="94"/>
      <c r="D14" s="94" t="s">
        <v>915</v>
      </c>
      <c r="E14" s="50">
        <v>1</v>
      </c>
      <c r="F14" s="77">
        <f>Colo!H11</f>
        <v>28560000</v>
      </c>
      <c r="G14" s="77">
        <f t="shared" si="2"/>
        <v>1428000</v>
      </c>
      <c r="H14" s="77">
        <f t="shared" si="3"/>
        <v>5140800</v>
      </c>
      <c r="I14" s="469"/>
      <c r="J14" s="77">
        <f t="shared" si="0"/>
        <v>43368888.888888888</v>
      </c>
      <c r="K14" s="77">
        <f t="shared" si="4"/>
        <v>43368888.888888888</v>
      </c>
      <c r="L14" s="80"/>
      <c r="M14" s="80"/>
      <c r="N14" s="80"/>
      <c r="O14" s="58"/>
      <c r="Q14" s="313">
        <f t="shared" si="1"/>
        <v>28560000</v>
      </c>
      <c r="S14" s="380">
        <f t="shared" si="5"/>
        <v>8240088.888888889</v>
      </c>
      <c r="T14" s="377"/>
      <c r="U14" s="377"/>
      <c r="Z14" s="377">
        <f>Z9*12%</f>
        <v>1154109.3288727317</v>
      </c>
      <c r="AC14" s="377">
        <f>AC9*12%</f>
        <v>1137490.1545369644</v>
      </c>
    </row>
    <row r="15" spans="1:29" s="29" customFormat="1">
      <c r="B15" s="53">
        <v>7</v>
      </c>
      <c r="C15" s="94" t="s">
        <v>467</v>
      </c>
      <c r="D15" s="94" t="s">
        <v>922</v>
      </c>
      <c r="E15" s="50">
        <v>1</v>
      </c>
      <c r="F15" s="77">
        <f>86000*36</f>
        <v>3096000</v>
      </c>
      <c r="G15" s="77">
        <f t="shared" si="2"/>
        <v>154800</v>
      </c>
      <c r="H15" s="77">
        <f t="shared" si="3"/>
        <v>557280</v>
      </c>
      <c r="I15" s="469"/>
      <c r="J15" s="77">
        <f t="shared" si="0"/>
        <v>4701333.333333333</v>
      </c>
      <c r="K15" s="601">
        <f t="shared" si="4"/>
        <v>4701333.333333333</v>
      </c>
      <c r="L15" s="398"/>
      <c r="M15" s="398"/>
      <c r="N15" s="398"/>
      <c r="O15" s="399"/>
      <c r="Q15" s="400">
        <f t="shared" si="1"/>
        <v>3096000</v>
      </c>
      <c r="S15" s="401">
        <f t="shared" si="5"/>
        <v>893253.33333333326</v>
      </c>
      <c r="T15" s="402"/>
      <c r="U15" s="402"/>
      <c r="Z15" s="402">
        <f>Z9-Z14</f>
        <v>8463468.4117333665</v>
      </c>
      <c r="AC15" s="402">
        <f>AC9-AC14</f>
        <v>8341594.466604406</v>
      </c>
    </row>
    <row r="16" spans="1:29">
      <c r="B16" s="53">
        <v>8</v>
      </c>
      <c r="C16" s="94" t="s">
        <v>923</v>
      </c>
      <c r="D16" s="94" t="s">
        <v>752</v>
      </c>
      <c r="E16" s="50">
        <v>1</v>
      </c>
      <c r="F16" s="77">
        <f>'Lenovo Quote'!G175</f>
        <v>19523942.373119999</v>
      </c>
      <c r="G16" s="77">
        <f t="shared" si="2"/>
        <v>976197.11865600001</v>
      </c>
      <c r="H16" s="77">
        <f t="shared" si="3"/>
        <v>3514309.6271615997</v>
      </c>
      <c r="I16" s="469"/>
      <c r="J16" s="77">
        <f t="shared" si="0"/>
        <v>29647468.048071105</v>
      </c>
      <c r="K16" s="601">
        <f>J16*E16</f>
        <v>29647468.048071105</v>
      </c>
      <c r="L16" s="80"/>
      <c r="M16" s="80"/>
      <c r="N16" s="80"/>
      <c r="O16" s="58"/>
      <c r="Q16" s="313">
        <f t="shared" si="1"/>
        <v>19523942.373119999</v>
      </c>
      <c r="S16" s="380">
        <f t="shared" si="5"/>
        <v>5633018.9291335102</v>
      </c>
      <c r="T16" s="377"/>
      <c r="U16" s="377"/>
    </row>
    <row r="17" spans="1:100">
      <c r="B17" s="53">
        <v>9</v>
      </c>
      <c r="C17" s="94" t="s">
        <v>472</v>
      </c>
      <c r="D17" s="94" t="s">
        <v>472</v>
      </c>
      <c r="E17" s="50">
        <v>1</v>
      </c>
      <c r="F17" s="77">
        <v>340000</v>
      </c>
      <c r="G17" s="77">
        <f t="shared" si="2"/>
        <v>17000</v>
      </c>
      <c r="H17" s="77">
        <f t="shared" si="3"/>
        <v>61200</v>
      </c>
      <c r="I17" s="469"/>
      <c r="J17" s="77">
        <f t="shared" si="0"/>
        <v>516296.29629629623</v>
      </c>
      <c r="K17" s="601">
        <f t="shared" si="4"/>
        <v>516296.29629629623</v>
      </c>
      <c r="L17" s="80"/>
      <c r="M17" s="80"/>
      <c r="N17" s="80"/>
      <c r="O17" s="58"/>
      <c r="Q17" s="313">
        <f t="shared" si="1"/>
        <v>340000</v>
      </c>
      <c r="S17" s="380">
        <f t="shared" si="5"/>
        <v>98096.296296296292</v>
      </c>
      <c r="T17" s="377"/>
      <c r="U17" s="377"/>
    </row>
    <row r="18" spans="1:100">
      <c r="B18" s="53">
        <v>10</v>
      </c>
      <c r="C18" s="94" t="s">
        <v>471</v>
      </c>
      <c r="D18" s="94" t="s">
        <v>1029</v>
      </c>
      <c r="E18" s="50">
        <v>3</v>
      </c>
      <c r="F18" s="77">
        <v>400000</v>
      </c>
      <c r="G18" s="77">
        <f t="shared" si="2"/>
        <v>20000</v>
      </c>
      <c r="H18" s="77">
        <f t="shared" si="3"/>
        <v>72000</v>
      </c>
      <c r="I18" s="469"/>
      <c r="J18" s="77">
        <f t="shared" si="0"/>
        <v>607407.40740740742</v>
      </c>
      <c r="K18" s="601">
        <f t="shared" si="4"/>
        <v>1822222.2222222222</v>
      </c>
      <c r="L18" s="80"/>
      <c r="M18" s="80"/>
      <c r="N18" s="80"/>
      <c r="O18" s="58"/>
      <c r="Q18" s="313">
        <f t="shared" si="1"/>
        <v>1200000</v>
      </c>
      <c r="S18" s="380">
        <f t="shared" si="5"/>
        <v>346222.22222222225</v>
      </c>
      <c r="T18" s="377"/>
      <c r="U18" s="377"/>
    </row>
    <row r="19" spans="1:100">
      <c r="B19" s="470"/>
      <c r="C19" s="471" t="s">
        <v>215</v>
      </c>
      <c r="D19" s="471" t="s">
        <v>1024</v>
      </c>
      <c r="E19" s="50">
        <v>1</v>
      </c>
      <c r="F19" s="77">
        <v>2000000</v>
      </c>
      <c r="G19" s="77"/>
      <c r="H19" s="77"/>
      <c r="I19" s="469"/>
      <c r="J19" s="77">
        <f t="shared" si="0"/>
        <v>2469135.8024691357</v>
      </c>
      <c r="K19" s="601">
        <f t="shared" si="4"/>
        <v>2469135.8024691357</v>
      </c>
      <c r="L19" s="80"/>
      <c r="M19" s="80"/>
      <c r="N19" s="80"/>
      <c r="O19" s="58"/>
      <c r="Q19" s="313"/>
      <c r="S19" s="380"/>
      <c r="T19" s="377"/>
      <c r="U19" s="377"/>
    </row>
    <row r="20" spans="1:100" ht="22.95" customHeight="1">
      <c r="B20" s="532" t="s">
        <v>216</v>
      </c>
      <c r="C20" s="533"/>
      <c r="D20" s="533"/>
      <c r="E20" s="534"/>
      <c r="F20" s="472">
        <f>SUM(F9:F18)</f>
        <v>61952025.460545495</v>
      </c>
      <c r="G20" s="472"/>
      <c r="H20" s="472">
        <f>SUM(H9:H18)</f>
        <v>11151364.58289819</v>
      </c>
      <c r="I20" s="473"/>
      <c r="J20" s="472">
        <f>SUM(J9:J18)</f>
        <v>94075297.921569079</v>
      </c>
      <c r="K20" s="472">
        <f>SUM(K9:K19)</f>
        <v>175685511.09185743</v>
      </c>
      <c r="L20" s="82"/>
      <c r="M20" s="80">
        <f>K20*1.18</f>
        <v>207308903.08839175</v>
      </c>
      <c r="N20" s="80">
        <f>M20-K20</f>
        <v>31623391.996534318</v>
      </c>
      <c r="O20" s="58"/>
      <c r="Q20" s="70">
        <f>SUM(Q9:Q18)</f>
        <v>114069320.31252401</v>
      </c>
      <c r="S20" s="382">
        <f>SUM(S9:S18)</f>
        <v>32911111.304983776</v>
      </c>
    </row>
    <row r="21" spans="1:100" ht="22.95" customHeight="1">
      <c r="B21" s="468" t="s">
        <v>203</v>
      </c>
      <c r="C21" s="468" t="s">
        <v>204</v>
      </c>
      <c r="D21" s="468" t="s">
        <v>205</v>
      </c>
      <c r="E21" s="468" t="s">
        <v>206</v>
      </c>
      <c r="F21" s="468" t="s">
        <v>937</v>
      </c>
      <c r="G21" s="468" t="s">
        <v>200</v>
      </c>
      <c r="H21" s="468" t="s">
        <v>208</v>
      </c>
      <c r="I21" s="474" t="s">
        <v>1030</v>
      </c>
      <c r="J21" s="468" t="s">
        <v>936</v>
      </c>
      <c r="K21" s="468" t="s">
        <v>209</v>
      </c>
      <c r="L21" s="78"/>
      <c r="M21" s="78" t="s">
        <v>210</v>
      </c>
      <c r="N21" s="78"/>
      <c r="O21" s="58"/>
      <c r="Q21" s="78"/>
    </row>
    <row r="22" spans="1:100">
      <c r="A22" s="32"/>
      <c r="B22" s="53">
        <v>11</v>
      </c>
      <c r="C22" s="53" t="s">
        <v>217</v>
      </c>
      <c r="D22" s="95" t="s">
        <v>218</v>
      </c>
      <c r="E22" s="44">
        <v>1</v>
      </c>
      <c r="F22" s="54" t="s">
        <v>166</v>
      </c>
      <c r="G22" s="54"/>
      <c r="H22" s="54"/>
      <c r="I22" s="469"/>
      <c r="J22" s="54" t="s">
        <v>166</v>
      </c>
      <c r="K22" s="54" t="s">
        <v>166</v>
      </c>
      <c r="L22" s="83"/>
      <c r="M22" s="83"/>
      <c r="N22" s="83"/>
      <c r="O22" s="58"/>
      <c r="P22" s="32"/>
      <c r="Q22" s="83"/>
      <c r="R22" s="32"/>
      <c r="S22" s="31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c r="BR22" s="32"/>
      <c r="BS22" s="32"/>
      <c r="BT22" s="32"/>
      <c r="BU22" s="32"/>
      <c r="BV22" s="32"/>
      <c r="BW22" s="32"/>
      <c r="BX22" s="32"/>
      <c r="BY22" s="32"/>
      <c r="BZ22" s="32"/>
      <c r="CA22" s="32"/>
      <c r="CB22" s="32"/>
      <c r="CC22" s="32"/>
      <c r="CD22" s="32"/>
      <c r="CE22" s="32"/>
      <c r="CF22" s="32"/>
      <c r="CG22" s="32"/>
      <c r="CH22" s="32"/>
      <c r="CI22" s="32"/>
      <c r="CJ22" s="32"/>
      <c r="CK22" s="32"/>
      <c r="CL22" s="32"/>
      <c r="CM22" s="32"/>
      <c r="CN22" s="32"/>
      <c r="CO22" s="32"/>
      <c r="CP22" s="32"/>
      <c r="CQ22" s="32"/>
      <c r="CR22" s="32"/>
      <c r="CS22" s="32"/>
      <c r="CT22" s="32"/>
      <c r="CU22" s="32"/>
      <c r="CV22" s="32"/>
    </row>
    <row r="23" spans="1:100">
      <c r="A23" s="32"/>
      <c r="B23" s="53">
        <v>12</v>
      </c>
      <c r="C23" s="53" t="s">
        <v>217</v>
      </c>
      <c r="D23" s="95" t="s">
        <v>749</v>
      </c>
      <c r="E23" s="44">
        <v>384</v>
      </c>
      <c r="F23" s="54" t="s">
        <v>166</v>
      </c>
      <c r="G23" s="54"/>
      <c r="H23" s="54"/>
      <c r="I23" s="469"/>
      <c r="J23" s="54" t="s">
        <v>166</v>
      </c>
      <c r="K23" s="54" t="s">
        <v>166</v>
      </c>
      <c r="L23" s="83"/>
      <c r="M23" s="83"/>
      <c r="N23" s="83"/>
      <c r="O23" s="58"/>
      <c r="P23" s="32"/>
      <c r="Q23" s="83"/>
      <c r="R23" s="32"/>
      <c r="S23" s="31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row>
    <row r="24" spans="1:100">
      <c r="A24" s="32"/>
      <c r="B24" s="53">
        <v>13</v>
      </c>
      <c r="C24" s="53" t="s">
        <v>217</v>
      </c>
      <c r="D24" s="95" t="s">
        <v>750</v>
      </c>
      <c r="E24" s="44">
        <v>384</v>
      </c>
      <c r="F24" s="54" t="s">
        <v>166</v>
      </c>
      <c r="G24" s="54"/>
      <c r="H24" s="54"/>
      <c r="I24" s="469"/>
      <c r="J24" s="54" t="s">
        <v>166</v>
      </c>
      <c r="K24" s="54" t="s">
        <v>166</v>
      </c>
      <c r="L24" s="83"/>
      <c r="M24" s="83"/>
      <c r="N24" s="83"/>
      <c r="O24" s="58"/>
      <c r="P24" s="32"/>
      <c r="Q24" s="83"/>
      <c r="R24" s="32"/>
      <c r="S24" s="31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c r="BO24" s="32"/>
      <c r="BP24" s="32"/>
      <c r="BQ24" s="32"/>
      <c r="BR24" s="32"/>
      <c r="BS24" s="32"/>
      <c r="BT24" s="32"/>
      <c r="BU24" s="32"/>
      <c r="BV24" s="32"/>
      <c r="BW24" s="32"/>
      <c r="BX24" s="32"/>
      <c r="BY24" s="32"/>
      <c r="BZ24" s="32"/>
      <c r="CA24" s="32"/>
      <c r="CB24" s="32"/>
      <c r="CC24" s="32"/>
      <c r="CD24" s="32"/>
      <c r="CE24" s="32"/>
      <c r="CF24" s="32"/>
      <c r="CG24" s="32"/>
      <c r="CH24" s="32"/>
      <c r="CI24" s="32"/>
      <c r="CJ24" s="32"/>
      <c r="CK24" s="32"/>
      <c r="CL24" s="32"/>
      <c r="CM24" s="32"/>
      <c r="CN24" s="32"/>
      <c r="CO24" s="32"/>
      <c r="CP24" s="32"/>
      <c r="CQ24" s="32"/>
      <c r="CR24" s="32"/>
      <c r="CS24" s="32"/>
      <c r="CT24" s="32"/>
      <c r="CU24" s="32"/>
      <c r="CV24" s="32"/>
    </row>
    <row r="25" spans="1:100" ht="28.8">
      <c r="A25" s="32"/>
      <c r="B25" s="53">
        <v>14</v>
      </c>
      <c r="C25" s="53" t="s">
        <v>217</v>
      </c>
      <c r="D25" s="95" t="s">
        <v>751</v>
      </c>
      <c r="E25" s="44">
        <v>736</v>
      </c>
      <c r="F25" s="54" t="s">
        <v>166</v>
      </c>
      <c r="G25" s="54"/>
      <c r="H25" s="54"/>
      <c r="I25" s="469"/>
      <c r="J25" s="54" t="s">
        <v>166</v>
      </c>
      <c r="K25" s="54" t="s">
        <v>166</v>
      </c>
      <c r="L25" s="83"/>
      <c r="M25" s="83"/>
      <c r="N25" s="83"/>
      <c r="O25" s="58"/>
      <c r="P25" s="32"/>
      <c r="Q25" s="83"/>
      <c r="R25" s="32"/>
      <c r="S25" s="31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c r="BO25" s="32"/>
      <c r="BP25" s="32"/>
      <c r="BQ25" s="32"/>
      <c r="BR25" s="32"/>
      <c r="BS25" s="32"/>
      <c r="BT25" s="32"/>
      <c r="BU25" s="32"/>
      <c r="BV25" s="32"/>
      <c r="BW25" s="32"/>
      <c r="BX25" s="32"/>
      <c r="BY25" s="32"/>
      <c r="BZ25" s="32"/>
      <c r="CA25" s="32"/>
      <c r="CB25" s="32"/>
      <c r="CC25" s="32"/>
      <c r="CD25" s="32"/>
      <c r="CE25" s="32"/>
      <c r="CF25" s="32"/>
      <c r="CG25" s="32"/>
      <c r="CH25" s="32"/>
      <c r="CI25" s="32"/>
      <c r="CJ25" s="32"/>
      <c r="CK25" s="32"/>
      <c r="CL25" s="32"/>
      <c r="CM25" s="32"/>
      <c r="CN25" s="32"/>
      <c r="CO25" s="32"/>
      <c r="CP25" s="32"/>
      <c r="CQ25" s="32"/>
      <c r="CR25" s="32"/>
      <c r="CS25" s="32"/>
      <c r="CT25" s="32"/>
      <c r="CU25" s="32"/>
      <c r="CV25" s="32"/>
    </row>
    <row r="26" spans="1:100">
      <c r="A26" s="32"/>
      <c r="B26" s="53">
        <v>15</v>
      </c>
      <c r="C26" s="76" t="s">
        <v>82</v>
      </c>
      <c r="D26" s="94" t="s">
        <v>219</v>
      </c>
      <c r="E26" s="50">
        <f>ROUND(('Windows Server'!D33)/16,0)</f>
        <v>15</v>
      </c>
      <c r="F26" s="77">
        <f>Redington!E5</f>
        <v>154801.75</v>
      </c>
      <c r="G26" s="77">
        <f t="shared" ref="G26:G47" si="6">(F26*$E$2)</f>
        <v>7740.0875000000005</v>
      </c>
      <c r="H26" s="77">
        <f>$E$5*F26</f>
        <v>23220.262500000001</v>
      </c>
      <c r="I26" s="469"/>
      <c r="J26" s="77">
        <f>(SUM(F26:H26)/(1-$E$3))-(I26*(SUM(F26:H26)/(1-$E$3)))</f>
        <v>229335.92592592593</v>
      </c>
      <c r="K26" s="601">
        <f t="shared" ref="K26:K47" si="7">J26*E26</f>
        <v>3440038.888888889</v>
      </c>
      <c r="L26" s="81"/>
      <c r="M26" s="81">
        <f>K26*1.18</f>
        <v>4059245.888888889</v>
      </c>
      <c r="N26" s="81">
        <f>M26-K26</f>
        <v>619207</v>
      </c>
      <c r="O26" s="58"/>
      <c r="P26" s="32"/>
      <c r="Q26" s="313">
        <f t="shared" ref="Q26:Q34" si="8">F26*E26</f>
        <v>2322026.25</v>
      </c>
      <c r="R26" s="32"/>
      <c r="S26" s="380">
        <f t="shared" ref="S26:S47" si="9">K26*$E$3</f>
        <v>653607.38888888888</v>
      </c>
      <c r="T26" s="377"/>
      <c r="U26" s="377"/>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row>
    <row r="27" spans="1:100">
      <c r="A27" s="32"/>
      <c r="B27" s="53">
        <v>16</v>
      </c>
      <c r="C27" s="76"/>
      <c r="D27" s="94" t="s">
        <v>632</v>
      </c>
      <c r="E27" s="50">
        <v>2</v>
      </c>
      <c r="F27" s="77">
        <f>Redington!E3</f>
        <v>613005.25</v>
      </c>
      <c r="G27" s="77">
        <f t="shared" si="6"/>
        <v>30650.262500000001</v>
      </c>
      <c r="H27" s="77">
        <f t="shared" ref="H27:H47" si="10">$E$5*F27</f>
        <v>91950.787499999991</v>
      </c>
      <c r="I27" s="469"/>
      <c r="J27" s="77">
        <f t="shared" ref="J27:J47" si="11">(SUM(F27:H27)/(1-$E$3))-(I27*(SUM(F27:H27)/(1-$E$3)))</f>
        <v>908155.92592592572</v>
      </c>
      <c r="K27" s="601">
        <f t="shared" si="7"/>
        <v>1816311.8518518514</v>
      </c>
      <c r="L27" s="81"/>
      <c r="M27" s="81"/>
      <c r="N27" s="81"/>
      <c r="O27" s="58"/>
      <c r="P27" s="32"/>
      <c r="Q27" s="313">
        <f t="shared" si="8"/>
        <v>1226010.5</v>
      </c>
      <c r="R27" s="32"/>
      <c r="S27" s="380">
        <f t="shared" si="9"/>
        <v>345099.25185185176</v>
      </c>
      <c r="T27" s="377"/>
      <c r="U27" s="377"/>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32"/>
      <c r="BR27" s="32"/>
      <c r="BS27" s="32"/>
      <c r="BT27" s="32"/>
      <c r="BU27" s="32"/>
      <c r="BV27" s="32"/>
      <c r="BW27" s="32"/>
      <c r="BX27" s="32"/>
      <c r="BY27" s="32"/>
      <c r="BZ27" s="32"/>
      <c r="CA27" s="32"/>
      <c r="CB27" s="32"/>
      <c r="CC27" s="32"/>
      <c r="CD27" s="32"/>
      <c r="CE27" s="32"/>
      <c r="CF27" s="32"/>
      <c r="CG27" s="32"/>
      <c r="CH27" s="32"/>
      <c r="CI27" s="32"/>
      <c r="CJ27" s="32"/>
      <c r="CK27" s="32"/>
      <c r="CL27" s="32"/>
      <c r="CM27" s="32"/>
      <c r="CN27" s="32"/>
      <c r="CO27" s="32"/>
      <c r="CP27" s="32"/>
      <c r="CQ27" s="32"/>
      <c r="CR27" s="32"/>
      <c r="CS27" s="32"/>
      <c r="CT27" s="32"/>
      <c r="CU27" s="32"/>
      <c r="CV27" s="32"/>
    </row>
    <row r="28" spans="1:100">
      <c r="A28" s="32"/>
      <c r="B28" s="53">
        <v>17</v>
      </c>
      <c r="C28" s="76"/>
      <c r="D28" s="94" t="s">
        <v>633</v>
      </c>
      <c r="E28" s="50">
        <v>17</v>
      </c>
      <c r="F28" s="77">
        <f>Redington!E4</f>
        <v>519184.5</v>
      </c>
      <c r="G28" s="77">
        <f t="shared" si="6"/>
        <v>25959.225000000002</v>
      </c>
      <c r="H28" s="77">
        <f t="shared" si="10"/>
        <v>77877.675000000003</v>
      </c>
      <c r="I28" s="469"/>
      <c r="J28" s="77">
        <f t="shared" si="11"/>
        <v>769162.22222222225</v>
      </c>
      <c r="K28" s="601">
        <f t="shared" si="7"/>
        <v>13075757.777777778</v>
      </c>
      <c r="L28" s="81"/>
      <c r="M28" s="81"/>
      <c r="N28" s="81"/>
      <c r="O28" s="58"/>
      <c r="P28" s="32"/>
      <c r="Q28" s="313">
        <f t="shared" si="8"/>
        <v>8826136.5</v>
      </c>
      <c r="R28" s="32"/>
      <c r="S28" s="380">
        <f t="shared" si="9"/>
        <v>2484393.9777777777</v>
      </c>
      <c r="T28" s="377"/>
      <c r="U28" s="377"/>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c r="BR28" s="32"/>
      <c r="BS28" s="32"/>
      <c r="BT28" s="32"/>
      <c r="BU28" s="32"/>
      <c r="BV28" s="32"/>
      <c r="BW28" s="32"/>
      <c r="BX28" s="32"/>
      <c r="BY28" s="32"/>
      <c r="BZ28" s="32"/>
      <c r="CA28" s="32"/>
      <c r="CB28" s="32"/>
      <c r="CC28" s="32"/>
      <c r="CD28" s="32"/>
      <c r="CE28" s="32"/>
      <c r="CF28" s="32"/>
      <c r="CG28" s="32"/>
      <c r="CH28" s="32"/>
      <c r="CI28" s="32"/>
      <c r="CJ28" s="32"/>
      <c r="CK28" s="32"/>
      <c r="CL28" s="32"/>
      <c r="CM28" s="32"/>
      <c r="CN28" s="32"/>
      <c r="CO28" s="32"/>
      <c r="CP28" s="32"/>
      <c r="CQ28" s="32"/>
      <c r="CR28" s="32"/>
      <c r="CS28" s="32"/>
      <c r="CT28" s="32"/>
      <c r="CU28" s="32"/>
      <c r="CV28" s="32"/>
    </row>
    <row r="29" spans="1:100" ht="28.8">
      <c r="A29" s="32"/>
      <c r="B29" s="53">
        <v>18</v>
      </c>
      <c r="C29" s="76" t="s">
        <v>82</v>
      </c>
      <c r="D29" s="94" t="s">
        <v>1145</v>
      </c>
      <c r="E29" s="50">
        <v>10</v>
      </c>
      <c r="F29" s="77">
        <f>RHEL!D8*3</f>
        <v>240546.30600000004</v>
      </c>
      <c r="G29" s="77">
        <f t="shared" si="6"/>
        <v>12027.315300000002</v>
      </c>
      <c r="H29" s="77">
        <f t="shared" si="10"/>
        <v>36081.945900000006</v>
      </c>
      <c r="I29" s="469"/>
      <c r="J29" s="77">
        <f t="shared" si="11"/>
        <v>356364.89777777781</v>
      </c>
      <c r="K29" s="601">
        <f t="shared" si="7"/>
        <v>3563648.9777777782</v>
      </c>
      <c r="L29" s="81"/>
      <c r="M29" s="81">
        <f>K29*1.18</f>
        <v>4205105.7937777778</v>
      </c>
      <c r="N29" s="81">
        <f>M29-K29</f>
        <v>641456.81599999964</v>
      </c>
      <c r="O29" s="58"/>
      <c r="P29" s="32"/>
      <c r="Q29" s="313">
        <f t="shared" si="8"/>
        <v>2405463.0600000005</v>
      </c>
      <c r="R29" s="32"/>
      <c r="S29" s="380">
        <f t="shared" si="9"/>
        <v>677093.30577777792</v>
      </c>
      <c r="T29" s="377"/>
      <c r="U29" s="377"/>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row>
    <row r="30" spans="1:100" ht="28.8">
      <c r="A30" s="32"/>
      <c r="B30" s="53">
        <v>19</v>
      </c>
      <c r="C30" s="76"/>
      <c r="D30" s="94" t="s">
        <v>1146</v>
      </c>
      <c r="E30" s="50">
        <v>10</v>
      </c>
      <c r="F30" s="77">
        <f>RHEL!D9*3</f>
        <v>200455.255</v>
      </c>
      <c r="G30" s="77">
        <f t="shared" si="6"/>
        <v>10022.762750000002</v>
      </c>
      <c r="H30" s="77">
        <f t="shared" si="10"/>
        <v>30068.288249999998</v>
      </c>
      <c r="I30" s="469"/>
      <c r="J30" s="77">
        <f t="shared" si="11"/>
        <v>296970.74814814812</v>
      </c>
      <c r="K30" s="601">
        <f t="shared" si="7"/>
        <v>2969707.4814814813</v>
      </c>
      <c r="L30" s="81"/>
      <c r="M30" s="81"/>
      <c r="N30" s="81"/>
      <c r="O30" s="58"/>
      <c r="P30" s="32"/>
      <c r="Q30" s="313">
        <f t="shared" si="8"/>
        <v>2004552.55</v>
      </c>
      <c r="R30" s="32"/>
      <c r="S30" s="380">
        <f t="shared" si="9"/>
        <v>564244.4214814814</v>
      </c>
      <c r="T30" s="377"/>
      <c r="U30" s="377"/>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32"/>
      <c r="BR30" s="32"/>
      <c r="BS30" s="32"/>
      <c r="BT30" s="32"/>
      <c r="BU30" s="32"/>
      <c r="BV30" s="32"/>
      <c r="BW30" s="32"/>
      <c r="BX30" s="32"/>
      <c r="BY30" s="32"/>
      <c r="BZ30" s="32"/>
      <c r="CA30" s="32"/>
      <c r="CB30" s="32"/>
      <c r="CC30" s="32"/>
      <c r="CD30" s="32"/>
      <c r="CE30" s="32"/>
      <c r="CF30" s="32"/>
      <c r="CG30" s="32"/>
      <c r="CH30" s="32"/>
      <c r="CI30" s="32"/>
      <c r="CJ30" s="32"/>
      <c r="CK30" s="32"/>
      <c r="CL30" s="32"/>
      <c r="CM30" s="32"/>
      <c r="CN30" s="32"/>
      <c r="CO30" s="32"/>
      <c r="CP30" s="32"/>
      <c r="CQ30" s="32"/>
      <c r="CR30" s="32"/>
      <c r="CS30" s="32"/>
      <c r="CT30" s="32"/>
      <c r="CU30" s="32"/>
      <c r="CV30" s="32"/>
    </row>
    <row r="31" spans="1:100" ht="28.8">
      <c r="A31" s="32"/>
      <c r="B31" s="53">
        <v>20</v>
      </c>
      <c r="C31" s="76"/>
      <c r="D31" s="94" t="s">
        <v>1147</v>
      </c>
      <c r="E31" s="50">
        <v>4</v>
      </c>
      <c r="F31" s="77">
        <f>RHEL!D10*3</f>
        <v>92640.147599999997</v>
      </c>
      <c r="G31" s="77">
        <f t="shared" si="6"/>
        <v>4632.00738</v>
      </c>
      <c r="H31" s="77">
        <f t="shared" si="10"/>
        <v>13896.022139999999</v>
      </c>
      <c r="I31" s="469"/>
      <c r="J31" s="77">
        <f t="shared" si="11"/>
        <v>137244.66311111109</v>
      </c>
      <c r="K31" s="601">
        <f t="shared" si="7"/>
        <v>548978.65244444436</v>
      </c>
      <c r="L31" s="81"/>
      <c r="M31" s="81"/>
      <c r="N31" s="81"/>
      <c r="O31" s="58"/>
      <c r="P31" s="32"/>
      <c r="Q31" s="313">
        <f t="shared" si="8"/>
        <v>370560.59039999999</v>
      </c>
      <c r="R31" s="32"/>
      <c r="S31" s="380">
        <f t="shared" si="9"/>
        <v>104305.94396444444</v>
      </c>
      <c r="T31" s="377"/>
      <c r="U31" s="377"/>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32"/>
      <c r="CH31" s="32"/>
      <c r="CI31" s="32"/>
      <c r="CJ31" s="32"/>
      <c r="CK31" s="32"/>
      <c r="CL31" s="32"/>
      <c r="CM31" s="32"/>
      <c r="CN31" s="32"/>
      <c r="CO31" s="32"/>
      <c r="CP31" s="32"/>
      <c r="CQ31" s="32"/>
      <c r="CR31" s="32"/>
      <c r="CS31" s="32"/>
      <c r="CT31" s="32"/>
      <c r="CU31" s="32"/>
      <c r="CV31" s="32"/>
    </row>
    <row r="32" spans="1:100">
      <c r="A32" s="32"/>
      <c r="B32" s="53">
        <v>21</v>
      </c>
      <c r="C32" s="76" t="s">
        <v>215</v>
      </c>
      <c r="D32" s="94" t="s">
        <v>220</v>
      </c>
      <c r="E32" s="50">
        <v>1</v>
      </c>
      <c r="F32" s="77">
        <v>8000000</v>
      </c>
      <c r="G32" s="77">
        <f t="shared" si="6"/>
        <v>400000</v>
      </c>
      <c r="H32" s="77">
        <f>$E$5*F32</f>
        <v>1200000</v>
      </c>
      <c r="I32" s="469"/>
      <c r="J32" s="77">
        <f t="shared" si="11"/>
        <v>11851851.851851851</v>
      </c>
      <c r="K32" s="601">
        <f t="shared" si="7"/>
        <v>11851851.851851851</v>
      </c>
      <c r="L32" s="81"/>
      <c r="M32" s="81">
        <f>K32*1.18</f>
        <v>13985185.185185183</v>
      </c>
      <c r="N32" s="81">
        <f>M32-K32</f>
        <v>2133333.3333333321</v>
      </c>
      <c r="O32" s="58"/>
      <c r="P32" s="32"/>
      <c r="Q32" s="313">
        <f t="shared" si="8"/>
        <v>8000000</v>
      </c>
      <c r="R32" s="32"/>
      <c r="S32" s="380">
        <f t="shared" si="9"/>
        <v>2251851.8518518517</v>
      </c>
      <c r="T32" s="377"/>
      <c r="U32" s="377"/>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c r="CV32" s="32"/>
    </row>
    <row r="33" spans="2:21" s="32" customFormat="1">
      <c r="B33" s="53">
        <v>22</v>
      </c>
      <c r="C33" s="76" t="s">
        <v>482</v>
      </c>
      <c r="D33" s="94" t="s">
        <v>356</v>
      </c>
      <c r="E33" s="50">
        <v>8</v>
      </c>
      <c r="F33" s="77">
        <f>'Lenovo Quote'!D168</f>
        <v>1746648.7651227501</v>
      </c>
      <c r="G33" s="77">
        <f t="shared" si="6"/>
        <v>87332.43825613751</v>
      </c>
      <c r="H33" s="77">
        <f t="shared" si="10"/>
        <v>261997.3147684125</v>
      </c>
      <c r="I33" s="469"/>
      <c r="J33" s="77">
        <f t="shared" si="11"/>
        <v>2587627.8001818517</v>
      </c>
      <c r="K33" s="77">
        <f t="shared" si="7"/>
        <v>20701022.401454814</v>
      </c>
      <c r="L33" s="81"/>
      <c r="M33" s="81">
        <f>K33*1.18</f>
        <v>24427206.433716677</v>
      </c>
      <c r="N33" s="81">
        <f>M33-K33</f>
        <v>3726184.0322618634</v>
      </c>
      <c r="O33" s="58"/>
      <c r="Q33" s="313">
        <f t="shared" si="8"/>
        <v>13973190.120982001</v>
      </c>
      <c r="S33" s="380">
        <f t="shared" si="9"/>
        <v>3933194.2562764147</v>
      </c>
      <c r="T33" s="377"/>
      <c r="U33" s="377"/>
    </row>
    <row r="34" spans="2:21" s="32" customFormat="1">
      <c r="B34" s="53">
        <v>23</v>
      </c>
      <c r="C34" s="76" t="s">
        <v>482</v>
      </c>
      <c r="D34" s="94" t="s">
        <v>788</v>
      </c>
      <c r="E34" s="50">
        <v>1</v>
      </c>
      <c r="F34" s="77">
        <f>'Lenovo Quote'!D169</f>
        <v>2000000</v>
      </c>
      <c r="G34" s="77">
        <f t="shared" si="6"/>
        <v>100000</v>
      </c>
      <c r="H34" s="77">
        <f t="shared" si="10"/>
        <v>300000</v>
      </c>
      <c r="I34" s="469"/>
      <c r="J34" s="77">
        <f t="shared" si="11"/>
        <v>2962962.9629629627</v>
      </c>
      <c r="K34" s="77">
        <f t="shared" si="7"/>
        <v>2962962.9629629627</v>
      </c>
      <c r="L34" s="81"/>
      <c r="M34" s="81">
        <f>K34*1.18</f>
        <v>3496296.2962962957</v>
      </c>
      <c r="N34" s="81">
        <f>M34-K34</f>
        <v>533333.33333333302</v>
      </c>
      <c r="O34" s="58"/>
      <c r="Q34" s="313">
        <f t="shared" si="8"/>
        <v>2000000</v>
      </c>
      <c r="S34" s="380">
        <f t="shared" si="9"/>
        <v>562962.96296296292</v>
      </c>
      <c r="T34" s="377"/>
      <c r="U34" s="377"/>
    </row>
    <row r="35" spans="2:21" s="610" customFormat="1">
      <c r="B35" s="603">
        <v>24</v>
      </c>
      <c r="C35" s="604" t="s">
        <v>215</v>
      </c>
      <c r="D35" s="605" t="s">
        <v>925</v>
      </c>
      <c r="E35" s="606">
        <v>0</v>
      </c>
      <c r="F35" s="607">
        <v>0</v>
      </c>
      <c r="G35" s="607">
        <f t="shared" si="6"/>
        <v>0</v>
      </c>
      <c r="H35" s="607">
        <f t="shared" si="10"/>
        <v>0</v>
      </c>
      <c r="I35" s="469"/>
      <c r="J35" s="607">
        <f t="shared" si="11"/>
        <v>0</v>
      </c>
      <c r="K35" s="607">
        <f t="shared" si="7"/>
        <v>0</v>
      </c>
      <c r="L35" s="608"/>
      <c r="M35" s="608"/>
      <c r="N35" s="608"/>
      <c r="O35" s="609"/>
      <c r="Q35" s="602"/>
      <c r="S35" s="611">
        <f t="shared" si="9"/>
        <v>0</v>
      </c>
      <c r="T35" s="612"/>
      <c r="U35" s="612"/>
    </row>
    <row r="36" spans="2:21" s="32" customFormat="1">
      <c r="B36" s="53">
        <v>25</v>
      </c>
      <c r="C36" s="76" t="s">
        <v>215</v>
      </c>
      <c r="D36" s="94" t="s">
        <v>926</v>
      </c>
      <c r="E36" s="50">
        <v>1</v>
      </c>
      <c r="F36" s="77">
        <f>OEM!E163</f>
        <v>9869580.8625000007</v>
      </c>
      <c r="G36" s="77">
        <f t="shared" si="6"/>
        <v>493479.04312500008</v>
      </c>
      <c r="H36" s="77">
        <f>$E$5*F36</f>
        <v>1480437.129375</v>
      </c>
      <c r="I36" s="469"/>
      <c r="J36" s="77">
        <f>(SUM(F36:H36)/(1-$E$3))-(I36*(SUM(F36:H36)/(1-$E$3)))</f>
        <v>14621601.277777776</v>
      </c>
      <c r="K36" s="601">
        <f t="shared" si="7"/>
        <v>14621601.277777776</v>
      </c>
      <c r="L36" s="81"/>
      <c r="M36" s="81"/>
      <c r="N36" s="81"/>
      <c r="O36" s="58"/>
      <c r="Q36" s="313">
        <f>F36*E36</f>
        <v>9869580.8625000007</v>
      </c>
      <c r="S36" s="380">
        <f t="shared" si="9"/>
        <v>2778104.2427777774</v>
      </c>
      <c r="T36" s="377"/>
      <c r="U36" s="377"/>
    </row>
    <row r="37" spans="2:21" s="32" customFormat="1">
      <c r="B37" s="53">
        <v>27</v>
      </c>
      <c r="C37" s="76" t="s">
        <v>215</v>
      </c>
      <c r="D37" s="94" t="s">
        <v>1361</v>
      </c>
      <c r="E37" s="50">
        <v>1</v>
      </c>
      <c r="F37" s="77">
        <f>OEM!F170</f>
        <v>800000</v>
      </c>
      <c r="G37" s="77">
        <f t="shared" si="6"/>
        <v>40000</v>
      </c>
      <c r="H37" s="77">
        <f t="shared" si="10"/>
        <v>120000</v>
      </c>
      <c r="I37" s="469"/>
      <c r="J37" s="77">
        <f t="shared" si="11"/>
        <v>1185185.1851851852</v>
      </c>
      <c r="K37" s="601">
        <f t="shared" si="7"/>
        <v>1185185.1851851852</v>
      </c>
      <c r="L37" s="81"/>
      <c r="M37" s="81"/>
      <c r="N37" s="81"/>
      <c r="O37" s="58"/>
      <c r="Q37" s="313">
        <f>F37*E37</f>
        <v>800000</v>
      </c>
      <c r="S37" s="380">
        <f t="shared" si="9"/>
        <v>225185.1851851852</v>
      </c>
      <c r="T37" s="377"/>
      <c r="U37" s="377"/>
    </row>
    <row r="38" spans="2:21" s="32" customFormat="1">
      <c r="B38" s="53">
        <v>28</v>
      </c>
      <c r="C38" s="76" t="s">
        <v>215</v>
      </c>
      <c r="D38" s="94" t="s">
        <v>475</v>
      </c>
      <c r="E38" s="50">
        <v>50</v>
      </c>
      <c r="F38" s="77">
        <f>OEM!E46*3</f>
        <v>15000</v>
      </c>
      <c r="G38" s="77">
        <f t="shared" si="6"/>
        <v>750</v>
      </c>
      <c r="H38" s="77">
        <f t="shared" si="10"/>
        <v>2250</v>
      </c>
      <c r="I38" s="469"/>
      <c r="J38" s="77">
        <f>(SUM(F38:H38)/(1-$E$3))-(I38*(SUM(F38:H38)/(1-$E$3)))</f>
        <v>22222.222222222219</v>
      </c>
      <c r="K38" s="601">
        <f>J38*E38</f>
        <v>1111111.111111111</v>
      </c>
      <c r="L38" s="81"/>
      <c r="M38" s="81"/>
      <c r="N38" s="81"/>
      <c r="O38" s="58"/>
      <c r="Q38" s="313">
        <f>F38*E38</f>
        <v>750000</v>
      </c>
      <c r="S38" s="380">
        <f t="shared" si="9"/>
        <v>211111.11111111109</v>
      </c>
      <c r="T38" s="377"/>
      <c r="U38" s="377"/>
    </row>
    <row r="39" spans="2:21" s="32" customFormat="1">
      <c r="B39" s="53">
        <v>29</v>
      </c>
      <c r="C39" s="76" t="s">
        <v>215</v>
      </c>
      <c r="D39" s="94" t="s">
        <v>795</v>
      </c>
      <c r="E39" s="50">
        <v>5</v>
      </c>
      <c r="F39" s="77">
        <f>(Cyberdristi!E3)*3</f>
        <v>96000</v>
      </c>
      <c r="G39" s="77">
        <f t="shared" si="6"/>
        <v>4800</v>
      </c>
      <c r="H39" s="77">
        <f t="shared" si="10"/>
        <v>14400</v>
      </c>
      <c r="I39" s="469"/>
      <c r="J39" s="77">
        <f t="shared" si="11"/>
        <v>142222.22222222222</v>
      </c>
      <c r="K39" s="601">
        <f t="shared" si="7"/>
        <v>711111.11111111112</v>
      </c>
      <c r="L39" s="81" t="s">
        <v>1152</v>
      </c>
      <c r="M39" s="81"/>
      <c r="N39" s="81"/>
      <c r="O39" s="58"/>
      <c r="Q39" s="313">
        <f>F39*E39</f>
        <v>480000</v>
      </c>
      <c r="S39" s="380">
        <f t="shared" si="9"/>
        <v>135111.11111111112</v>
      </c>
      <c r="T39" s="377"/>
      <c r="U39" s="377"/>
    </row>
    <row r="40" spans="2:21" s="32" customFormat="1">
      <c r="B40" s="53">
        <v>30</v>
      </c>
      <c r="C40" s="76" t="s">
        <v>215</v>
      </c>
      <c r="D40" s="94" t="s">
        <v>929</v>
      </c>
      <c r="E40" s="50">
        <v>65</v>
      </c>
      <c r="F40" s="77">
        <f>(1200*36)</f>
        <v>43200</v>
      </c>
      <c r="G40" s="77">
        <f t="shared" si="6"/>
        <v>2160</v>
      </c>
      <c r="H40" s="77">
        <f t="shared" si="10"/>
        <v>6480</v>
      </c>
      <c r="I40" s="469"/>
      <c r="J40" s="77">
        <f t="shared" si="11"/>
        <v>63999.999999999993</v>
      </c>
      <c r="K40" s="601">
        <f t="shared" si="7"/>
        <v>4159999.9999999995</v>
      </c>
      <c r="L40" s="81"/>
      <c r="M40" s="81"/>
      <c r="N40" s="81"/>
      <c r="O40" s="58"/>
      <c r="Q40" s="313">
        <f>(900*36)</f>
        <v>32400</v>
      </c>
      <c r="S40" s="380">
        <f t="shared" si="9"/>
        <v>790399.99999999988</v>
      </c>
      <c r="T40" s="377"/>
      <c r="U40" s="377"/>
    </row>
    <row r="41" spans="2:21" s="32" customFormat="1">
      <c r="B41" s="53">
        <v>31</v>
      </c>
      <c r="C41" s="76" t="s">
        <v>215</v>
      </c>
      <c r="D41" s="94" t="s">
        <v>1021</v>
      </c>
      <c r="E41" s="50">
        <v>0</v>
      </c>
      <c r="F41" s="77">
        <v>0</v>
      </c>
      <c r="G41" s="77">
        <f t="shared" si="6"/>
        <v>0</v>
      </c>
      <c r="H41" s="77">
        <f t="shared" si="10"/>
        <v>0</v>
      </c>
      <c r="I41" s="469"/>
      <c r="J41" s="77">
        <f t="shared" si="11"/>
        <v>0</v>
      </c>
      <c r="K41" s="77">
        <f t="shared" si="7"/>
        <v>0</v>
      </c>
      <c r="L41" s="81"/>
      <c r="M41" s="81"/>
      <c r="N41" s="81"/>
      <c r="O41" s="58"/>
      <c r="Q41" s="602"/>
      <c r="S41" s="380">
        <f t="shared" si="9"/>
        <v>0</v>
      </c>
      <c r="T41" s="377"/>
      <c r="U41" s="377"/>
    </row>
    <row r="42" spans="2:21" s="32" customFormat="1">
      <c r="B42" s="53">
        <v>32</v>
      </c>
      <c r="C42" s="76" t="s">
        <v>215</v>
      </c>
      <c r="D42" s="94" t="s">
        <v>479</v>
      </c>
      <c r="E42" s="50">
        <v>0</v>
      </c>
      <c r="F42" s="77">
        <v>0</v>
      </c>
      <c r="G42" s="77">
        <f t="shared" si="6"/>
        <v>0</v>
      </c>
      <c r="H42" s="77">
        <f t="shared" si="10"/>
        <v>0</v>
      </c>
      <c r="I42" s="469"/>
      <c r="J42" s="77">
        <f t="shared" si="11"/>
        <v>0</v>
      </c>
      <c r="K42" s="77">
        <f t="shared" si="7"/>
        <v>0</v>
      </c>
      <c r="L42" s="81"/>
      <c r="M42" s="81"/>
      <c r="N42" s="81"/>
      <c r="O42" s="58"/>
      <c r="Q42" s="602"/>
      <c r="S42" s="380">
        <f t="shared" si="9"/>
        <v>0</v>
      </c>
      <c r="T42" s="377"/>
      <c r="U42" s="377"/>
    </row>
    <row r="43" spans="2:21" s="32" customFormat="1">
      <c r="B43" s="53">
        <v>33</v>
      </c>
      <c r="C43" s="76" t="s">
        <v>1154</v>
      </c>
      <c r="D43" s="94" t="s">
        <v>1155</v>
      </c>
      <c r="E43" s="50">
        <v>1</v>
      </c>
      <c r="F43" s="77">
        <v>459095.52</v>
      </c>
      <c r="G43" s="77">
        <f t="shared" si="6"/>
        <v>22954.776000000002</v>
      </c>
      <c r="H43" s="77">
        <f t="shared" si="10"/>
        <v>68864.327999999994</v>
      </c>
      <c r="I43" s="469"/>
      <c r="J43" s="77">
        <f t="shared" si="11"/>
        <v>680141.51111111115</v>
      </c>
      <c r="K43" s="77">
        <f t="shared" si="7"/>
        <v>680141.51111111115</v>
      </c>
      <c r="L43" s="81" t="s">
        <v>1352</v>
      </c>
      <c r="M43" s="81"/>
      <c r="N43" s="81"/>
      <c r="O43" s="58"/>
      <c r="Q43" s="313">
        <f t="shared" ref="Q43:Q44" si="12">F43*E43</f>
        <v>459095.52</v>
      </c>
      <c r="S43" s="380">
        <f t="shared" si="9"/>
        <v>129226.88711111112</v>
      </c>
      <c r="T43" s="377"/>
      <c r="U43" s="377"/>
    </row>
    <row r="44" spans="2:21" s="32" customFormat="1">
      <c r="B44" s="53">
        <v>34</v>
      </c>
      <c r="C44" s="76" t="s">
        <v>1154</v>
      </c>
      <c r="D44" s="94" t="s">
        <v>1156</v>
      </c>
      <c r="E44" s="50">
        <v>1</v>
      </c>
      <c r="F44" s="77">
        <v>1282000</v>
      </c>
      <c r="G44" s="77">
        <f t="shared" si="6"/>
        <v>64100</v>
      </c>
      <c r="H44" s="77">
        <f t="shared" si="10"/>
        <v>192300</v>
      </c>
      <c r="I44" s="469"/>
      <c r="J44" s="77">
        <f t="shared" si="11"/>
        <v>1899259.2592592591</v>
      </c>
      <c r="K44" s="77">
        <f t="shared" si="7"/>
        <v>1899259.2592592591</v>
      </c>
      <c r="L44" s="81" t="s">
        <v>1352</v>
      </c>
      <c r="M44" s="81"/>
      <c r="N44" s="81"/>
      <c r="O44" s="58"/>
      <c r="Q44" s="313">
        <f t="shared" si="12"/>
        <v>1282000</v>
      </c>
      <c r="S44" s="380">
        <f t="shared" si="9"/>
        <v>360859.25925925921</v>
      </c>
      <c r="T44" s="377"/>
      <c r="U44" s="377"/>
    </row>
    <row r="45" spans="2:21" s="32" customFormat="1">
      <c r="B45" s="53">
        <v>35</v>
      </c>
      <c r="C45" s="76" t="s">
        <v>215</v>
      </c>
      <c r="D45" s="94" t="s">
        <v>943</v>
      </c>
      <c r="E45" s="50">
        <v>10</v>
      </c>
      <c r="F45" s="77">
        <f>3*31500</f>
        <v>94500</v>
      </c>
      <c r="G45" s="77">
        <f>(F45*$E$2)</f>
        <v>4725</v>
      </c>
      <c r="H45" s="77">
        <f>F45*$E$4</f>
        <v>17010</v>
      </c>
      <c r="I45" s="469"/>
      <c r="J45" s="77">
        <f t="shared" si="11"/>
        <v>143500</v>
      </c>
      <c r="K45" s="601">
        <f t="shared" si="7"/>
        <v>1435000</v>
      </c>
      <c r="L45" s="81"/>
      <c r="M45" s="81"/>
      <c r="N45" s="58"/>
      <c r="Q45" s="313">
        <f>F45*E45</f>
        <v>945000</v>
      </c>
      <c r="S45" s="380">
        <f t="shared" si="9"/>
        <v>272650</v>
      </c>
      <c r="T45" s="377"/>
      <c r="U45" s="377"/>
    </row>
    <row r="46" spans="2:21" s="32" customFormat="1" hidden="1">
      <c r="B46" s="53">
        <v>36</v>
      </c>
      <c r="C46" s="76" t="s">
        <v>215</v>
      </c>
      <c r="D46" s="94" t="s">
        <v>480</v>
      </c>
      <c r="E46" s="50">
        <v>6</v>
      </c>
      <c r="F46" s="77"/>
      <c r="G46" s="77">
        <f t="shared" si="6"/>
        <v>0</v>
      </c>
      <c r="H46" s="77">
        <f t="shared" si="10"/>
        <v>0</v>
      </c>
      <c r="I46" s="469"/>
      <c r="J46" s="77">
        <f t="shared" si="11"/>
        <v>0</v>
      </c>
      <c r="K46" s="77">
        <f t="shared" si="7"/>
        <v>0</v>
      </c>
      <c r="L46" s="81"/>
      <c r="M46" s="81"/>
      <c r="N46" s="81"/>
      <c r="O46" s="58"/>
      <c r="Q46" s="313">
        <f>F46*E46</f>
        <v>0</v>
      </c>
      <c r="S46" s="380">
        <f t="shared" si="9"/>
        <v>0</v>
      </c>
      <c r="T46" s="377"/>
      <c r="U46" s="377"/>
    </row>
    <row r="47" spans="2:21" s="32" customFormat="1">
      <c r="B47" s="53">
        <v>37</v>
      </c>
      <c r="C47" s="53" t="s">
        <v>217</v>
      </c>
      <c r="D47" s="95" t="s">
        <v>481</v>
      </c>
      <c r="E47" s="44">
        <v>1</v>
      </c>
      <c r="F47" s="77">
        <f>(1000*36)*30</f>
        <v>1080000</v>
      </c>
      <c r="G47" s="77">
        <f t="shared" si="6"/>
        <v>54000</v>
      </c>
      <c r="H47" s="77">
        <f t="shared" si="10"/>
        <v>162000</v>
      </c>
      <c r="I47" s="469"/>
      <c r="J47" s="77">
        <f t="shared" si="11"/>
        <v>1600000</v>
      </c>
      <c r="K47" s="77">
        <f t="shared" si="7"/>
        <v>1600000</v>
      </c>
      <c r="L47" s="81"/>
      <c r="M47" s="39"/>
      <c r="N47" s="39"/>
      <c r="O47" s="58"/>
      <c r="Q47" s="313">
        <f>(387*36)*65</f>
        <v>905580</v>
      </c>
      <c r="S47" s="380">
        <f t="shared" si="9"/>
        <v>304000</v>
      </c>
      <c r="T47" s="377"/>
      <c r="U47" s="377"/>
    </row>
    <row r="48" spans="2:21" s="32" customFormat="1" ht="27.6" customHeight="1">
      <c r="B48" s="532" t="s">
        <v>221</v>
      </c>
      <c r="C48" s="533"/>
      <c r="D48" s="533"/>
      <c r="E48" s="534"/>
      <c r="F48" s="472">
        <f>SUM(F22:F47)</f>
        <v>27306658.356222752</v>
      </c>
      <c r="G48" s="472"/>
      <c r="H48" s="472"/>
      <c r="I48" s="473"/>
      <c r="J48" s="472">
        <f>SUM(J22:J47)</f>
        <v>40457808.675885558</v>
      </c>
      <c r="K48" s="472">
        <f>SUM(K22:K47)</f>
        <v>88333690.302047387</v>
      </c>
      <c r="L48" s="82"/>
      <c r="M48" s="82">
        <f>K48*1.18</f>
        <v>104233754.55641592</v>
      </c>
      <c r="N48" s="82">
        <f>M48-K48</f>
        <v>15900064.254368529</v>
      </c>
      <c r="O48" s="58"/>
      <c r="Q48" s="70">
        <f>SUM(Q22:Q47)</f>
        <v>56651595.953882001</v>
      </c>
      <c r="S48" s="381">
        <f>SUM(S26:S47)</f>
        <v>16783401.157389008</v>
      </c>
    </row>
    <row r="49" spans="1:100">
      <c r="A49" s="32"/>
      <c r="B49" s="55"/>
      <c r="K49" s="49"/>
      <c r="L49" s="49"/>
      <c r="M49" s="49"/>
      <c r="N49" s="49"/>
      <c r="O49" s="49"/>
      <c r="P49" s="32"/>
      <c r="Q49" s="49"/>
      <c r="R49" s="32"/>
      <c r="S49" s="31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c r="BO49" s="32"/>
      <c r="BP49" s="32"/>
      <c r="BQ49" s="32"/>
      <c r="BR49" s="32"/>
      <c r="BS49" s="32"/>
      <c r="BT49" s="32"/>
      <c r="BU49" s="32"/>
      <c r="BV49" s="32"/>
      <c r="BW49" s="32"/>
      <c r="BX49" s="32"/>
      <c r="BY49" s="32"/>
      <c r="BZ49" s="32"/>
      <c r="CA49" s="32"/>
      <c r="CB49" s="32"/>
      <c r="CC49" s="32"/>
      <c r="CD49" s="32"/>
      <c r="CE49" s="32"/>
      <c r="CF49" s="32"/>
      <c r="CG49" s="32"/>
      <c r="CH49" s="32"/>
      <c r="CI49" s="32"/>
      <c r="CJ49" s="32"/>
      <c r="CK49" s="32"/>
      <c r="CL49" s="32"/>
      <c r="CM49" s="32"/>
      <c r="CN49" s="32"/>
      <c r="CO49" s="32"/>
      <c r="CP49" s="32"/>
      <c r="CQ49" s="32"/>
      <c r="CR49" s="32"/>
      <c r="CS49" s="32"/>
      <c r="CT49" s="32"/>
      <c r="CU49" s="32"/>
      <c r="CV49" s="32"/>
    </row>
    <row r="52" spans="1:100">
      <c r="J52" s="32" t="s">
        <v>939</v>
      </c>
      <c r="K52" s="237">
        <f>K20+K48</f>
        <v>264019201.39390481</v>
      </c>
      <c r="L52" s="231"/>
    </row>
    <row r="53" spans="1:100">
      <c r="E53" s="531">
        <v>254130277.44269878</v>
      </c>
      <c r="F53" s="531"/>
      <c r="J53" s="32" t="s">
        <v>940</v>
      </c>
      <c r="K53" s="237">
        <f>(K52/(1-0.12))+'Monthly Recurring'!H19</f>
        <v>319166047.36580092</v>
      </c>
      <c r="L53" s="231"/>
    </row>
    <row r="54" spans="1:100">
      <c r="E54" s="531">
        <v>224811283.07906243</v>
      </c>
      <c r="F54" s="531"/>
      <c r="K54" s="237">
        <f>K53-K52</f>
        <v>55146845.971896112</v>
      </c>
    </row>
    <row r="55" spans="1:100">
      <c r="E55" s="531">
        <f>E53-E54</f>
        <v>29318994.363636345</v>
      </c>
      <c r="F55" s="531"/>
      <c r="K55" s="237">
        <f>K53*12%</f>
        <v>38299925.683896109</v>
      </c>
    </row>
  </sheetData>
  <mergeCells count="6">
    <mergeCell ref="E55:F55"/>
    <mergeCell ref="B20:E20"/>
    <mergeCell ref="B48:E48"/>
    <mergeCell ref="O7:O8"/>
    <mergeCell ref="E53:F53"/>
    <mergeCell ref="E54:F54"/>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B951B-C3D5-451F-B84E-0DB31650D364}">
  <sheetPr>
    <tabColor rgb="FFFFC000"/>
  </sheetPr>
  <dimension ref="A1:VP29"/>
  <sheetViews>
    <sheetView topLeftCell="B1" zoomScale="70" zoomScaleNormal="70" workbookViewId="0">
      <selection activeCell="S15" sqref="S15"/>
    </sheetView>
  </sheetViews>
  <sheetFormatPr defaultRowHeight="14.4"/>
  <cols>
    <col min="2" max="2" width="12.21875" bestFit="1" customWidth="1"/>
    <col min="3" max="3" width="84.88671875" bestFit="1" customWidth="1"/>
    <col min="4" max="4" width="9.6640625" bestFit="1" customWidth="1"/>
    <col min="5" max="5" width="10.77734375" bestFit="1" customWidth="1"/>
    <col min="6" max="6" width="13.44140625" bestFit="1" customWidth="1"/>
    <col min="7" max="7" width="21.33203125" bestFit="1" customWidth="1"/>
    <col min="8" max="8" width="15.77734375" bestFit="1" customWidth="1"/>
    <col min="9" max="9" width="9" bestFit="1" customWidth="1"/>
    <col min="10" max="10" width="11.77734375" bestFit="1" customWidth="1"/>
    <col min="11" max="12" width="12.21875" bestFit="1" customWidth="1"/>
    <col min="13" max="13" width="5.5546875" bestFit="1" customWidth="1"/>
    <col min="14" max="14" width="5.6640625" bestFit="1" customWidth="1"/>
    <col min="15" max="15" width="8" bestFit="1" customWidth="1"/>
    <col min="16" max="16" width="7.5546875" bestFit="1" customWidth="1"/>
    <col min="17" max="17" width="3.88671875" bestFit="1" customWidth="1"/>
    <col min="19" max="19" width="10.5546875" bestFit="1" customWidth="1"/>
    <col min="20" max="20" width="13.33203125" bestFit="1" customWidth="1"/>
  </cols>
  <sheetData>
    <row r="1" spans="1:588" s="242" customFormat="1" thickBot="1">
      <c r="B1" s="243"/>
      <c r="D1" s="244"/>
      <c r="E1" s="245"/>
      <c r="F1" s="245"/>
      <c r="G1" s="245"/>
      <c r="H1" s="246"/>
      <c r="I1" s="246"/>
      <c r="K1" s="272">
        <v>53.612318395383639</v>
      </c>
      <c r="L1" s="272">
        <v>53.612318395383639</v>
      </c>
      <c r="M1" s="242">
        <v>1.27</v>
      </c>
      <c r="O1" s="242">
        <v>1.27</v>
      </c>
      <c r="R1" s="243"/>
    </row>
    <row r="2" spans="1:588" s="248" customFormat="1" ht="21.6" thickBot="1">
      <c r="A2" s="247"/>
      <c r="B2" s="546" t="s">
        <v>944</v>
      </c>
      <c r="C2" s="547"/>
      <c r="D2" s="547"/>
      <c r="E2" s="547"/>
      <c r="F2" s="547"/>
      <c r="G2" s="547"/>
      <c r="H2" s="547"/>
      <c r="I2" s="548"/>
      <c r="J2" s="247"/>
      <c r="K2" s="549" t="s">
        <v>945</v>
      </c>
      <c r="L2" s="550"/>
      <c r="M2" s="550"/>
      <c r="N2" s="550"/>
      <c r="O2" s="550"/>
      <c r="P2" s="550"/>
      <c r="Q2" s="551"/>
      <c r="R2" s="247"/>
      <c r="S2" s="247"/>
      <c r="T2" s="247"/>
      <c r="U2" s="247"/>
      <c r="V2" s="247"/>
      <c r="W2" s="247"/>
      <c r="X2" s="247"/>
      <c r="Y2" s="247"/>
      <c r="Z2" s="247"/>
      <c r="AA2" s="247"/>
      <c r="AB2" s="247"/>
      <c r="AC2" s="247"/>
      <c r="AD2" s="247"/>
      <c r="AE2" s="247"/>
      <c r="AF2" s="247"/>
      <c r="AG2" s="247"/>
      <c r="AH2" s="247"/>
      <c r="AI2" s="247"/>
      <c r="AJ2" s="247"/>
      <c r="AK2" s="247"/>
      <c r="AL2" s="247"/>
      <c r="AM2" s="247"/>
      <c r="AN2" s="247"/>
      <c r="AO2" s="247"/>
      <c r="AP2" s="247"/>
      <c r="AQ2" s="247"/>
      <c r="AR2" s="247"/>
      <c r="AS2" s="247"/>
      <c r="AT2" s="247"/>
      <c r="AU2" s="247"/>
      <c r="AV2" s="247"/>
      <c r="AW2" s="247"/>
      <c r="AX2" s="247"/>
      <c r="AY2" s="247"/>
      <c r="AZ2" s="247"/>
      <c r="BA2" s="247"/>
      <c r="BB2" s="247"/>
      <c r="BC2" s="247"/>
      <c r="BD2" s="247"/>
      <c r="BE2" s="247"/>
      <c r="BF2" s="247"/>
      <c r="BG2" s="247"/>
      <c r="BH2" s="247"/>
      <c r="BI2" s="247"/>
      <c r="BJ2" s="247"/>
      <c r="BK2" s="247"/>
      <c r="BL2" s="247"/>
      <c r="BM2" s="247"/>
      <c r="BN2" s="247"/>
      <c r="BO2" s="247"/>
      <c r="BP2" s="247"/>
      <c r="BQ2" s="247"/>
      <c r="BR2" s="247"/>
      <c r="BS2" s="247"/>
      <c r="BT2" s="247"/>
      <c r="BU2" s="247"/>
      <c r="BV2" s="247"/>
      <c r="BW2" s="247"/>
      <c r="BX2" s="247"/>
      <c r="BY2" s="247"/>
      <c r="BZ2" s="247"/>
      <c r="CA2" s="247"/>
      <c r="CB2" s="247"/>
      <c r="CC2" s="247"/>
      <c r="CD2" s="247"/>
      <c r="CE2" s="247"/>
      <c r="CF2" s="247"/>
      <c r="CG2" s="247"/>
      <c r="CH2" s="247"/>
      <c r="CI2" s="247"/>
      <c r="CJ2" s="247"/>
      <c r="CK2" s="247"/>
      <c r="CL2" s="247"/>
      <c r="CM2" s="247"/>
      <c r="CN2" s="247"/>
      <c r="CO2" s="247"/>
      <c r="CP2" s="247"/>
      <c r="CQ2" s="247"/>
      <c r="CR2" s="247"/>
      <c r="CS2" s="247"/>
      <c r="CT2" s="247"/>
      <c r="CU2" s="247"/>
      <c r="CV2" s="247"/>
      <c r="CW2" s="247"/>
      <c r="CX2" s="247"/>
      <c r="CY2" s="247"/>
      <c r="CZ2" s="247"/>
      <c r="DA2" s="247"/>
      <c r="DB2" s="247"/>
      <c r="DC2" s="247"/>
      <c r="DD2" s="247"/>
      <c r="DE2" s="247"/>
      <c r="DF2" s="247"/>
      <c r="DG2" s="247"/>
      <c r="DH2" s="247"/>
      <c r="DI2" s="247"/>
      <c r="DJ2" s="247"/>
      <c r="DK2" s="247"/>
      <c r="DL2" s="247"/>
      <c r="DM2" s="247"/>
      <c r="DN2" s="247"/>
      <c r="DO2" s="247"/>
      <c r="DP2" s="247"/>
      <c r="DQ2" s="247"/>
      <c r="DR2" s="247"/>
      <c r="DS2" s="247"/>
      <c r="DT2" s="247"/>
      <c r="DU2" s="247"/>
      <c r="DV2" s="247"/>
      <c r="DW2" s="247"/>
      <c r="DX2" s="247"/>
      <c r="DY2" s="247"/>
      <c r="DZ2" s="247"/>
      <c r="EA2" s="247"/>
      <c r="EB2" s="247"/>
      <c r="EC2" s="247"/>
      <c r="ED2" s="247"/>
      <c r="EE2" s="247"/>
      <c r="EF2" s="247"/>
      <c r="EG2" s="247"/>
      <c r="EH2" s="247"/>
      <c r="EI2" s="247"/>
      <c r="EJ2" s="247"/>
      <c r="EK2" s="247"/>
      <c r="EL2" s="247"/>
      <c r="EM2" s="247"/>
      <c r="EN2" s="247"/>
      <c r="EO2" s="247"/>
      <c r="EP2" s="247"/>
      <c r="EQ2" s="247"/>
      <c r="ER2" s="247"/>
      <c r="ES2" s="247"/>
      <c r="ET2" s="247"/>
      <c r="EU2" s="247"/>
      <c r="EV2" s="247"/>
      <c r="EW2" s="247"/>
      <c r="EX2" s="247"/>
      <c r="EY2" s="247"/>
      <c r="EZ2" s="247"/>
      <c r="FA2" s="247"/>
      <c r="FB2" s="247"/>
      <c r="FC2" s="247"/>
      <c r="FD2" s="247"/>
      <c r="FE2" s="247"/>
      <c r="FF2" s="247"/>
      <c r="FG2" s="247"/>
      <c r="FH2" s="247"/>
      <c r="FI2" s="247"/>
      <c r="FJ2" s="247"/>
      <c r="FK2" s="247"/>
      <c r="FL2" s="247"/>
      <c r="FM2" s="247"/>
      <c r="FN2" s="247"/>
      <c r="FO2" s="247"/>
      <c r="FP2" s="247"/>
      <c r="FQ2" s="247"/>
      <c r="FR2" s="247"/>
      <c r="FS2" s="247"/>
      <c r="FT2" s="247"/>
      <c r="FU2" s="247"/>
      <c r="FV2" s="247"/>
      <c r="FW2" s="247"/>
      <c r="FX2" s="247"/>
      <c r="FY2" s="247"/>
      <c r="FZ2" s="247"/>
      <c r="GA2" s="247"/>
      <c r="GB2" s="247"/>
      <c r="GC2" s="247"/>
      <c r="GD2" s="247"/>
      <c r="GE2" s="247"/>
      <c r="GF2" s="247"/>
      <c r="GG2" s="247"/>
      <c r="GH2" s="247"/>
      <c r="GI2" s="247"/>
      <c r="GJ2" s="247"/>
      <c r="GK2" s="247"/>
      <c r="GL2" s="247"/>
      <c r="GM2" s="247"/>
      <c r="GN2" s="247"/>
      <c r="GO2" s="247"/>
      <c r="GP2" s="247"/>
      <c r="GQ2" s="247"/>
      <c r="GR2" s="247"/>
      <c r="GS2" s="247"/>
      <c r="GT2" s="247"/>
      <c r="GU2" s="247"/>
      <c r="GV2" s="247"/>
      <c r="GW2" s="247"/>
      <c r="GX2" s="247"/>
      <c r="GY2" s="247"/>
      <c r="GZ2" s="247"/>
      <c r="HA2" s="247"/>
      <c r="HB2" s="247"/>
      <c r="HC2" s="247"/>
      <c r="HD2" s="247"/>
      <c r="HE2" s="247"/>
      <c r="HF2" s="247"/>
      <c r="HG2" s="247"/>
      <c r="HH2" s="247"/>
      <c r="HI2" s="247"/>
      <c r="HJ2" s="247"/>
      <c r="HK2" s="247"/>
      <c r="HL2" s="247"/>
      <c r="HM2" s="247"/>
      <c r="HN2" s="247"/>
      <c r="HO2" s="247"/>
      <c r="HP2" s="247"/>
      <c r="HQ2" s="247"/>
      <c r="HR2" s="247"/>
      <c r="HS2" s="247"/>
      <c r="HT2" s="247"/>
      <c r="HU2" s="247"/>
      <c r="HV2" s="247"/>
      <c r="HW2" s="247"/>
      <c r="HX2" s="247"/>
      <c r="HY2" s="247"/>
      <c r="HZ2" s="247"/>
      <c r="IA2" s="247"/>
      <c r="IB2" s="247"/>
      <c r="IC2" s="247"/>
      <c r="ID2" s="247"/>
      <c r="IE2" s="247"/>
      <c r="IF2" s="247"/>
      <c r="IG2" s="247"/>
      <c r="IH2" s="247"/>
      <c r="II2" s="247"/>
      <c r="IJ2" s="247"/>
      <c r="IK2" s="247"/>
      <c r="IL2" s="247"/>
      <c r="IM2" s="247"/>
      <c r="IN2" s="247"/>
      <c r="IO2" s="247"/>
      <c r="IP2" s="247"/>
      <c r="IQ2" s="247"/>
      <c r="IR2" s="247"/>
      <c r="IS2" s="247"/>
      <c r="IT2" s="247"/>
      <c r="IU2" s="247"/>
      <c r="IV2" s="247"/>
      <c r="IW2" s="247"/>
      <c r="IX2" s="247"/>
      <c r="IY2" s="247"/>
      <c r="IZ2" s="247"/>
      <c r="JA2" s="247"/>
      <c r="JB2" s="247"/>
      <c r="JC2" s="247"/>
      <c r="JD2" s="247"/>
      <c r="JE2" s="247"/>
      <c r="JF2" s="247"/>
      <c r="JG2" s="247"/>
      <c r="JH2" s="247"/>
      <c r="JI2" s="247"/>
      <c r="JJ2" s="247"/>
      <c r="JK2" s="247"/>
      <c r="JL2" s="247"/>
      <c r="JM2" s="247"/>
      <c r="JN2" s="247"/>
      <c r="JO2" s="247"/>
      <c r="JP2" s="247"/>
      <c r="JQ2" s="247"/>
      <c r="JR2" s="247"/>
      <c r="JS2" s="247"/>
      <c r="JT2" s="247"/>
      <c r="JU2" s="247"/>
      <c r="JV2" s="247"/>
      <c r="JW2" s="247"/>
      <c r="JX2" s="247"/>
      <c r="JY2" s="247"/>
      <c r="JZ2" s="247"/>
      <c r="KA2" s="247"/>
      <c r="KB2" s="247"/>
      <c r="KC2" s="247"/>
      <c r="KD2" s="247"/>
      <c r="KE2" s="247"/>
      <c r="KF2" s="247"/>
      <c r="KG2" s="247"/>
      <c r="KH2" s="247"/>
      <c r="KI2" s="247"/>
      <c r="KJ2" s="247"/>
      <c r="KK2" s="247"/>
      <c r="KL2" s="247"/>
      <c r="KM2" s="247"/>
      <c r="KN2" s="247"/>
      <c r="KO2" s="247"/>
      <c r="KP2" s="247"/>
      <c r="KQ2" s="247"/>
      <c r="KR2" s="247"/>
      <c r="KS2" s="247"/>
      <c r="KT2" s="247"/>
      <c r="KU2" s="247"/>
      <c r="KV2" s="247"/>
      <c r="KW2" s="247"/>
      <c r="KX2" s="247"/>
      <c r="KY2" s="247"/>
      <c r="KZ2" s="247"/>
      <c r="LA2" s="247"/>
      <c r="LB2" s="247"/>
      <c r="LC2" s="247"/>
      <c r="LD2" s="247"/>
      <c r="LE2" s="247"/>
      <c r="LF2" s="247"/>
      <c r="LG2" s="247"/>
      <c r="LH2" s="247"/>
      <c r="LI2" s="247"/>
      <c r="LJ2" s="247"/>
      <c r="LK2" s="247"/>
      <c r="LL2" s="247"/>
      <c r="LM2" s="247"/>
      <c r="LN2" s="247"/>
      <c r="LO2" s="247"/>
      <c r="LP2" s="247"/>
      <c r="LQ2" s="247"/>
      <c r="LR2" s="247"/>
      <c r="LS2" s="247"/>
      <c r="LT2" s="247"/>
      <c r="LU2" s="247"/>
      <c r="LV2" s="247"/>
      <c r="LW2" s="247"/>
      <c r="LX2" s="247"/>
      <c r="LY2" s="247"/>
      <c r="LZ2" s="247"/>
      <c r="MA2" s="247"/>
      <c r="MB2" s="247"/>
      <c r="MC2" s="247"/>
      <c r="MD2" s="247"/>
      <c r="ME2" s="247"/>
      <c r="MF2" s="247"/>
      <c r="MG2" s="247"/>
      <c r="MH2" s="247"/>
      <c r="MI2" s="247"/>
      <c r="MJ2" s="247"/>
      <c r="MK2" s="247"/>
      <c r="ML2" s="247"/>
      <c r="MM2" s="247"/>
      <c r="MN2" s="247"/>
      <c r="MO2" s="247"/>
      <c r="MP2" s="247"/>
      <c r="MQ2" s="247"/>
      <c r="MR2" s="247"/>
      <c r="MS2" s="247"/>
      <c r="MT2" s="247"/>
      <c r="MU2" s="247"/>
      <c r="MV2" s="247"/>
      <c r="MW2" s="247"/>
      <c r="MX2" s="247"/>
      <c r="MY2" s="247"/>
      <c r="MZ2" s="247"/>
      <c r="NA2" s="247"/>
      <c r="NB2" s="247"/>
      <c r="NC2" s="247"/>
      <c r="ND2" s="247"/>
      <c r="NE2" s="247"/>
      <c r="NF2" s="247"/>
      <c r="NG2" s="247"/>
      <c r="NH2" s="247"/>
      <c r="NI2" s="247"/>
      <c r="NJ2" s="247"/>
      <c r="NK2" s="247"/>
      <c r="NL2" s="247"/>
      <c r="NM2" s="247"/>
      <c r="NN2" s="247"/>
      <c r="NO2" s="247"/>
      <c r="NP2" s="247"/>
      <c r="NQ2" s="247"/>
      <c r="NR2" s="247"/>
      <c r="NS2" s="247"/>
      <c r="NT2" s="247"/>
      <c r="NU2" s="247"/>
      <c r="NV2" s="247"/>
      <c r="NW2" s="247"/>
      <c r="NX2" s="247"/>
      <c r="NY2" s="247"/>
      <c r="NZ2" s="247"/>
      <c r="OA2" s="247"/>
      <c r="OB2" s="247"/>
      <c r="OC2" s="247"/>
      <c r="OD2" s="247"/>
      <c r="OE2" s="247"/>
      <c r="OF2" s="247"/>
      <c r="OG2" s="247"/>
      <c r="OH2" s="247"/>
      <c r="OI2" s="247"/>
      <c r="OJ2" s="247"/>
      <c r="OK2" s="247"/>
      <c r="OL2" s="247"/>
      <c r="OM2" s="247"/>
      <c r="ON2" s="247"/>
      <c r="OO2" s="247"/>
      <c r="OP2" s="247"/>
      <c r="OQ2" s="247"/>
      <c r="OR2" s="247"/>
      <c r="OS2" s="247"/>
      <c r="OT2" s="247"/>
      <c r="OU2" s="247"/>
      <c r="OV2" s="247"/>
      <c r="OW2" s="247"/>
      <c r="OX2" s="247"/>
      <c r="OY2" s="247"/>
      <c r="OZ2" s="247"/>
      <c r="PA2" s="247"/>
      <c r="PB2" s="247"/>
      <c r="PC2" s="247"/>
      <c r="PD2" s="247"/>
      <c r="PE2" s="247"/>
      <c r="PF2" s="247"/>
      <c r="PG2" s="247"/>
      <c r="PH2" s="247"/>
      <c r="PI2" s="247"/>
      <c r="PJ2" s="247"/>
      <c r="PK2" s="247"/>
      <c r="PL2" s="247"/>
      <c r="PM2" s="247"/>
      <c r="PN2" s="247"/>
      <c r="PO2" s="247"/>
      <c r="PP2" s="247"/>
      <c r="PQ2" s="247"/>
      <c r="PR2" s="247"/>
      <c r="PS2" s="247"/>
      <c r="PT2" s="247"/>
      <c r="PU2" s="247"/>
      <c r="PV2" s="247"/>
      <c r="PW2" s="247"/>
      <c r="PX2" s="247"/>
      <c r="PY2" s="247"/>
      <c r="PZ2" s="247"/>
      <c r="QA2" s="247"/>
      <c r="QB2" s="247"/>
      <c r="QC2" s="247"/>
      <c r="QD2" s="247"/>
      <c r="QE2" s="247"/>
      <c r="QF2" s="247"/>
      <c r="QG2" s="247"/>
      <c r="QH2" s="247"/>
      <c r="QI2" s="247"/>
      <c r="QJ2" s="247"/>
      <c r="QK2" s="247"/>
      <c r="QL2" s="247"/>
      <c r="QM2" s="247"/>
      <c r="QN2" s="247"/>
      <c r="QO2" s="247"/>
      <c r="QP2" s="247"/>
      <c r="QQ2" s="247"/>
      <c r="QR2" s="247"/>
      <c r="QS2" s="247"/>
      <c r="QT2" s="247"/>
      <c r="QU2" s="247"/>
      <c r="QV2" s="247"/>
      <c r="QW2" s="247"/>
      <c r="QX2" s="247"/>
      <c r="QY2" s="247"/>
      <c r="QZ2" s="247"/>
      <c r="RA2" s="247"/>
      <c r="RB2" s="247"/>
      <c r="RC2" s="247"/>
      <c r="RD2" s="247"/>
      <c r="RE2" s="247"/>
      <c r="RF2" s="247"/>
      <c r="RG2" s="247"/>
      <c r="RH2" s="247"/>
      <c r="RI2" s="247"/>
      <c r="RJ2" s="247"/>
      <c r="RK2" s="247"/>
      <c r="RL2" s="247"/>
      <c r="RM2" s="247"/>
      <c r="RN2" s="247"/>
      <c r="RO2" s="247"/>
      <c r="RP2" s="247"/>
      <c r="RQ2" s="247"/>
      <c r="RR2" s="247"/>
      <c r="RS2" s="247"/>
      <c r="RT2" s="247"/>
      <c r="RU2" s="247"/>
      <c r="RV2" s="247"/>
      <c r="RW2" s="247"/>
      <c r="RX2" s="247"/>
      <c r="RY2" s="247"/>
      <c r="RZ2" s="247"/>
      <c r="SA2" s="247"/>
      <c r="SB2" s="247"/>
      <c r="SC2" s="247"/>
      <c r="SD2" s="247"/>
      <c r="SE2" s="247"/>
      <c r="SF2" s="247"/>
      <c r="SG2" s="247"/>
      <c r="SH2" s="247"/>
      <c r="SI2" s="247"/>
      <c r="SJ2" s="247"/>
      <c r="SK2" s="247"/>
      <c r="SL2" s="247"/>
      <c r="SM2" s="247"/>
      <c r="SN2" s="247"/>
      <c r="SO2" s="247"/>
      <c r="SP2" s="247"/>
      <c r="SQ2" s="247"/>
      <c r="SR2" s="247"/>
      <c r="SS2" s="247"/>
      <c r="ST2" s="247"/>
      <c r="SU2" s="247"/>
      <c r="SV2" s="247"/>
      <c r="SW2" s="247"/>
      <c r="SX2" s="247"/>
      <c r="SY2" s="247"/>
      <c r="SZ2" s="247"/>
      <c r="TA2" s="247"/>
      <c r="TB2" s="247"/>
      <c r="TC2" s="247"/>
      <c r="TD2" s="247"/>
      <c r="TE2" s="247"/>
      <c r="TF2" s="247"/>
      <c r="TG2" s="247"/>
      <c r="TH2" s="247"/>
      <c r="TI2" s="247"/>
      <c r="TJ2" s="247"/>
      <c r="TK2" s="247"/>
      <c r="TL2" s="247"/>
      <c r="TM2" s="247"/>
      <c r="TN2" s="247"/>
      <c r="TO2" s="247"/>
      <c r="TP2" s="247"/>
      <c r="TQ2" s="247"/>
      <c r="TR2" s="247"/>
      <c r="TS2" s="247"/>
      <c r="TT2" s="247"/>
      <c r="TU2" s="247"/>
      <c r="TV2" s="247"/>
      <c r="TW2" s="247"/>
      <c r="TX2" s="247"/>
      <c r="TY2" s="247"/>
      <c r="TZ2" s="247"/>
      <c r="UA2" s="247"/>
      <c r="UB2" s="247"/>
      <c r="UC2" s="247"/>
      <c r="UD2" s="247"/>
      <c r="UE2" s="247"/>
      <c r="UF2" s="247"/>
      <c r="UG2" s="247"/>
      <c r="UH2" s="247"/>
      <c r="UI2" s="247"/>
      <c r="UJ2" s="247"/>
      <c r="UK2" s="247"/>
      <c r="UL2" s="247"/>
      <c r="UM2" s="247"/>
      <c r="UN2" s="247"/>
      <c r="UO2" s="247"/>
      <c r="UP2" s="247"/>
      <c r="UQ2" s="247"/>
      <c r="UR2" s="247"/>
      <c r="US2" s="247"/>
      <c r="UT2" s="247"/>
      <c r="UU2" s="247"/>
      <c r="UV2" s="247"/>
      <c r="UW2" s="247"/>
      <c r="UX2" s="247"/>
      <c r="UY2" s="247"/>
      <c r="UZ2" s="247"/>
      <c r="VA2" s="247"/>
      <c r="VB2" s="247"/>
      <c r="VC2" s="247"/>
      <c r="VD2" s="247"/>
      <c r="VE2" s="247"/>
      <c r="VF2" s="247"/>
      <c r="VG2" s="247"/>
      <c r="VH2" s="247"/>
      <c r="VI2" s="247"/>
      <c r="VJ2" s="247"/>
      <c r="VK2" s="247"/>
      <c r="VL2" s="247"/>
      <c r="VM2" s="247"/>
      <c r="VN2" s="247"/>
      <c r="VO2" s="247"/>
      <c r="VP2" s="247"/>
    </row>
    <row r="3" spans="1:588" s="249" customFormat="1" thickBot="1">
      <c r="B3" s="552"/>
      <c r="C3" s="553"/>
      <c r="D3" s="553"/>
      <c r="E3" s="553"/>
      <c r="F3" s="553"/>
      <c r="G3" s="553"/>
      <c r="H3" s="553"/>
      <c r="I3" s="554"/>
      <c r="K3" s="250">
        <v>162</v>
      </c>
      <c r="L3" s="251">
        <v>162</v>
      </c>
      <c r="M3" s="251">
        <v>3</v>
      </c>
      <c r="N3" s="252"/>
      <c r="O3" s="253">
        <f>'[76]Discount Sheet'!H7</f>
        <v>1.01</v>
      </c>
      <c r="P3" s="252" t="s">
        <v>172</v>
      </c>
      <c r="Q3" s="254" t="s">
        <v>172</v>
      </c>
    </row>
    <row r="4" spans="1:588" s="263" customFormat="1" thickBot="1">
      <c r="A4" s="249"/>
      <c r="B4" s="255"/>
      <c r="C4" s="256" t="s">
        <v>946</v>
      </c>
      <c r="D4" s="257"/>
      <c r="E4" s="257"/>
      <c r="F4" s="257"/>
      <c r="G4" s="257"/>
      <c r="H4" s="257"/>
      <c r="I4" s="258"/>
      <c r="J4" s="249"/>
      <c r="K4" s="259" t="s">
        <v>947</v>
      </c>
      <c r="L4" s="260" t="s">
        <v>143</v>
      </c>
      <c r="M4" s="260" t="s">
        <v>144</v>
      </c>
      <c r="N4" s="261" t="s">
        <v>948</v>
      </c>
      <c r="O4" s="262" t="s">
        <v>949</v>
      </c>
      <c r="P4" s="555" t="s">
        <v>82</v>
      </c>
      <c r="Q4" s="557" t="s">
        <v>950</v>
      </c>
      <c r="R4" s="249"/>
      <c r="T4" s="249"/>
      <c r="U4" s="249"/>
      <c r="V4" s="249"/>
      <c r="W4" s="249"/>
      <c r="X4" s="249"/>
      <c r="Y4" s="249"/>
      <c r="Z4" s="249"/>
      <c r="AA4" s="249"/>
      <c r="AB4" s="249"/>
      <c r="AC4" s="249"/>
      <c r="AD4" s="249"/>
      <c r="AE4" s="249"/>
      <c r="AF4" s="249"/>
      <c r="AG4" s="249"/>
      <c r="AH4" s="249"/>
      <c r="AI4" s="249"/>
      <c r="AJ4" s="249"/>
      <c r="AK4" s="249"/>
      <c r="AL4" s="249"/>
      <c r="AM4" s="249"/>
      <c r="AN4" s="249"/>
      <c r="AO4" s="249"/>
      <c r="AP4" s="249"/>
      <c r="AQ4" s="249"/>
      <c r="AR4" s="249"/>
      <c r="AS4" s="249"/>
      <c r="AT4" s="249"/>
      <c r="AU4" s="249"/>
      <c r="AV4" s="249"/>
      <c r="AW4" s="249"/>
      <c r="AX4" s="249"/>
      <c r="AY4" s="249"/>
      <c r="AZ4" s="249"/>
      <c r="BA4" s="249"/>
      <c r="BB4" s="249"/>
      <c r="BC4" s="249"/>
      <c r="BD4" s="249"/>
      <c r="BE4" s="249"/>
      <c r="BF4" s="249"/>
      <c r="BG4" s="249"/>
      <c r="BH4" s="249"/>
      <c r="BI4" s="249"/>
      <c r="BJ4" s="249"/>
      <c r="BK4" s="249"/>
      <c r="BL4" s="249"/>
      <c r="BM4" s="249"/>
      <c r="BN4" s="249"/>
      <c r="BO4" s="249"/>
      <c r="BP4" s="249"/>
      <c r="BQ4" s="249"/>
      <c r="BR4" s="249"/>
      <c r="BS4" s="249"/>
      <c r="BT4" s="249"/>
      <c r="BU4" s="249"/>
      <c r="BV4" s="249"/>
      <c r="BW4" s="249"/>
      <c r="BX4" s="249"/>
      <c r="BY4" s="249"/>
      <c r="BZ4" s="249"/>
      <c r="CA4" s="249"/>
      <c r="CB4" s="249"/>
      <c r="CC4" s="249"/>
      <c r="CD4" s="249"/>
      <c r="CE4" s="249"/>
      <c r="CF4" s="249"/>
      <c r="CG4" s="249"/>
      <c r="CH4" s="249"/>
      <c r="CI4" s="249"/>
      <c r="CJ4" s="249"/>
      <c r="CK4" s="249"/>
      <c r="CL4" s="249"/>
      <c r="CM4" s="249"/>
      <c r="CN4" s="249"/>
      <c r="CO4" s="249"/>
      <c r="CP4" s="249"/>
      <c r="CQ4" s="249"/>
      <c r="CR4" s="249"/>
      <c r="CS4" s="249"/>
      <c r="CT4" s="249"/>
      <c r="CU4" s="249"/>
      <c r="CV4" s="249"/>
      <c r="CW4" s="249"/>
      <c r="CX4" s="249"/>
      <c r="CY4" s="249"/>
      <c r="CZ4" s="249"/>
      <c r="DA4" s="249"/>
      <c r="DB4" s="249"/>
      <c r="DC4" s="249"/>
      <c r="DD4" s="249"/>
      <c r="DE4" s="249"/>
      <c r="DF4" s="249"/>
      <c r="DG4" s="249"/>
      <c r="DH4" s="249"/>
      <c r="DI4" s="249"/>
      <c r="DJ4" s="249"/>
      <c r="DK4" s="249"/>
      <c r="DL4" s="249"/>
      <c r="DM4" s="249"/>
      <c r="DN4" s="249"/>
      <c r="DO4" s="249"/>
      <c r="DP4" s="249"/>
      <c r="DQ4" s="249"/>
      <c r="DR4" s="249"/>
      <c r="DS4" s="249"/>
      <c r="DT4" s="249"/>
      <c r="DU4" s="249"/>
      <c r="DV4" s="249"/>
      <c r="DW4" s="249"/>
      <c r="DX4" s="249"/>
      <c r="DY4" s="249"/>
      <c r="DZ4" s="249"/>
      <c r="EA4" s="249"/>
      <c r="EB4" s="249"/>
      <c r="EC4" s="249"/>
      <c r="ED4" s="249"/>
      <c r="EE4" s="249"/>
      <c r="EF4" s="249"/>
      <c r="EG4" s="249"/>
      <c r="EH4" s="249"/>
      <c r="EI4" s="249"/>
      <c r="EJ4" s="249"/>
      <c r="EK4" s="249"/>
      <c r="EL4" s="249"/>
      <c r="EM4" s="249"/>
      <c r="EN4" s="249"/>
      <c r="EO4" s="249"/>
      <c r="EP4" s="249"/>
      <c r="EQ4" s="249"/>
      <c r="ER4" s="249"/>
      <c r="ES4" s="249"/>
      <c r="ET4" s="249"/>
      <c r="EU4" s="249"/>
      <c r="EV4" s="249"/>
      <c r="EW4" s="249"/>
      <c r="EX4" s="249"/>
      <c r="EY4" s="249"/>
      <c r="EZ4" s="249"/>
      <c r="FA4" s="249"/>
      <c r="FB4" s="249"/>
      <c r="FC4" s="249"/>
      <c r="FD4" s="249"/>
      <c r="FE4" s="249"/>
      <c r="FF4" s="249"/>
      <c r="FG4" s="249"/>
      <c r="FH4" s="249"/>
      <c r="FI4" s="249"/>
      <c r="FJ4" s="249"/>
      <c r="FK4" s="249"/>
      <c r="FL4" s="249"/>
      <c r="FM4" s="249"/>
      <c r="FN4" s="249"/>
      <c r="FO4" s="249"/>
      <c r="FP4" s="249"/>
      <c r="FQ4" s="249"/>
      <c r="FR4" s="249"/>
      <c r="FS4" s="249"/>
      <c r="FT4" s="249"/>
      <c r="FU4" s="249"/>
      <c r="FV4" s="249"/>
      <c r="FW4" s="249"/>
      <c r="FX4" s="249"/>
      <c r="FY4" s="249"/>
      <c r="FZ4" s="249"/>
      <c r="GA4" s="249"/>
      <c r="GB4" s="249"/>
      <c r="GC4" s="249"/>
      <c r="GD4" s="249"/>
      <c r="GE4" s="249"/>
      <c r="GF4" s="249"/>
      <c r="GG4" s="249"/>
      <c r="GH4" s="249"/>
      <c r="GI4" s="249"/>
      <c r="GJ4" s="249"/>
      <c r="GK4" s="249"/>
      <c r="GL4" s="249"/>
      <c r="GM4" s="249"/>
      <c r="GN4" s="249"/>
      <c r="GO4" s="249"/>
      <c r="GP4" s="249"/>
      <c r="GQ4" s="249"/>
      <c r="GR4" s="249"/>
      <c r="GS4" s="249"/>
      <c r="GT4" s="249"/>
      <c r="GU4" s="249"/>
      <c r="GV4" s="249"/>
      <c r="GW4" s="249"/>
      <c r="GX4" s="249"/>
      <c r="GY4" s="249"/>
      <c r="GZ4" s="249"/>
      <c r="HA4" s="249"/>
      <c r="HB4" s="249"/>
      <c r="HC4" s="249"/>
      <c r="HD4" s="249"/>
      <c r="HE4" s="249"/>
      <c r="HF4" s="249"/>
      <c r="HG4" s="249"/>
      <c r="HH4" s="249"/>
      <c r="HI4" s="249"/>
      <c r="HJ4" s="249"/>
      <c r="HK4" s="249"/>
      <c r="HL4" s="249"/>
      <c r="HM4" s="249"/>
      <c r="HN4" s="249"/>
      <c r="HO4" s="249"/>
      <c r="HP4" s="249"/>
      <c r="HQ4" s="249"/>
      <c r="HR4" s="249"/>
      <c r="HS4" s="249"/>
      <c r="HT4" s="249"/>
      <c r="HU4" s="249"/>
      <c r="HV4" s="249"/>
      <c r="HW4" s="249"/>
      <c r="HX4" s="249"/>
      <c r="HY4" s="249"/>
      <c r="HZ4" s="249"/>
      <c r="IA4" s="249"/>
      <c r="IB4" s="249"/>
      <c r="IC4" s="249"/>
      <c r="ID4" s="249"/>
      <c r="IE4" s="249"/>
      <c r="IF4" s="249"/>
      <c r="IG4" s="249"/>
      <c r="IH4" s="249"/>
      <c r="II4" s="249"/>
      <c r="IJ4" s="249"/>
      <c r="IK4" s="249"/>
      <c r="IL4" s="249"/>
      <c r="IM4" s="249"/>
      <c r="IN4" s="249"/>
      <c r="IO4" s="249"/>
      <c r="IP4" s="249"/>
      <c r="IQ4" s="249"/>
      <c r="IR4" s="249"/>
      <c r="IS4" s="249"/>
      <c r="IT4" s="249"/>
      <c r="IU4" s="249"/>
      <c r="IV4" s="249"/>
      <c r="IW4" s="249"/>
      <c r="IX4" s="249"/>
      <c r="IY4" s="249"/>
      <c r="IZ4" s="249"/>
      <c r="JA4" s="249"/>
      <c r="JB4" s="249"/>
      <c r="JC4" s="249"/>
      <c r="JD4" s="249"/>
      <c r="JE4" s="249"/>
      <c r="JF4" s="249"/>
      <c r="JG4" s="249"/>
      <c r="JH4" s="249"/>
      <c r="JI4" s="249"/>
      <c r="JJ4" s="249"/>
      <c r="JK4" s="249"/>
      <c r="JL4" s="249"/>
      <c r="JM4" s="249"/>
      <c r="JN4" s="249"/>
      <c r="JO4" s="249"/>
      <c r="JP4" s="249"/>
      <c r="JQ4" s="249"/>
      <c r="JR4" s="249"/>
      <c r="JS4" s="249"/>
      <c r="JT4" s="249"/>
      <c r="JU4" s="249"/>
      <c r="JV4" s="249"/>
      <c r="JW4" s="249"/>
      <c r="JX4" s="249"/>
      <c r="JY4" s="249"/>
      <c r="JZ4" s="249"/>
      <c r="KA4" s="249"/>
      <c r="KB4" s="249"/>
      <c r="KC4" s="249"/>
      <c r="KD4" s="249"/>
      <c r="KE4" s="249"/>
      <c r="KF4" s="249"/>
      <c r="KG4" s="249"/>
      <c r="KH4" s="249"/>
      <c r="KI4" s="249"/>
      <c r="KJ4" s="249"/>
      <c r="KK4" s="249"/>
      <c r="KL4" s="249"/>
      <c r="KM4" s="249"/>
      <c r="KN4" s="249"/>
      <c r="KO4" s="249"/>
      <c r="KP4" s="249"/>
      <c r="KQ4" s="249"/>
      <c r="KR4" s="249"/>
      <c r="KS4" s="249"/>
      <c r="KT4" s="249"/>
      <c r="KU4" s="249"/>
      <c r="KV4" s="249"/>
      <c r="KW4" s="249"/>
      <c r="KX4" s="249"/>
      <c r="KY4" s="249"/>
      <c r="KZ4" s="249"/>
      <c r="LA4" s="249"/>
      <c r="LB4" s="249"/>
      <c r="LC4" s="249"/>
      <c r="LD4" s="249"/>
      <c r="LE4" s="249"/>
      <c r="LF4" s="249"/>
      <c r="LG4" s="249"/>
      <c r="LH4" s="249"/>
      <c r="LI4" s="249"/>
      <c r="LJ4" s="249"/>
      <c r="LK4" s="249"/>
      <c r="LL4" s="249"/>
      <c r="LM4" s="249"/>
      <c r="LN4" s="249"/>
      <c r="LO4" s="249"/>
      <c r="LP4" s="249"/>
      <c r="LQ4" s="249"/>
      <c r="LR4" s="249"/>
      <c r="LS4" s="249"/>
      <c r="LT4" s="249"/>
      <c r="LU4" s="249"/>
      <c r="LV4" s="249"/>
      <c r="LW4" s="249"/>
      <c r="LX4" s="249"/>
      <c r="LY4" s="249"/>
      <c r="LZ4" s="249"/>
      <c r="MA4" s="249"/>
      <c r="MB4" s="249"/>
      <c r="MC4" s="249"/>
      <c r="MD4" s="249"/>
      <c r="ME4" s="249"/>
      <c r="MF4" s="249"/>
      <c r="MG4" s="249"/>
      <c r="MH4" s="249"/>
      <c r="MI4" s="249"/>
      <c r="MJ4" s="249"/>
      <c r="MK4" s="249"/>
      <c r="ML4" s="249"/>
      <c r="MM4" s="249"/>
      <c r="MN4" s="249"/>
      <c r="MO4" s="249"/>
      <c r="MP4" s="249"/>
      <c r="MQ4" s="249"/>
      <c r="MR4" s="249"/>
      <c r="MS4" s="249"/>
      <c r="MT4" s="249"/>
      <c r="MU4" s="249"/>
      <c r="MV4" s="249"/>
      <c r="MW4" s="249"/>
      <c r="MX4" s="249"/>
      <c r="MY4" s="249"/>
      <c r="MZ4" s="249"/>
      <c r="NA4" s="249"/>
      <c r="NB4" s="249"/>
      <c r="NC4" s="249"/>
      <c r="ND4" s="249"/>
      <c r="NE4" s="249"/>
      <c r="NF4" s="249"/>
      <c r="NG4" s="249"/>
      <c r="NH4" s="249"/>
      <c r="NI4" s="249"/>
      <c r="NJ4" s="249"/>
      <c r="NK4" s="249"/>
      <c r="NL4" s="249"/>
      <c r="NM4" s="249"/>
      <c r="NN4" s="249"/>
      <c r="NO4" s="249"/>
      <c r="NP4" s="249"/>
      <c r="NQ4" s="249"/>
      <c r="NR4" s="249"/>
      <c r="NS4" s="249"/>
      <c r="NT4" s="249"/>
      <c r="NU4" s="249"/>
      <c r="NV4" s="249"/>
      <c r="NW4" s="249"/>
      <c r="NX4" s="249"/>
      <c r="NY4" s="249"/>
      <c r="NZ4" s="249"/>
      <c r="OA4" s="249"/>
      <c r="OB4" s="249"/>
      <c r="OC4" s="249"/>
      <c r="OD4" s="249"/>
      <c r="OE4" s="249"/>
      <c r="OF4" s="249"/>
      <c r="OG4" s="249"/>
      <c r="OH4" s="249"/>
      <c r="OI4" s="249"/>
      <c r="OJ4" s="249"/>
      <c r="OK4" s="249"/>
      <c r="OL4" s="249"/>
      <c r="OM4" s="249"/>
      <c r="ON4" s="249"/>
      <c r="OO4" s="249"/>
      <c r="OP4" s="249"/>
      <c r="OQ4" s="249"/>
      <c r="OR4" s="249"/>
      <c r="OS4" s="249"/>
      <c r="OT4" s="249"/>
      <c r="OU4" s="249"/>
      <c r="OV4" s="249"/>
      <c r="OW4" s="249"/>
      <c r="OX4" s="249"/>
      <c r="OY4" s="249"/>
      <c r="OZ4" s="249"/>
      <c r="PA4" s="249"/>
      <c r="PB4" s="249"/>
      <c r="PC4" s="249"/>
      <c r="PD4" s="249"/>
      <c r="PE4" s="249"/>
      <c r="PF4" s="249"/>
      <c r="PG4" s="249"/>
      <c r="PH4" s="249"/>
      <c r="PI4" s="249"/>
      <c r="PJ4" s="249"/>
      <c r="PK4" s="249"/>
      <c r="PL4" s="249"/>
      <c r="PM4" s="249"/>
      <c r="PN4" s="249"/>
      <c r="PO4" s="249"/>
      <c r="PP4" s="249"/>
      <c r="PQ4" s="249"/>
      <c r="PR4" s="249"/>
      <c r="PS4" s="249"/>
      <c r="PT4" s="249"/>
      <c r="PU4" s="249"/>
      <c r="PV4" s="249"/>
      <c r="PW4" s="249"/>
      <c r="PX4" s="249"/>
      <c r="PY4" s="249"/>
      <c r="PZ4" s="249"/>
      <c r="QA4" s="249"/>
      <c r="QB4" s="249"/>
      <c r="QC4" s="249"/>
      <c r="QD4" s="249"/>
      <c r="QE4" s="249"/>
      <c r="QF4" s="249"/>
      <c r="QG4" s="249"/>
      <c r="QH4" s="249"/>
      <c r="QI4" s="249"/>
      <c r="QJ4" s="249"/>
      <c r="QK4" s="249"/>
      <c r="QL4" s="249"/>
      <c r="QM4" s="249"/>
      <c r="QN4" s="249"/>
      <c r="QO4" s="249"/>
      <c r="QP4" s="249"/>
      <c r="QQ4" s="249"/>
      <c r="QR4" s="249"/>
      <c r="QS4" s="249"/>
      <c r="QT4" s="249"/>
      <c r="QU4" s="249"/>
      <c r="QV4" s="249"/>
      <c r="QW4" s="249"/>
      <c r="QX4" s="249"/>
      <c r="QY4" s="249"/>
      <c r="QZ4" s="249"/>
      <c r="RA4" s="249"/>
      <c r="RB4" s="249"/>
      <c r="RC4" s="249"/>
      <c r="RD4" s="249"/>
      <c r="RE4" s="249"/>
      <c r="RF4" s="249"/>
      <c r="RG4" s="249"/>
      <c r="RH4" s="249"/>
      <c r="RI4" s="249"/>
      <c r="RJ4" s="249"/>
      <c r="RK4" s="249"/>
      <c r="RL4" s="249"/>
      <c r="RM4" s="249"/>
      <c r="RN4" s="249"/>
      <c r="RO4" s="249"/>
      <c r="RP4" s="249"/>
      <c r="RQ4" s="249"/>
      <c r="RR4" s="249"/>
      <c r="RS4" s="249"/>
      <c r="RT4" s="249"/>
      <c r="RU4" s="249"/>
      <c r="RV4" s="249"/>
      <c r="RW4" s="249"/>
      <c r="RX4" s="249"/>
      <c r="RY4" s="249"/>
      <c r="RZ4" s="249"/>
      <c r="SA4" s="249"/>
      <c r="SB4" s="249"/>
      <c r="SC4" s="249"/>
      <c r="SD4" s="249"/>
      <c r="SE4" s="249"/>
      <c r="SF4" s="249"/>
      <c r="SG4" s="249"/>
      <c r="SH4" s="249"/>
      <c r="SI4" s="249"/>
      <c r="SJ4" s="249"/>
      <c r="SK4" s="249"/>
      <c r="SL4" s="249"/>
      <c r="SM4" s="249"/>
      <c r="SN4" s="249"/>
      <c r="SO4" s="249"/>
      <c r="SP4" s="249"/>
      <c r="SQ4" s="249"/>
      <c r="SR4" s="249"/>
      <c r="SS4" s="249"/>
      <c r="ST4" s="249"/>
      <c r="SU4" s="249"/>
      <c r="SV4" s="249"/>
      <c r="SW4" s="249"/>
      <c r="SX4" s="249"/>
      <c r="SY4" s="249"/>
      <c r="SZ4" s="249"/>
      <c r="TA4" s="249"/>
      <c r="TB4" s="249"/>
      <c r="TC4" s="249"/>
      <c r="TD4" s="249"/>
      <c r="TE4" s="249"/>
      <c r="TF4" s="249"/>
      <c r="TG4" s="249"/>
      <c r="TH4" s="249"/>
      <c r="TI4" s="249"/>
      <c r="TJ4" s="249"/>
      <c r="TK4" s="249"/>
      <c r="TL4" s="249"/>
      <c r="TM4" s="249"/>
      <c r="TN4" s="249"/>
      <c r="TO4" s="249"/>
      <c r="TP4" s="249"/>
      <c r="TQ4" s="249"/>
      <c r="TR4" s="249"/>
      <c r="TS4" s="249"/>
      <c r="TT4" s="249"/>
      <c r="TU4" s="249"/>
      <c r="TV4" s="249"/>
      <c r="TW4" s="249"/>
      <c r="TX4" s="249"/>
      <c r="TY4" s="249"/>
      <c r="TZ4" s="249"/>
      <c r="UA4" s="249"/>
      <c r="UB4" s="249"/>
      <c r="UC4" s="249"/>
      <c r="UD4" s="249"/>
      <c r="UE4" s="249"/>
      <c r="UF4" s="249"/>
      <c r="UG4" s="249"/>
      <c r="UH4" s="249"/>
      <c r="UI4" s="249"/>
      <c r="UJ4" s="249"/>
      <c r="UK4" s="249"/>
      <c r="UL4" s="249"/>
      <c r="UM4" s="249"/>
      <c r="UN4" s="249"/>
      <c r="UO4" s="249"/>
      <c r="UP4" s="249"/>
      <c r="UQ4" s="249"/>
      <c r="UR4" s="249"/>
      <c r="US4" s="249"/>
      <c r="UT4" s="249"/>
      <c r="UU4" s="249"/>
      <c r="UV4" s="249"/>
      <c r="UW4" s="249"/>
      <c r="UX4" s="249"/>
      <c r="UY4" s="249"/>
      <c r="UZ4" s="249"/>
      <c r="VA4" s="249"/>
      <c r="VB4" s="249"/>
      <c r="VC4" s="249"/>
      <c r="VD4" s="249"/>
      <c r="VE4" s="249"/>
      <c r="VF4" s="249"/>
      <c r="VG4" s="249"/>
      <c r="VH4" s="249"/>
      <c r="VI4" s="249"/>
      <c r="VJ4" s="249"/>
      <c r="VK4" s="249"/>
      <c r="VL4" s="249"/>
      <c r="VM4" s="249"/>
      <c r="VN4" s="249"/>
      <c r="VO4" s="249"/>
      <c r="VP4" s="249"/>
    </row>
    <row r="5" spans="1:588" s="263" customFormat="1" thickBot="1">
      <c r="A5" s="249"/>
      <c r="B5" s="264" t="s">
        <v>951</v>
      </c>
      <c r="C5" s="265" t="s">
        <v>952</v>
      </c>
      <c r="D5" s="266" t="s">
        <v>866</v>
      </c>
      <c r="E5" s="266" t="s">
        <v>867</v>
      </c>
      <c r="F5" s="266" t="s">
        <v>868</v>
      </c>
      <c r="G5" s="266" t="s">
        <v>869</v>
      </c>
      <c r="H5" s="266" t="s">
        <v>626</v>
      </c>
      <c r="I5" s="267" t="s">
        <v>624</v>
      </c>
      <c r="J5" s="249"/>
      <c r="K5" s="268" t="s">
        <v>953</v>
      </c>
      <c r="L5" s="269" t="s">
        <v>954</v>
      </c>
      <c r="M5" s="269" t="s">
        <v>954</v>
      </c>
      <c r="N5" s="270"/>
      <c r="O5" s="271" t="s">
        <v>955</v>
      </c>
      <c r="P5" s="556"/>
      <c r="Q5" s="558"/>
      <c r="R5" s="249"/>
      <c r="S5" s="249" t="s">
        <v>1366</v>
      </c>
      <c r="T5" s="249"/>
      <c r="U5" s="249"/>
      <c r="V5" s="249"/>
      <c r="W5" s="249"/>
      <c r="X5" s="249"/>
      <c r="Y5" s="249"/>
      <c r="Z5" s="249"/>
      <c r="AA5" s="249"/>
      <c r="AB5" s="249"/>
      <c r="AC5" s="249"/>
      <c r="AD5" s="249"/>
      <c r="AE5" s="249"/>
      <c r="AF5" s="249"/>
      <c r="AG5" s="249"/>
      <c r="AH5" s="249"/>
      <c r="AI5" s="249"/>
      <c r="AJ5" s="249"/>
      <c r="AK5" s="249"/>
      <c r="AL5" s="249"/>
      <c r="AM5" s="249"/>
      <c r="AN5" s="249"/>
      <c r="AO5" s="249"/>
      <c r="AP5" s="249"/>
      <c r="AQ5" s="249"/>
      <c r="AR5" s="249"/>
      <c r="AS5" s="249"/>
      <c r="AT5" s="249"/>
      <c r="AU5" s="249"/>
      <c r="AV5" s="249"/>
      <c r="AW5" s="249"/>
      <c r="AX5" s="249"/>
      <c r="AY5" s="249"/>
      <c r="AZ5" s="249"/>
      <c r="BA5" s="249"/>
      <c r="BB5" s="249"/>
      <c r="BC5" s="249"/>
      <c r="BD5" s="249"/>
      <c r="BE5" s="249"/>
      <c r="BF5" s="249"/>
      <c r="BG5" s="249"/>
      <c r="BH5" s="249"/>
      <c r="BI5" s="249"/>
      <c r="BJ5" s="249"/>
      <c r="BK5" s="249"/>
      <c r="BL5" s="249"/>
      <c r="BM5" s="249"/>
      <c r="BN5" s="249"/>
      <c r="BO5" s="249"/>
      <c r="BP5" s="249"/>
      <c r="BQ5" s="249"/>
      <c r="BR5" s="249"/>
      <c r="BS5" s="249"/>
      <c r="BT5" s="249"/>
      <c r="BU5" s="249"/>
      <c r="BV5" s="249"/>
      <c r="BW5" s="249"/>
      <c r="BX5" s="249"/>
      <c r="BY5" s="249"/>
      <c r="BZ5" s="249"/>
      <c r="CA5" s="249"/>
      <c r="CB5" s="249"/>
      <c r="CC5" s="249"/>
      <c r="CD5" s="249"/>
      <c r="CE5" s="249"/>
      <c r="CF5" s="249"/>
      <c r="CG5" s="249"/>
      <c r="CH5" s="249"/>
      <c r="CI5" s="249"/>
      <c r="CJ5" s="249"/>
      <c r="CK5" s="249"/>
      <c r="CL5" s="249"/>
      <c r="CM5" s="249"/>
      <c r="CN5" s="249"/>
      <c r="CO5" s="249"/>
      <c r="CP5" s="249"/>
      <c r="CQ5" s="249"/>
      <c r="CR5" s="249"/>
      <c r="CS5" s="249"/>
      <c r="CT5" s="249"/>
      <c r="CU5" s="249"/>
      <c r="CV5" s="249"/>
      <c r="CW5" s="249"/>
      <c r="CX5" s="249"/>
      <c r="CY5" s="249"/>
      <c r="CZ5" s="249"/>
      <c r="DA5" s="249"/>
      <c r="DB5" s="249"/>
      <c r="DC5" s="249"/>
      <c r="DD5" s="249"/>
      <c r="DE5" s="249"/>
      <c r="DF5" s="249"/>
      <c r="DG5" s="249"/>
      <c r="DH5" s="249"/>
      <c r="DI5" s="249"/>
      <c r="DJ5" s="249"/>
      <c r="DK5" s="249"/>
      <c r="DL5" s="249"/>
      <c r="DM5" s="249"/>
      <c r="DN5" s="249"/>
      <c r="DO5" s="249"/>
      <c r="DP5" s="249"/>
      <c r="DQ5" s="249"/>
      <c r="DR5" s="249"/>
      <c r="DS5" s="249"/>
      <c r="DT5" s="249"/>
      <c r="DU5" s="249"/>
      <c r="DV5" s="249"/>
      <c r="DW5" s="249"/>
      <c r="DX5" s="249"/>
      <c r="DY5" s="249"/>
      <c r="DZ5" s="249"/>
      <c r="EA5" s="249"/>
      <c r="EB5" s="249"/>
      <c r="EC5" s="249"/>
      <c r="ED5" s="249"/>
      <c r="EE5" s="249"/>
      <c r="EF5" s="249"/>
      <c r="EG5" s="249"/>
      <c r="EH5" s="249"/>
      <c r="EI5" s="249"/>
      <c r="EJ5" s="249"/>
      <c r="EK5" s="249"/>
      <c r="EL5" s="249"/>
      <c r="EM5" s="249"/>
      <c r="EN5" s="249"/>
      <c r="EO5" s="249"/>
      <c r="EP5" s="249"/>
      <c r="EQ5" s="249"/>
      <c r="ER5" s="249"/>
      <c r="ES5" s="249"/>
      <c r="ET5" s="249"/>
      <c r="EU5" s="249"/>
      <c r="EV5" s="249"/>
      <c r="EW5" s="249"/>
      <c r="EX5" s="249"/>
      <c r="EY5" s="249"/>
      <c r="EZ5" s="249"/>
      <c r="FA5" s="249"/>
      <c r="FB5" s="249"/>
      <c r="FC5" s="249"/>
      <c r="FD5" s="249"/>
      <c r="FE5" s="249"/>
      <c r="FF5" s="249"/>
      <c r="FG5" s="249"/>
      <c r="FH5" s="249"/>
      <c r="FI5" s="249"/>
      <c r="FJ5" s="249"/>
      <c r="FK5" s="249"/>
      <c r="FL5" s="249"/>
      <c r="FM5" s="249"/>
      <c r="FN5" s="249"/>
      <c r="FO5" s="249"/>
      <c r="FP5" s="249"/>
      <c r="FQ5" s="249"/>
      <c r="FR5" s="249"/>
      <c r="FS5" s="249"/>
      <c r="FT5" s="249"/>
      <c r="FU5" s="249"/>
      <c r="FV5" s="249"/>
      <c r="FW5" s="249"/>
      <c r="FX5" s="249"/>
      <c r="FY5" s="249"/>
      <c r="FZ5" s="249"/>
      <c r="GA5" s="249"/>
      <c r="GB5" s="249"/>
      <c r="GC5" s="249"/>
      <c r="GD5" s="249"/>
      <c r="GE5" s="249"/>
      <c r="GF5" s="249"/>
      <c r="GG5" s="249"/>
      <c r="GH5" s="249"/>
      <c r="GI5" s="249"/>
      <c r="GJ5" s="249"/>
      <c r="GK5" s="249"/>
      <c r="GL5" s="249"/>
      <c r="GM5" s="249"/>
      <c r="GN5" s="249"/>
      <c r="GO5" s="249"/>
      <c r="GP5" s="249"/>
      <c r="GQ5" s="249"/>
      <c r="GR5" s="249"/>
      <c r="GS5" s="249"/>
      <c r="GT5" s="249"/>
      <c r="GU5" s="249"/>
      <c r="GV5" s="249"/>
      <c r="GW5" s="249"/>
      <c r="GX5" s="249"/>
      <c r="GY5" s="249"/>
      <c r="GZ5" s="249"/>
      <c r="HA5" s="249"/>
      <c r="HB5" s="249"/>
      <c r="HC5" s="249"/>
      <c r="HD5" s="249"/>
      <c r="HE5" s="249"/>
      <c r="HF5" s="249"/>
      <c r="HG5" s="249"/>
      <c r="HH5" s="249"/>
      <c r="HI5" s="249"/>
      <c r="HJ5" s="249"/>
      <c r="HK5" s="249"/>
      <c r="HL5" s="249"/>
      <c r="HM5" s="249"/>
      <c r="HN5" s="249"/>
      <c r="HO5" s="249"/>
      <c r="HP5" s="249"/>
      <c r="HQ5" s="249"/>
      <c r="HR5" s="249"/>
      <c r="HS5" s="249"/>
      <c r="HT5" s="249"/>
      <c r="HU5" s="249"/>
      <c r="HV5" s="249"/>
      <c r="HW5" s="249"/>
      <c r="HX5" s="249"/>
      <c r="HY5" s="249"/>
      <c r="HZ5" s="249"/>
      <c r="IA5" s="249"/>
      <c r="IB5" s="249"/>
      <c r="IC5" s="249"/>
      <c r="ID5" s="249"/>
      <c r="IE5" s="249"/>
      <c r="IF5" s="249"/>
      <c r="IG5" s="249"/>
      <c r="IH5" s="249"/>
      <c r="II5" s="249"/>
      <c r="IJ5" s="249"/>
      <c r="IK5" s="249"/>
      <c r="IL5" s="249"/>
      <c r="IM5" s="249"/>
      <c r="IN5" s="249"/>
      <c r="IO5" s="249"/>
      <c r="IP5" s="249"/>
      <c r="IQ5" s="249"/>
      <c r="IR5" s="249"/>
      <c r="IS5" s="249"/>
      <c r="IT5" s="249"/>
      <c r="IU5" s="249"/>
      <c r="IV5" s="249"/>
      <c r="IW5" s="249"/>
      <c r="IX5" s="249"/>
      <c r="IY5" s="249"/>
      <c r="IZ5" s="249"/>
      <c r="JA5" s="249"/>
      <c r="JB5" s="249"/>
      <c r="JC5" s="249"/>
      <c r="JD5" s="249"/>
      <c r="JE5" s="249"/>
      <c r="JF5" s="249"/>
      <c r="JG5" s="249"/>
      <c r="JH5" s="249"/>
      <c r="JI5" s="249"/>
      <c r="JJ5" s="249"/>
      <c r="JK5" s="249"/>
      <c r="JL5" s="249"/>
      <c r="JM5" s="249"/>
      <c r="JN5" s="249"/>
      <c r="JO5" s="249"/>
      <c r="JP5" s="249"/>
      <c r="JQ5" s="249"/>
      <c r="JR5" s="249"/>
      <c r="JS5" s="249"/>
      <c r="JT5" s="249"/>
      <c r="JU5" s="249"/>
      <c r="JV5" s="249"/>
      <c r="JW5" s="249"/>
      <c r="JX5" s="249"/>
      <c r="JY5" s="249"/>
      <c r="JZ5" s="249"/>
      <c r="KA5" s="249"/>
      <c r="KB5" s="249"/>
      <c r="KC5" s="249"/>
      <c r="KD5" s="249"/>
      <c r="KE5" s="249"/>
      <c r="KF5" s="249"/>
      <c r="KG5" s="249"/>
      <c r="KH5" s="249"/>
      <c r="KI5" s="249"/>
      <c r="KJ5" s="249"/>
      <c r="KK5" s="249"/>
      <c r="KL5" s="249"/>
      <c r="KM5" s="249"/>
      <c r="KN5" s="249"/>
      <c r="KO5" s="249"/>
      <c r="KP5" s="249"/>
      <c r="KQ5" s="249"/>
      <c r="KR5" s="249"/>
      <c r="KS5" s="249"/>
      <c r="KT5" s="249"/>
      <c r="KU5" s="249"/>
      <c r="KV5" s="249"/>
      <c r="KW5" s="249"/>
      <c r="KX5" s="249"/>
      <c r="KY5" s="249"/>
      <c r="KZ5" s="249"/>
      <c r="LA5" s="249"/>
      <c r="LB5" s="249"/>
      <c r="LC5" s="249"/>
      <c r="LD5" s="249"/>
      <c r="LE5" s="249"/>
      <c r="LF5" s="249"/>
      <c r="LG5" s="249"/>
      <c r="LH5" s="249"/>
      <c r="LI5" s="249"/>
      <c r="LJ5" s="249"/>
      <c r="LK5" s="249"/>
      <c r="LL5" s="249"/>
      <c r="LM5" s="249"/>
      <c r="LN5" s="249"/>
      <c r="LO5" s="249"/>
      <c r="LP5" s="249"/>
      <c r="LQ5" s="249"/>
      <c r="LR5" s="249"/>
      <c r="LS5" s="249"/>
      <c r="LT5" s="249"/>
      <c r="LU5" s="249"/>
      <c r="LV5" s="249"/>
      <c r="LW5" s="249"/>
      <c r="LX5" s="249"/>
      <c r="LY5" s="249"/>
      <c r="LZ5" s="249"/>
      <c r="MA5" s="249"/>
      <c r="MB5" s="249"/>
      <c r="MC5" s="249"/>
      <c r="MD5" s="249"/>
      <c r="ME5" s="249"/>
      <c r="MF5" s="249"/>
      <c r="MG5" s="249"/>
      <c r="MH5" s="249"/>
      <c r="MI5" s="249"/>
      <c r="MJ5" s="249"/>
      <c r="MK5" s="249"/>
      <c r="ML5" s="249"/>
      <c r="MM5" s="249"/>
      <c r="MN5" s="249"/>
      <c r="MO5" s="249"/>
      <c r="MP5" s="249"/>
      <c r="MQ5" s="249"/>
      <c r="MR5" s="249"/>
      <c r="MS5" s="249"/>
      <c r="MT5" s="249"/>
      <c r="MU5" s="249"/>
      <c r="MV5" s="249"/>
      <c r="MW5" s="249"/>
      <c r="MX5" s="249"/>
      <c r="MY5" s="249"/>
      <c r="MZ5" s="249"/>
      <c r="NA5" s="249"/>
      <c r="NB5" s="249"/>
      <c r="NC5" s="249"/>
      <c r="ND5" s="249"/>
      <c r="NE5" s="249"/>
      <c r="NF5" s="249"/>
      <c r="NG5" s="249"/>
      <c r="NH5" s="249"/>
      <c r="NI5" s="249"/>
      <c r="NJ5" s="249"/>
      <c r="NK5" s="249"/>
      <c r="NL5" s="249"/>
      <c r="NM5" s="249"/>
      <c r="NN5" s="249"/>
      <c r="NO5" s="249"/>
      <c r="NP5" s="249"/>
      <c r="NQ5" s="249"/>
      <c r="NR5" s="249"/>
      <c r="NS5" s="249"/>
      <c r="NT5" s="249"/>
      <c r="NU5" s="249"/>
      <c r="NV5" s="249"/>
      <c r="NW5" s="249"/>
      <c r="NX5" s="249"/>
      <c r="NY5" s="249"/>
      <c r="NZ5" s="249"/>
      <c r="OA5" s="249"/>
      <c r="OB5" s="249"/>
      <c r="OC5" s="249"/>
      <c r="OD5" s="249"/>
      <c r="OE5" s="249"/>
      <c r="OF5" s="249"/>
      <c r="OG5" s="249"/>
      <c r="OH5" s="249"/>
      <c r="OI5" s="249"/>
      <c r="OJ5" s="249"/>
      <c r="OK5" s="249"/>
      <c r="OL5" s="249"/>
      <c r="OM5" s="249"/>
      <c r="ON5" s="249"/>
      <c r="OO5" s="249"/>
      <c r="OP5" s="249"/>
      <c r="OQ5" s="249"/>
      <c r="OR5" s="249"/>
      <c r="OS5" s="249"/>
      <c r="OT5" s="249"/>
      <c r="OU5" s="249"/>
      <c r="OV5" s="249"/>
      <c r="OW5" s="249"/>
      <c r="OX5" s="249"/>
      <c r="OY5" s="249"/>
      <c r="OZ5" s="249"/>
      <c r="PA5" s="249"/>
      <c r="PB5" s="249"/>
      <c r="PC5" s="249"/>
      <c r="PD5" s="249"/>
      <c r="PE5" s="249"/>
      <c r="PF5" s="249"/>
      <c r="PG5" s="249"/>
      <c r="PH5" s="249"/>
      <c r="PI5" s="249"/>
      <c r="PJ5" s="249"/>
      <c r="PK5" s="249"/>
      <c r="PL5" s="249"/>
      <c r="PM5" s="249"/>
      <c r="PN5" s="249"/>
      <c r="PO5" s="249"/>
      <c r="PP5" s="249"/>
      <c r="PQ5" s="249"/>
      <c r="PR5" s="249"/>
      <c r="PS5" s="249"/>
      <c r="PT5" s="249"/>
      <c r="PU5" s="249"/>
      <c r="PV5" s="249"/>
      <c r="PW5" s="249"/>
      <c r="PX5" s="249"/>
      <c r="PY5" s="249"/>
      <c r="PZ5" s="249"/>
      <c r="QA5" s="249"/>
      <c r="QB5" s="249"/>
      <c r="QC5" s="249"/>
      <c r="QD5" s="249"/>
      <c r="QE5" s="249"/>
      <c r="QF5" s="249"/>
      <c r="QG5" s="249"/>
      <c r="QH5" s="249"/>
      <c r="QI5" s="249"/>
      <c r="QJ5" s="249"/>
      <c r="QK5" s="249"/>
      <c r="QL5" s="249"/>
      <c r="QM5" s="249"/>
      <c r="QN5" s="249"/>
      <c r="QO5" s="249"/>
      <c r="QP5" s="249"/>
      <c r="QQ5" s="249"/>
      <c r="QR5" s="249"/>
      <c r="QS5" s="249"/>
      <c r="QT5" s="249"/>
      <c r="QU5" s="249"/>
      <c r="QV5" s="249"/>
      <c r="QW5" s="249"/>
      <c r="QX5" s="249"/>
      <c r="QY5" s="249"/>
      <c r="QZ5" s="249"/>
      <c r="RA5" s="249"/>
      <c r="RB5" s="249"/>
      <c r="RC5" s="249"/>
      <c r="RD5" s="249"/>
      <c r="RE5" s="249"/>
      <c r="RF5" s="249"/>
      <c r="RG5" s="249"/>
      <c r="RH5" s="249"/>
      <c r="RI5" s="249"/>
      <c r="RJ5" s="249"/>
      <c r="RK5" s="249"/>
      <c r="RL5" s="249"/>
      <c r="RM5" s="249"/>
      <c r="RN5" s="249"/>
      <c r="RO5" s="249"/>
      <c r="RP5" s="249"/>
      <c r="RQ5" s="249"/>
      <c r="RR5" s="249"/>
      <c r="RS5" s="249"/>
      <c r="RT5" s="249"/>
      <c r="RU5" s="249"/>
      <c r="RV5" s="249"/>
      <c r="RW5" s="249"/>
      <c r="RX5" s="249"/>
      <c r="RY5" s="249"/>
      <c r="RZ5" s="249"/>
      <c r="SA5" s="249"/>
      <c r="SB5" s="249"/>
      <c r="SC5" s="249"/>
      <c r="SD5" s="249"/>
      <c r="SE5" s="249"/>
      <c r="SF5" s="249"/>
      <c r="SG5" s="249"/>
      <c r="SH5" s="249"/>
      <c r="SI5" s="249"/>
      <c r="SJ5" s="249"/>
      <c r="SK5" s="249"/>
      <c r="SL5" s="249"/>
      <c r="SM5" s="249"/>
      <c r="SN5" s="249"/>
      <c r="SO5" s="249"/>
      <c r="SP5" s="249"/>
      <c r="SQ5" s="249"/>
      <c r="SR5" s="249"/>
      <c r="SS5" s="249"/>
      <c r="ST5" s="249"/>
      <c r="SU5" s="249"/>
      <c r="SV5" s="249"/>
      <c r="SW5" s="249"/>
      <c r="SX5" s="249"/>
      <c r="SY5" s="249"/>
      <c r="SZ5" s="249"/>
      <c r="TA5" s="249"/>
      <c r="TB5" s="249"/>
      <c r="TC5" s="249"/>
      <c r="TD5" s="249"/>
      <c r="TE5" s="249"/>
      <c r="TF5" s="249"/>
      <c r="TG5" s="249"/>
      <c r="TH5" s="249"/>
      <c r="TI5" s="249"/>
      <c r="TJ5" s="249"/>
      <c r="TK5" s="249"/>
      <c r="TL5" s="249"/>
      <c r="TM5" s="249"/>
      <c r="TN5" s="249"/>
      <c r="TO5" s="249"/>
      <c r="TP5" s="249"/>
      <c r="TQ5" s="249"/>
      <c r="TR5" s="249"/>
      <c r="TS5" s="249"/>
      <c r="TT5" s="249"/>
      <c r="TU5" s="249"/>
      <c r="TV5" s="249"/>
      <c r="TW5" s="249"/>
      <c r="TX5" s="249"/>
      <c r="TY5" s="249"/>
      <c r="TZ5" s="249"/>
      <c r="UA5" s="249"/>
      <c r="UB5" s="249"/>
      <c r="UC5" s="249"/>
      <c r="UD5" s="249"/>
      <c r="UE5" s="249"/>
      <c r="UF5" s="249"/>
      <c r="UG5" s="249"/>
      <c r="UH5" s="249"/>
      <c r="UI5" s="249"/>
      <c r="UJ5" s="249"/>
      <c r="UK5" s="249"/>
      <c r="UL5" s="249"/>
      <c r="UM5" s="249"/>
      <c r="UN5" s="249"/>
      <c r="UO5" s="249"/>
      <c r="UP5" s="249"/>
      <c r="UQ5" s="249"/>
      <c r="UR5" s="249"/>
      <c r="US5" s="249"/>
      <c r="UT5" s="249"/>
      <c r="UU5" s="249"/>
      <c r="UV5" s="249"/>
      <c r="UW5" s="249"/>
      <c r="UX5" s="249"/>
      <c r="UY5" s="249"/>
      <c r="UZ5" s="249"/>
      <c r="VA5" s="249"/>
      <c r="VB5" s="249"/>
      <c r="VC5" s="249"/>
      <c r="VD5" s="249"/>
      <c r="VE5" s="249"/>
      <c r="VF5" s="249"/>
      <c r="VG5" s="249"/>
      <c r="VH5" s="249"/>
      <c r="VI5" s="249"/>
      <c r="VJ5" s="249"/>
      <c r="VK5" s="249"/>
      <c r="VL5" s="249"/>
      <c r="VM5" s="249"/>
      <c r="VN5" s="249"/>
      <c r="VO5" s="249"/>
      <c r="VP5" s="249"/>
    </row>
    <row r="6" spans="1:588" s="272" customFormat="1" ht="28.2" thickBot="1">
      <c r="B6" s="413" t="s">
        <v>1032</v>
      </c>
      <c r="C6" s="613" t="str">
        <f>CONCATENATE("vCores ",K6," | RAM  ",L6," GB |Performance Disk (1000 IOPs/TB) ",M6," GB | OS ",P6," | DB ",Q6,"")</f>
        <v>vCores 8 | RAM  16 GB |Performance Disk (1000 IOPs/TB) 500 GB | OS Ubuntu | DB NA</v>
      </c>
      <c r="D6" s="273">
        <v>10</v>
      </c>
      <c r="E6" s="274">
        <f t="shared" ref="E6" si="0">((K6*$K$3)+(L6*$L$3)+((O6/1000)*$O$3)*M6+M6*$M$3)</f>
        <v>5640.5</v>
      </c>
      <c r="F6" s="467">
        <v>10</v>
      </c>
      <c r="G6" s="203">
        <f>(E6-(E6*F6%))</f>
        <v>5076.45</v>
      </c>
      <c r="H6" s="203">
        <f t="shared" ref="H6" si="1">D6*G6</f>
        <v>50764.5</v>
      </c>
      <c r="I6" s="275">
        <v>0</v>
      </c>
      <c r="K6" s="276">
        <v>8</v>
      </c>
      <c r="L6" s="276">
        <v>16</v>
      </c>
      <c r="M6" s="276">
        <v>500</v>
      </c>
      <c r="N6" s="277">
        <v>1</v>
      </c>
      <c r="O6" s="277">
        <f t="shared" ref="O6" si="2">M6*N6</f>
        <v>500</v>
      </c>
      <c r="P6" s="277" t="s">
        <v>957</v>
      </c>
      <c r="Q6" s="278" t="s">
        <v>172</v>
      </c>
      <c r="R6" s="279"/>
      <c r="S6" s="385">
        <f>T6*D6</f>
        <v>25566.956414892076</v>
      </c>
      <c r="T6" s="384">
        <f>SUMPRODUCT(K6:M6,K1:M1)+SUMPRODUCT(O6,O1)</f>
        <v>2556.6956414892074</v>
      </c>
    </row>
    <row r="7" spans="1:588" s="272" customFormat="1" thickBot="1">
      <c r="B7" s="264" t="s">
        <v>958</v>
      </c>
      <c r="C7" s="265" t="s">
        <v>959</v>
      </c>
      <c r="D7" s="266" t="s">
        <v>866</v>
      </c>
      <c r="E7" s="266" t="s">
        <v>867</v>
      </c>
      <c r="F7" s="266" t="s">
        <v>868</v>
      </c>
      <c r="G7" s="266" t="s">
        <v>869</v>
      </c>
      <c r="H7" s="266" t="s">
        <v>626</v>
      </c>
      <c r="I7" s="267" t="s">
        <v>624</v>
      </c>
      <c r="R7" s="280"/>
      <c r="LH7" s="281"/>
      <c r="LI7" s="281"/>
      <c r="LJ7" s="281"/>
      <c r="LK7" s="281"/>
      <c r="LL7" s="281"/>
      <c r="LM7" s="281"/>
      <c r="LN7" s="281"/>
      <c r="LO7" s="281"/>
      <c r="LP7" s="281"/>
      <c r="LQ7" s="281"/>
      <c r="LR7" s="281"/>
      <c r="LS7" s="281"/>
      <c r="LT7" s="281"/>
      <c r="LU7" s="281"/>
      <c r="LV7" s="281"/>
      <c r="LW7" s="281"/>
      <c r="LX7" s="281"/>
      <c r="LY7" s="281"/>
      <c r="LZ7" s="281"/>
      <c r="MA7" s="281"/>
      <c r="MB7" s="281"/>
      <c r="MC7" s="281"/>
      <c r="MD7" s="281"/>
      <c r="ME7" s="281"/>
      <c r="MF7" s="281"/>
      <c r="MG7" s="281"/>
      <c r="MH7" s="281"/>
      <c r="MI7" s="281"/>
      <c r="MJ7" s="281"/>
      <c r="MK7" s="281"/>
      <c r="ML7" s="281"/>
      <c r="MM7" s="281"/>
      <c r="MN7" s="281"/>
      <c r="MO7" s="281"/>
      <c r="MP7" s="281"/>
      <c r="MQ7" s="281"/>
      <c r="MR7" s="281"/>
      <c r="MS7" s="281"/>
      <c r="MT7" s="281"/>
      <c r="MU7" s="281"/>
      <c r="MV7" s="281"/>
      <c r="MW7" s="281"/>
      <c r="MX7" s="281"/>
      <c r="MY7" s="281"/>
      <c r="MZ7" s="281"/>
      <c r="NA7" s="281"/>
      <c r="NB7" s="281"/>
      <c r="NC7" s="281"/>
      <c r="ND7" s="281"/>
      <c r="NE7" s="281"/>
      <c r="NF7" s="281"/>
      <c r="NG7" s="281"/>
      <c r="NH7" s="281"/>
      <c r="NI7" s="281"/>
      <c r="NJ7" s="281"/>
      <c r="NK7" s="281"/>
      <c r="NL7" s="281"/>
      <c r="NM7" s="281"/>
      <c r="NN7" s="281"/>
      <c r="NO7" s="281"/>
      <c r="NP7" s="281"/>
      <c r="NQ7" s="281"/>
      <c r="NR7" s="281"/>
      <c r="NS7" s="281"/>
      <c r="NT7" s="281"/>
      <c r="NU7" s="281"/>
      <c r="NV7" s="281"/>
      <c r="NW7" s="281"/>
      <c r="NX7" s="281"/>
      <c r="NY7" s="281"/>
      <c r="NZ7" s="281"/>
      <c r="OA7" s="281"/>
      <c r="OB7" s="281"/>
      <c r="OC7" s="281"/>
      <c r="OD7" s="281"/>
      <c r="OE7" s="281"/>
      <c r="OF7" s="281"/>
      <c r="OG7" s="281"/>
      <c r="OH7" s="281"/>
      <c r="OI7" s="281"/>
      <c r="OJ7" s="281"/>
      <c r="OK7" s="281"/>
      <c r="OL7" s="281"/>
      <c r="OM7" s="281"/>
      <c r="ON7" s="281"/>
      <c r="OO7" s="281"/>
      <c r="OP7" s="281"/>
      <c r="OQ7" s="281"/>
      <c r="OR7" s="281"/>
      <c r="OS7" s="281"/>
      <c r="OT7" s="281"/>
      <c r="OU7" s="281"/>
      <c r="OV7" s="281"/>
      <c r="OW7" s="281"/>
      <c r="OX7" s="281"/>
      <c r="OY7" s="281"/>
      <c r="OZ7" s="281"/>
      <c r="PA7" s="281"/>
      <c r="PB7" s="281"/>
      <c r="PC7" s="281"/>
      <c r="PD7" s="281"/>
      <c r="PE7" s="281"/>
      <c r="PF7" s="281"/>
      <c r="PG7" s="281"/>
      <c r="PH7" s="281"/>
      <c r="PI7" s="281"/>
      <c r="PJ7" s="281"/>
      <c r="PK7" s="281"/>
      <c r="PL7" s="281"/>
      <c r="PM7" s="281"/>
      <c r="PN7" s="281"/>
      <c r="PO7" s="281"/>
      <c r="PP7" s="281"/>
      <c r="PQ7" s="281"/>
      <c r="PR7" s="281"/>
      <c r="PS7" s="281"/>
      <c r="PT7" s="281"/>
      <c r="PU7" s="281"/>
      <c r="PV7" s="281"/>
      <c r="PW7" s="281"/>
      <c r="PX7" s="281"/>
      <c r="PY7" s="281"/>
      <c r="PZ7" s="281"/>
      <c r="QA7" s="281"/>
      <c r="QB7" s="281"/>
      <c r="QC7" s="281"/>
      <c r="QD7" s="281"/>
      <c r="QE7" s="281"/>
      <c r="QF7" s="281"/>
      <c r="QG7" s="281"/>
      <c r="QH7" s="281"/>
      <c r="QI7" s="281"/>
      <c r="QJ7" s="281"/>
      <c r="QK7" s="281"/>
      <c r="QL7" s="281"/>
      <c r="QM7" s="281"/>
      <c r="QN7" s="281"/>
      <c r="QO7" s="281"/>
      <c r="QP7" s="281"/>
      <c r="QQ7" s="281"/>
      <c r="QR7" s="281"/>
      <c r="QS7" s="281"/>
      <c r="QT7" s="281"/>
      <c r="QU7" s="281"/>
      <c r="QV7" s="281"/>
      <c r="QW7" s="281"/>
      <c r="QX7" s="281"/>
      <c r="QY7" s="281"/>
      <c r="QZ7" s="281"/>
      <c r="RA7" s="281"/>
      <c r="RB7" s="281"/>
      <c r="RC7" s="281"/>
      <c r="RD7" s="281"/>
      <c r="RE7" s="281"/>
      <c r="RF7" s="281"/>
      <c r="RG7" s="281"/>
      <c r="RH7" s="281"/>
      <c r="RI7" s="281"/>
      <c r="RJ7" s="281"/>
      <c r="RK7" s="281"/>
      <c r="RL7" s="281"/>
      <c r="RM7" s="281"/>
      <c r="RN7" s="281"/>
      <c r="RO7" s="281"/>
      <c r="RP7" s="281"/>
      <c r="RQ7" s="281"/>
      <c r="RR7" s="281"/>
      <c r="RS7" s="281"/>
      <c r="RT7" s="281"/>
      <c r="RU7" s="281"/>
      <c r="RV7" s="281"/>
      <c r="RW7" s="281"/>
      <c r="RX7" s="281"/>
      <c r="RY7" s="281"/>
      <c r="RZ7" s="281"/>
      <c r="SA7" s="281"/>
      <c r="SB7" s="281"/>
      <c r="SC7" s="281"/>
      <c r="SD7" s="281"/>
      <c r="SE7" s="281"/>
      <c r="SF7" s="281"/>
      <c r="SG7" s="281"/>
      <c r="SH7" s="281"/>
      <c r="SI7" s="281"/>
      <c r="SJ7" s="281"/>
      <c r="SK7" s="281"/>
      <c r="SL7" s="281"/>
      <c r="SM7" s="281"/>
      <c r="SN7" s="281"/>
      <c r="SO7" s="281"/>
      <c r="SP7" s="281"/>
      <c r="SQ7" s="281"/>
      <c r="SR7" s="281"/>
      <c r="SS7" s="281"/>
      <c r="ST7" s="281"/>
      <c r="SU7" s="281"/>
      <c r="SV7" s="281"/>
      <c r="SW7" s="281"/>
      <c r="SX7" s="281"/>
      <c r="SY7" s="281"/>
      <c r="SZ7" s="281"/>
      <c r="TA7" s="281"/>
      <c r="TB7" s="281"/>
      <c r="TC7" s="281"/>
      <c r="TD7" s="281"/>
      <c r="TE7" s="281"/>
      <c r="TF7" s="281"/>
      <c r="TG7" s="281"/>
      <c r="TH7" s="281"/>
      <c r="TI7" s="281"/>
      <c r="TJ7" s="281"/>
      <c r="TK7" s="281"/>
      <c r="TL7" s="281"/>
      <c r="TM7" s="281"/>
      <c r="TN7" s="281"/>
      <c r="TO7" s="281"/>
      <c r="TP7" s="281"/>
      <c r="TQ7" s="281"/>
      <c r="TR7" s="281"/>
      <c r="TS7" s="281"/>
      <c r="TT7" s="281"/>
      <c r="TU7" s="281"/>
      <c r="TV7" s="281"/>
      <c r="TW7" s="281"/>
      <c r="TX7" s="281"/>
      <c r="TY7" s="281"/>
      <c r="TZ7" s="281"/>
      <c r="UA7" s="281"/>
      <c r="UB7" s="281"/>
      <c r="UC7" s="281"/>
      <c r="UD7" s="281"/>
      <c r="UE7" s="281"/>
      <c r="UF7" s="281"/>
      <c r="UG7" s="281"/>
      <c r="UH7" s="281"/>
      <c r="UI7" s="281"/>
      <c r="UJ7" s="281"/>
      <c r="UK7" s="281"/>
      <c r="UL7" s="281"/>
      <c r="UM7" s="281"/>
      <c r="UN7" s="281"/>
      <c r="UO7" s="281"/>
      <c r="UP7" s="281"/>
      <c r="UQ7" s="281"/>
      <c r="UR7" s="281"/>
      <c r="US7" s="281"/>
      <c r="UT7" s="281"/>
      <c r="UU7" s="281"/>
      <c r="UV7" s="281"/>
      <c r="UW7" s="281"/>
      <c r="UX7" s="281"/>
      <c r="UY7" s="281"/>
      <c r="UZ7" s="281"/>
      <c r="VA7" s="281"/>
      <c r="VB7" s="281"/>
      <c r="VC7" s="281"/>
      <c r="VD7" s="281"/>
      <c r="VE7" s="281"/>
      <c r="VF7" s="281"/>
      <c r="VG7" s="281"/>
      <c r="VH7" s="281"/>
      <c r="VI7" s="281"/>
      <c r="VJ7" s="281"/>
      <c r="VK7" s="281"/>
      <c r="VL7" s="281"/>
      <c r="VM7" s="281"/>
      <c r="VN7" s="281"/>
      <c r="VO7" s="281"/>
      <c r="VP7" s="281"/>
    </row>
    <row r="8" spans="1:588" s="272" customFormat="1" ht="13.8">
      <c r="B8" s="104" t="s">
        <v>567</v>
      </c>
      <c r="C8" s="282" t="s">
        <v>960</v>
      </c>
      <c r="D8" s="283">
        <v>10</v>
      </c>
      <c r="E8" s="206">
        <v>815</v>
      </c>
      <c r="F8" s="456">
        <v>15</v>
      </c>
      <c r="G8" s="207">
        <f t="shared" ref="G8:G9" si="3">(E8-(E8*F8%))</f>
        <v>692.75</v>
      </c>
      <c r="H8" s="207">
        <f>D8*G8</f>
        <v>6927.5</v>
      </c>
      <c r="I8" s="208">
        <v>0</v>
      </c>
      <c r="R8" s="280"/>
      <c r="S8" s="386">
        <f>T8*D8</f>
        <v>2700</v>
      </c>
      <c r="T8" s="272">
        <v>270</v>
      </c>
    </row>
    <row r="9" spans="1:588" s="272" customFormat="1" thickBot="1">
      <c r="B9" s="105" t="s">
        <v>567</v>
      </c>
      <c r="C9" s="284" t="s">
        <v>961</v>
      </c>
      <c r="D9" s="285">
        <v>10</v>
      </c>
      <c r="E9" s="286">
        <v>1566</v>
      </c>
      <c r="F9" s="458">
        <v>15</v>
      </c>
      <c r="G9" s="287">
        <f t="shared" si="3"/>
        <v>1331.1</v>
      </c>
      <c r="H9" s="207">
        <f>D9*G9</f>
        <v>13311</v>
      </c>
      <c r="I9" s="208">
        <v>0</v>
      </c>
      <c r="R9" s="280"/>
      <c r="S9" s="386">
        <f t="shared" ref="S9:S12" si="4">T9*D9</f>
        <v>5192.3076923076933</v>
      </c>
      <c r="T9" s="272">
        <v>519.23076923076928</v>
      </c>
    </row>
    <row r="10" spans="1:588" s="272" customFormat="1" thickBot="1">
      <c r="B10" s="264" t="s">
        <v>962</v>
      </c>
      <c r="C10" s="265" t="s">
        <v>865</v>
      </c>
      <c r="D10" s="266" t="s">
        <v>866</v>
      </c>
      <c r="E10" s="266" t="s">
        <v>867</v>
      </c>
      <c r="F10" s="266" t="s">
        <v>868</v>
      </c>
      <c r="G10" s="266" t="s">
        <v>869</v>
      </c>
      <c r="H10" s="266" t="s">
        <v>626</v>
      </c>
      <c r="I10" s="267" t="s">
        <v>624</v>
      </c>
      <c r="R10" s="280"/>
    </row>
    <row r="11" spans="1:588" s="272" customFormat="1" ht="13.8">
      <c r="B11" s="103" t="s">
        <v>484</v>
      </c>
      <c r="C11" s="204" t="s">
        <v>485</v>
      </c>
      <c r="D11" s="217">
        <v>50</v>
      </c>
      <c r="E11" s="206" t="s">
        <v>166</v>
      </c>
      <c r="F11" s="455" t="s">
        <v>166</v>
      </c>
      <c r="G11" s="206" t="s">
        <v>166</v>
      </c>
      <c r="H11" s="206" t="s">
        <v>166</v>
      </c>
      <c r="I11" s="208"/>
      <c r="R11" s="280"/>
      <c r="T11" s="272">
        <v>66</v>
      </c>
      <c r="U11" s="386">
        <f>T11*D11</f>
        <v>3300</v>
      </c>
    </row>
    <row r="12" spans="1:588" s="272" customFormat="1" ht="41.4">
      <c r="B12" s="106" t="s">
        <v>567</v>
      </c>
      <c r="C12" s="107" t="s">
        <v>569</v>
      </c>
      <c r="D12" s="213">
        <v>0</v>
      </c>
      <c r="E12" s="206">
        <v>10555</v>
      </c>
      <c r="F12" s="457"/>
      <c r="G12" s="203">
        <f t="shared" ref="G12:G13" si="5">(E12-(E12*F12%))</f>
        <v>10555</v>
      </c>
      <c r="H12" s="214">
        <f t="shared" ref="H12:H13" si="6">D12*G12</f>
        <v>0</v>
      </c>
      <c r="I12" s="215">
        <v>0</v>
      </c>
      <c r="R12" s="280"/>
      <c r="S12" s="386">
        <f t="shared" si="4"/>
        <v>0</v>
      </c>
      <c r="T12" s="272">
        <v>3500</v>
      </c>
    </row>
    <row r="13" spans="1:588" s="272" customFormat="1" ht="28.2" thickBot="1">
      <c r="B13" s="409" t="s">
        <v>567</v>
      </c>
      <c r="C13" s="410" t="s">
        <v>1120</v>
      </c>
      <c r="D13" s="411">
        <v>1</v>
      </c>
      <c r="E13" s="287">
        <f>SUM(H21:H27)</f>
        <v>511979</v>
      </c>
      <c r="F13" s="458">
        <v>10</v>
      </c>
      <c r="G13" s="203">
        <f t="shared" si="5"/>
        <v>460781.1</v>
      </c>
      <c r="H13" s="214">
        <f t="shared" si="6"/>
        <v>460781.1</v>
      </c>
      <c r="I13" s="412">
        <v>0</v>
      </c>
      <c r="R13" s="280"/>
      <c r="S13" s="386">
        <f>SUM(S21:S27)</f>
        <v>163076.90045089729</v>
      </c>
    </row>
    <row r="14" spans="1:588" s="272" customFormat="1" thickBot="1">
      <c r="B14" s="288" t="s">
        <v>870</v>
      </c>
      <c r="C14" s="559" t="s">
        <v>871</v>
      </c>
      <c r="D14" s="560"/>
      <c r="E14" s="560"/>
      <c r="F14" s="560"/>
      <c r="G14" s="561"/>
      <c r="H14" s="289" t="s">
        <v>872</v>
      </c>
      <c r="I14" s="290" t="s">
        <v>624</v>
      </c>
      <c r="R14" s="280"/>
    </row>
    <row r="15" spans="1:588" s="272" customFormat="1" thickBot="1">
      <c r="B15" s="291">
        <v>1</v>
      </c>
      <c r="C15" s="537" t="s">
        <v>964</v>
      </c>
      <c r="D15" s="538"/>
      <c r="E15" s="538"/>
      <c r="F15" s="538"/>
      <c r="G15" s="539"/>
      <c r="H15" s="292">
        <f>SUM(H6:H9)</f>
        <v>71003</v>
      </c>
      <c r="I15" s="293">
        <f>SUM(I6:I8)</f>
        <v>0</v>
      </c>
      <c r="R15" s="280"/>
    </row>
    <row r="16" spans="1:588" s="272" customFormat="1" thickBot="1">
      <c r="B16" s="294">
        <v>2</v>
      </c>
      <c r="C16" s="540" t="s">
        <v>965</v>
      </c>
      <c r="D16" s="541"/>
      <c r="E16" s="541"/>
      <c r="F16" s="541"/>
      <c r="G16" s="542"/>
      <c r="H16" s="295">
        <f>SUM(H11:H13)</f>
        <v>460781.1</v>
      </c>
      <c r="I16" s="296"/>
      <c r="R16" s="280"/>
      <c r="S16" s="614">
        <f>SUM(S6:S14)</f>
        <v>196536.16455809705</v>
      </c>
      <c r="U16" s="614">
        <f>SUM(U11:U15)</f>
        <v>3300</v>
      </c>
    </row>
    <row r="17" spans="2:20" s="272" customFormat="1" thickBot="1">
      <c r="B17" s="297"/>
      <c r="C17" s="543" t="s">
        <v>873</v>
      </c>
      <c r="D17" s="544"/>
      <c r="E17" s="544"/>
      <c r="F17" s="544"/>
      <c r="G17" s="545"/>
      <c r="H17" s="298">
        <f>SUM(H15:H16)</f>
        <v>531784.1</v>
      </c>
      <c r="I17" s="299"/>
      <c r="R17" s="280"/>
      <c r="S17" s="272">
        <f>S16*36</f>
        <v>7075301.9240914937</v>
      </c>
    </row>
    <row r="19" spans="2:20">
      <c r="H19" s="465">
        <f>36*H17</f>
        <v>19144227.599999998</v>
      </c>
    </row>
    <row r="21" spans="2:20" s="272" customFormat="1" ht="13.8">
      <c r="B21" s="103" t="s">
        <v>567</v>
      </c>
      <c r="C21" s="204" t="s">
        <v>874</v>
      </c>
      <c r="D21" s="205">
        <v>50</v>
      </c>
      <c r="E21" s="206">
        <v>1500</v>
      </c>
      <c r="F21" s="456"/>
      <c r="G21" s="203">
        <f t="shared" ref="G21:G26" si="7">(E21-(E21*F21%))</f>
        <v>1500</v>
      </c>
      <c r="H21" s="207">
        <f t="shared" ref="H21:H26" si="8">D21*G21</f>
        <v>75000</v>
      </c>
      <c r="I21" s="208">
        <v>0</v>
      </c>
      <c r="R21" s="280"/>
      <c r="S21" s="386">
        <f t="shared" ref="S21:S27" si="9">T21*D21</f>
        <v>29000</v>
      </c>
      <c r="T21" s="272">
        <v>580</v>
      </c>
    </row>
    <row r="22" spans="2:20" s="272" customFormat="1" ht="13.8">
      <c r="B22" s="104" t="s">
        <v>567</v>
      </c>
      <c r="C22" s="209" t="s">
        <v>963</v>
      </c>
      <c r="D22" s="210">
        <v>7</v>
      </c>
      <c r="E22" s="206">
        <v>7500</v>
      </c>
      <c r="F22" s="456"/>
      <c r="G22" s="203">
        <f t="shared" si="7"/>
        <v>7500</v>
      </c>
      <c r="H22" s="207">
        <f t="shared" si="8"/>
        <v>52500</v>
      </c>
      <c r="I22" s="208">
        <v>0</v>
      </c>
      <c r="R22" s="280"/>
      <c r="S22" s="386">
        <f t="shared" si="9"/>
        <v>19093.685266543231</v>
      </c>
      <c r="T22" s="272">
        <f>272.766932379189*10</f>
        <v>2727.6693237918898</v>
      </c>
    </row>
    <row r="23" spans="2:20" s="272" customFormat="1" ht="13.8">
      <c r="B23" s="105" t="s">
        <v>567</v>
      </c>
      <c r="C23" s="211" t="s">
        <v>875</v>
      </c>
      <c r="D23" s="216">
        <v>450</v>
      </c>
      <c r="E23" s="206">
        <v>755</v>
      </c>
      <c r="F23" s="456">
        <v>10</v>
      </c>
      <c r="G23" s="203">
        <f t="shared" si="7"/>
        <v>679.5</v>
      </c>
      <c r="H23" s="207">
        <f t="shared" si="8"/>
        <v>305775</v>
      </c>
      <c r="I23" s="208">
        <v>0</v>
      </c>
      <c r="R23" s="280"/>
      <c r="S23" s="386">
        <f t="shared" si="9"/>
        <v>96650.204875924741</v>
      </c>
      <c r="T23" s="272">
        <v>214.77823305761052</v>
      </c>
    </row>
    <row r="24" spans="2:20" s="272" customFormat="1" ht="13.8">
      <c r="B24" s="105" t="s">
        <v>567</v>
      </c>
      <c r="C24" s="209" t="s">
        <v>876</v>
      </c>
      <c r="D24" s="205">
        <v>2</v>
      </c>
      <c r="E24" s="206">
        <v>11547</v>
      </c>
      <c r="F24" s="456"/>
      <c r="G24" s="203">
        <f t="shared" si="7"/>
        <v>11547</v>
      </c>
      <c r="H24" s="207">
        <f t="shared" si="8"/>
        <v>23094</v>
      </c>
      <c r="I24" s="208">
        <v>0</v>
      </c>
      <c r="R24" s="280"/>
      <c r="S24" s="386">
        <f t="shared" si="9"/>
        <v>6565.3516430780746</v>
      </c>
      <c r="T24" s="272">
        <v>3282.6758215390373</v>
      </c>
    </row>
    <row r="25" spans="2:20" s="272" customFormat="1" ht="13.8">
      <c r="B25" s="103" t="s">
        <v>567</v>
      </c>
      <c r="C25" s="212" t="s">
        <v>568</v>
      </c>
      <c r="D25" s="205">
        <v>2</v>
      </c>
      <c r="E25" s="206">
        <v>1500</v>
      </c>
      <c r="F25" s="456"/>
      <c r="G25" s="203">
        <f t="shared" si="7"/>
        <v>1500</v>
      </c>
      <c r="H25" s="207">
        <f t="shared" si="8"/>
        <v>3000</v>
      </c>
      <c r="I25" s="208">
        <v>0</v>
      </c>
      <c r="R25" s="280"/>
      <c r="S25" s="386">
        <f t="shared" si="9"/>
        <v>519.75700507701424</v>
      </c>
      <c r="T25" s="272">
        <v>259.87850253850712</v>
      </c>
    </row>
    <row r="26" spans="2:20" s="272" customFormat="1" ht="13.8">
      <c r="B26" s="103" t="s">
        <v>877</v>
      </c>
      <c r="C26" s="204" t="s">
        <v>1119</v>
      </c>
      <c r="D26" s="205">
        <v>50</v>
      </c>
      <c r="E26" s="206">
        <v>700</v>
      </c>
      <c r="F26" s="456">
        <v>10</v>
      </c>
      <c r="G26" s="203">
        <f t="shared" si="7"/>
        <v>630</v>
      </c>
      <c r="H26" s="207">
        <f t="shared" si="8"/>
        <v>31500</v>
      </c>
      <c r="I26" s="208">
        <v>0</v>
      </c>
      <c r="R26" s="280"/>
      <c r="S26" s="386">
        <f t="shared" si="9"/>
        <v>4247.9016602742176</v>
      </c>
      <c r="T26" s="272">
        <v>84.958033205484355</v>
      </c>
    </row>
    <row r="27" spans="2:20">
      <c r="B27" t="s">
        <v>567</v>
      </c>
      <c r="C27" t="s">
        <v>569</v>
      </c>
      <c r="D27" s="205">
        <v>2</v>
      </c>
      <c r="E27" s="206">
        <v>10555</v>
      </c>
      <c r="F27" s="206"/>
      <c r="G27" s="206">
        <v>10555</v>
      </c>
      <c r="H27" s="206">
        <f>D27*G27</f>
        <v>21110</v>
      </c>
      <c r="I27" s="206">
        <v>0</v>
      </c>
      <c r="S27" s="386">
        <f t="shared" si="9"/>
        <v>7000</v>
      </c>
      <c r="T27">
        <v>3500</v>
      </c>
    </row>
    <row r="29" spans="2:20">
      <c r="G29" s="230"/>
    </row>
  </sheetData>
  <mergeCells count="9">
    <mergeCell ref="C15:G15"/>
    <mergeCell ref="C16:G16"/>
    <mergeCell ref="C17:G17"/>
    <mergeCell ref="B2:I2"/>
    <mergeCell ref="K2:Q2"/>
    <mergeCell ref="B3:I3"/>
    <mergeCell ref="P4:P5"/>
    <mergeCell ref="Q4:Q5"/>
    <mergeCell ref="C14:G1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71296-1C3E-481C-BC44-38388D11C542}">
  <sheetPr>
    <tabColor rgb="FFFFC000"/>
  </sheetPr>
  <dimension ref="A1:CU54"/>
  <sheetViews>
    <sheetView showGridLines="0" topLeftCell="B28" zoomScale="88" zoomScaleNormal="100" workbookViewId="0">
      <selection activeCell="F15" sqref="F15"/>
    </sheetView>
  </sheetViews>
  <sheetFormatPr defaultColWidth="9" defaultRowHeight="14.4"/>
  <cols>
    <col min="1" max="1" width="3.77734375" style="29" customWidth="1"/>
    <col min="2" max="2" width="9.44140625" style="30" customWidth="1"/>
    <col min="3" max="3" width="36.77734375" style="31" bestFit="1" customWidth="1"/>
    <col min="4" max="4" width="78.77734375" style="89" customWidth="1"/>
    <col min="5" max="5" width="18.5546875" style="32" customWidth="1"/>
    <col min="6" max="6" width="21.21875" style="32" bestFit="1" customWidth="1"/>
    <col min="7" max="7" width="18.21875" style="32" customWidth="1"/>
    <col min="8" max="8" width="23.5546875" style="32" bestFit="1" customWidth="1"/>
    <col min="9" max="9" width="21.77734375" style="32" bestFit="1" customWidth="1"/>
    <col min="10" max="10" width="24.5546875" style="32" bestFit="1" customWidth="1"/>
    <col min="11" max="11" width="24.5546875" style="32" customWidth="1"/>
    <col min="12" max="14" width="23.21875" style="32" customWidth="1"/>
    <col min="15" max="15" width="16" style="33" bestFit="1" customWidth="1"/>
    <col min="16" max="16" width="23.21875" style="32" customWidth="1"/>
    <col min="17" max="17" width="16" style="33" bestFit="1" customWidth="1"/>
    <col min="18" max="18" width="15.77734375" style="311" bestFit="1" customWidth="1"/>
    <col min="19" max="21" width="15.77734375" style="33" bestFit="1" customWidth="1"/>
    <col min="22" max="22" width="14.21875" style="33" bestFit="1" customWidth="1"/>
    <col min="23" max="24" width="9" style="33"/>
    <col min="25" max="25" width="14.21875" style="33" bestFit="1" customWidth="1"/>
    <col min="26" max="27" width="9" style="33"/>
    <col min="28" max="28" width="14.21875" style="33" bestFit="1" customWidth="1"/>
    <col min="29" max="99" width="9" style="33"/>
    <col min="100" max="16384" width="9" style="32"/>
  </cols>
  <sheetData>
    <row r="1" spans="1:28" ht="15" thickBot="1"/>
    <row r="2" spans="1:28" ht="15" thickBot="1">
      <c r="C2" s="34"/>
      <c r="D2" s="90" t="s">
        <v>200</v>
      </c>
      <c r="E2" s="35">
        <v>0.05</v>
      </c>
      <c r="F2" s="33"/>
      <c r="G2" s="33"/>
      <c r="H2" s="33"/>
      <c r="I2" s="39"/>
      <c r="J2" s="48"/>
      <c r="K2" s="48"/>
      <c r="L2" s="48"/>
      <c r="M2" s="48"/>
      <c r="N2" s="48"/>
      <c r="P2" s="48"/>
    </row>
    <row r="3" spans="1:28" ht="15" thickBot="1">
      <c r="C3" s="34"/>
      <c r="D3" s="90" t="s">
        <v>935</v>
      </c>
      <c r="E3" s="35">
        <v>0.12</v>
      </c>
      <c r="F3" s="33"/>
      <c r="G3" s="33"/>
      <c r="H3" s="33"/>
      <c r="I3" s="39"/>
      <c r="J3" s="48"/>
      <c r="K3" s="48"/>
      <c r="L3" s="48"/>
      <c r="M3" s="48"/>
      <c r="N3" s="48"/>
      <c r="P3" s="48"/>
    </row>
    <row r="4" spans="1:28" ht="15" thickBot="1">
      <c r="C4" s="34"/>
      <c r="D4" s="91" t="s">
        <v>201</v>
      </c>
      <c r="E4" s="36">
        <v>0.18</v>
      </c>
      <c r="F4" s="33"/>
      <c r="G4" s="33"/>
      <c r="H4" s="33"/>
      <c r="I4" s="74"/>
      <c r="J4" s="75">
        <f>15/12</f>
        <v>1.25</v>
      </c>
      <c r="K4" s="75"/>
      <c r="L4" s="75"/>
      <c r="M4" s="75"/>
      <c r="N4" s="48"/>
      <c r="P4" s="75"/>
    </row>
    <row r="5" spans="1:28" ht="15" thickBot="1">
      <c r="C5" s="34"/>
      <c r="D5" s="92" t="s">
        <v>202</v>
      </c>
      <c r="E5" s="37">
        <v>0.15</v>
      </c>
      <c r="F5" s="33"/>
      <c r="G5" s="33"/>
      <c r="H5" s="33"/>
      <c r="I5" s="74"/>
      <c r="J5" s="75"/>
      <c r="K5" s="75"/>
      <c r="L5" s="75"/>
      <c r="M5" s="75"/>
      <c r="N5" s="48"/>
      <c r="P5" s="75"/>
    </row>
    <row r="6" spans="1:28" s="33" customFormat="1">
      <c r="A6" s="29"/>
      <c r="B6" s="30"/>
      <c r="C6" s="34"/>
      <c r="D6" s="93"/>
      <c r="E6" s="38"/>
      <c r="I6" s="377"/>
      <c r="R6" s="311"/>
    </row>
    <row r="7" spans="1:28" ht="28.8">
      <c r="B7" s="40" t="s">
        <v>203</v>
      </c>
      <c r="C7" s="40" t="s">
        <v>204</v>
      </c>
      <c r="D7" s="40" t="s">
        <v>205</v>
      </c>
      <c r="E7" s="40" t="s">
        <v>206</v>
      </c>
      <c r="F7" s="40" t="s">
        <v>207</v>
      </c>
      <c r="G7" s="40" t="s">
        <v>200</v>
      </c>
      <c r="H7" s="40" t="s">
        <v>208</v>
      </c>
      <c r="I7" s="40" t="s">
        <v>936</v>
      </c>
      <c r="J7" s="41" t="s">
        <v>209</v>
      </c>
      <c r="K7" s="78" t="s">
        <v>938</v>
      </c>
      <c r="L7" s="78" t="s">
        <v>210</v>
      </c>
      <c r="M7" s="78"/>
      <c r="N7" s="535" t="s">
        <v>101</v>
      </c>
      <c r="P7" s="78" t="s">
        <v>981</v>
      </c>
      <c r="R7" s="378" t="s">
        <v>935</v>
      </c>
    </row>
    <row r="8" spans="1:28" ht="21" customHeight="1">
      <c r="B8" s="42"/>
      <c r="C8" s="42" t="s">
        <v>19</v>
      </c>
      <c r="D8" s="42" t="s">
        <v>483</v>
      </c>
      <c r="E8" s="42" t="s">
        <v>211</v>
      </c>
      <c r="F8" s="42"/>
      <c r="G8" s="42"/>
      <c r="H8" s="42"/>
      <c r="I8" s="42" t="s">
        <v>3</v>
      </c>
      <c r="J8" s="42"/>
      <c r="K8" s="79"/>
      <c r="L8" s="79"/>
      <c r="M8" s="79"/>
      <c r="N8" s="536"/>
      <c r="P8" s="79"/>
      <c r="R8" s="379"/>
    </row>
    <row r="9" spans="1:28" ht="158.4">
      <c r="B9" s="389">
        <v>1</v>
      </c>
      <c r="C9" s="76" t="s">
        <v>212</v>
      </c>
      <c r="D9" s="94" t="s">
        <v>794</v>
      </c>
      <c r="E9" s="50">
        <v>8</v>
      </c>
      <c r="F9" s="77">
        <f>'Lenovo Quote'!D4</f>
        <v>6880868.6274255011</v>
      </c>
      <c r="G9" s="77">
        <f>(F9*$E$2)</f>
        <v>344043.4313712751</v>
      </c>
      <c r="H9" s="77">
        <f>$E$4*F9</f>
        <v>1238556.3529365901</v>
      </c>
      <c r="I9" s="77">
        <f>+(SUM(F9:H9)/(1-$E$3))</f>
        <v>9617577.7406060975</v>
      </c>
      <c r="J9" s="391">
        <f>I9*E9</f>
        <v>76940621.92484878</v>
      </c>
      <c r="K9" s="80"/>
      <c r="L9" s="80">
        <f>I9*12%</f>
        <v>1154109.3288727317</v>
      </c>
      <c r="M9" s="80">
        <f>L9*E9</f>
        <v>9232874.6309818532</v>
      </c>
      <c r="N9" s="58">
        <f>(SUM(F9:H9)/(1-$E$3))</f>
        <v>9617577.7406060975</v>
      </c>
      <c r="P9" s="313">
        <f>F9*E9</f>
        <v>55046949.019404009</v>
      </c>
      <c r="R9" s="380">
        <f>J9*$E$3</f>
        <v>9232874.6309818532</v>
      </c>
      <c r="S9" s="377">
        <f>SUM(F9:H9)</f>
        <v>8463468.4117333665</v>
      </c>
      <c r="T9" s="377">
        <f>S9*E9</f>
        <v>67707747.293866932</v>
      </c>
      <c r="U9" s="377">
        <f>J9</f>
        <v>76940621.92484878</v>
      </c>
      <c r="V9" s="377">
        <f>U9-T9</f>
        <v>9232874.6309818476</v>
      </c>
      <c r="X9" s="33">
        <v>100</v>
      </c>
      <c r="Y9" s="377">
        <f>(Y11*X9)/X11</f>
        <v>9617577.7406060975</v>
      </c>
      <c r="AA9" s="33">
        <v>112</v>
      </c>
      <c r="AB9" s="377">
        <f>(AB11*AA9)/AA11</f>
        <v>9479084.6211413704</v>
      </c>
    </row>
    <row r="10" spans="1:28" ht="28.8">
      <c r="B10" s="389">
        <v>2</v>
      </c>
      <c r="C10" s="71" t="s">
        <v>469</v>
      </c>
      <c r="D10" s="96" t="s">
        <v>917</v>
      </c>
      <c r="E10" s="50">
        <v>2</v>
      </c>
      <c r="F10" s="77">
        <v>1400000</v>
      </c>
      <c r="G10" s="77">
        <f t="shared" ref="G10:G19" si="0">(F10*$E$2)</f>
        <v>70000</v>
      </c>
      <c r="H10" s="77">
        <f t="shared" ref="H10:H19" si="1">$E$4*F10</f>
        <v>252000</v>
      </c>
      <c r="I10" s="77">
        <f t="shared" ref="I10:I19" si="2">+(SUM(F10:H10)/(1-$E$3))</f>
        <v>1956818.1818181819</v>
      </c>
      <c r="J10" s="391">
        <f>I10*E10</f>
        <v>3913636.3636363638</v>
      </c>
      <c r="K10" s="80"/>
      <c r="L10" s="80"/>
      <c r="M10" s="80"/>
      <c r="N10" s="58"/>
      <c r="P10" s="313">
        <f t="shared" ref="P10:P18" si="3">F10*E10</f>
        <v>2800000</v>
      </c>
      <c r="R10" s="380">
        <f t="shared" ref="R10:R18" si="4">J10*$E$3</f>
        <v>469636.36363636365</v>
      </c>
      <c r="S10" s="377"/>
      <c r="T10" s="377"/>
      <c r="X10" s="33">
        <v>12</v>
      </c>
    </row>
    <row r="11" spans="1:28">
      <c r="B11" s="389">
        <v>3</v>
      </c>
      <c r="C11" s="96" t="s">
        <v>468</v>
      </c>
      <c r="D11" s="96" t="s">
        <v>918</v>
      </c>
      <c r="E11" s="50">
        <v>2</v>
      </c>
      <c r="F11" s="77">
        <v>600000</v>
      </c>
      <c r="G11" s="77">
        <f t="shared" si="0"/>
        <v>30000</v>
      </c>
      <c r="H11" s="77">
        <f t="shared" si="1"/>
        <v>108000</v>
      </c>
      <c r="I11" s="77">
        <f t="shared" si="2"/>
        <v>838636.36363636365</v>
      </c>
      <c r="J11" s="391">
        <f>I11*E11</f>
        <v>1677272.7272727273</v>
      </c>
      <c r="K11" s="80"/>
      <c r="L11" s="80"/>
      <c r="M11" s="80"/>
      <c r="N11" s="58"/>
      <c r="P11" s="313">
        <f t="shared" si="3"/>
        <v>1200000</v>
      </c>
      <c r="R11" s="380">
        <f t="shared" si="4"/>
        <v>201272.72727272726</v>
      </c>
      <c r="S11" s="377"/>
      <c r="T11" s="377"/>
      <c r="X11" s="33">
        <v>88</v>
      </c>
      <c r="Y11" s="377">
        <f>SUM(F9:H9)</f>
        <v>8463468.4117333665</v>
      </c>
      <c r="AA11" s="33">
        <v>100</v>
      </c>
      <c r="AB11" s="377">
        <f>Y11</f>
        <v>8463468.4117333665</v>
      </c>
    </row>
    <row r="12" spans="1:28">
      <c r="B12" s="389">
        <v>4</v>
      </c>
      <c r="C12" s="96" t="s">
        <v>919</v>
      </c>
      <c r="D12" s="96" t="s">
        <v>920</v>
      </c>
      <c r="E12" s="50">
        <v>2</v>
      </c>
      <c r="F12" s="77">
        <v>1000000</v>
      </c>
      <c r="G12" s="77">
        <f t="shared" si="0"/>
        <v>50000</v>
      </c>
      <c r="H12" s="77">
        <f t="shared" si="1"/>
        <v>180000</v>
      </c>
      <c r="I12" s="77">
        <f t="shared" si="2"/>
        <v>1397727.2727272727</v>
      </c>
      <c r="J12" s="391">
        <f>I12*E12</f>
        <v>2795454.5454545454</v>
      </c>
      <c r="K12" s="80"/>
      <c r="L12" s="80"/>
      <c r="M12" s="80"/>
      <c r="N12" s="58"/>
      <c r="P12" s="313">
        <f t="shared" si="3"/>
        <v>2000000</v>
      </c>
      <c r="R12" s="380">
        <f t="shared" si="4"/>
        <v>335454.54545454541</v>
      </c>
      <c r="S12" s="377"/>
      <c r="T12" s="377"/>
    </row>
    <row r="13" spans="1:28">
      <c r="B13" s="389">
        <v>5</v>
      </c>
      <c r="C13" s="96" t="s">
        <v>678</v>
      </c>
      <c r="D13" s="96" t="s">
        <v>921</v>
      </c>
      <c r="E13" s="50">
        <v>2</v>
      </c>
      <c r="F13" s="77">
        <v>800000</v>
      </c>
      <c r="G13" s="77">
        <f t="shared" si="0"/>
        <v>40000</v>
      </c>
      <c r="H13" s="77">
        <f t="shared" si="1"/>
        <v>144000</v>
      </c>
      <c r="I13" s="77">
        <f t="shared" si="2"/>
        <v>1118181.8181818181</v>
      </c>
      <c r="J13" s="391">
        <f>I13*E13</f>
        <v>2236363.6363636362</v>
      </c>
      <c r="K13" s="80"/>
      <c r="L13" s="80"/>
      <c r="M13" s="80"/>
      <c r="N13" s="58"/>
      <c r="P13" s="313">
        <f t="shared" si="3"/>
        <v>1600000</v>
      </c>
      <c r="R13" s="380">
        <f t="shared" si="4"/>
        <v>268363.63636363635</v>
      </c>
      <c r="S13" s="377"/>
      <c r="T13" s="377"/>
    </row>
    <row r="14" spans="1:28" ht="28.8">
      <c r="B14" s="43">
        <v>6</v>
      </c>
      <c r="C14" s="96"/>
      <c r="D14" s="96" t="s">
        <v>915</v>
      </c>
      <c r="E14" s="50">
        <v>2</v>
      </c>
      <c r="F14" s="77">
        <f>Colo!F10</f>
        <v>1163000</v>
      </c>
      <c r="G14" s="77">
        <f t="shared" si="0"/>
        <v>58150</v>
      </c>
      <c r="H14" s="77">
        <f t="shared" si="1"/>
        <v>209340</v>
      </c>
      <c r="I14" s="77">
        <f t="shared" si="2"/>
        <v>1625556.8181818181</v>
      </c>
      <c r="J14" s="77">
        <f t="shared" ref="J14:J19" si="5">I14*E14</f>
        <v>3251113.6363636362</v>
      </c>
      <c r="K14" s="80"/>
      <c r="L14" s="80"/>
      <c r="M14" s="80"/>
      <c r="N14" s="58"/>
      <c r="P14" s="313">
        <f t="shared" si="3"/>
        <v>2326000</v>
      </c>
      <c r="R14" s="380">
        <f t="shared" si="4"/>
        <v>390133.63636363635</v>
      </c>
      <c r="S14" s="377"/>
      <c r="T14" s="377"/>
      <c r="Y14" s="377">
        <f>Y9*12%</f>
        <v>1154109.3288727317</v>
      </c>
      <c r="AB14" s="377">
        <f>AB9*12%</f>
        <v>1137490.1545369644</v>
      </c>
    </row>
    <row r="15" spans="1:28">
      <c r="B15" s="389">
        <v>7</v>
      </c>
      <c r="C15" s="96" t="s">
        <v>467</v>
      </c>
      <c r="D15" s="96" t="s">
        <v>922</v>
      </c>
      <c r="E15" s="50">
        <v>1</v>
      </c>
      <c r="F15" s="77">
        <f>68825*36</f>
        <v>2477700</v>
      </c>
      <c r="G15" s="77">
        <f t="shared" si="0"/>
        <v>123885</v>
      </c>
      <c r="H15" s="77">
        <f t="shared" si="1"/>
        <v>445986</v>
      </c>
      <c r="I15" s="77">
        <f t="shared" si="2"/>
        <v>3463148.8636363638</v>
      </c>
      <c r="J15" s="391">
        <f t="shared" si="5"/>
        <v>3463148.8636363638</v>
      </c>
      <c r="K15" s="80"/>
      <c r="L15" s="80"/>
      <c r="M15" s="80"/>
      <c r="N15" s="58"/>
      <c r="P15" s="313">
        <f t="shared" si="3"/>
        <v>2477700</v>
      </c>
      <c r="R15" s="380">
        <f t="shared" si="4"/>
        <v>415577.86363636365</v>
      </c>
      <c r="S15" s="377"/>
      <c r="T15" s="377"/>
      <c r="Y15" s="377">
        <f>Y9-Y14</f>
        <v>8463468.4117333665</v>
      </c>
      <c r="AB15" s="377">
        <f>AB9-AB14</f>
        <v>8341594.466604406</v>
      </c>
    </row>
    <row r="16" spans="1:28">
      <c r="B16" s="389">
        <v>8</v>
      </c>
      <c r="C16" s="96" t="s">
        <v>923</v>
      </c>
      <c r="D16" s="96" t="s">
        <v>752</v>
      </c>
      <c r="E16" s="50">
        <v>1</v>
      </c>
      <c r="F16" s="77">
        <f>'Lenovo Quote'!E117</f>
        <v>32768966.967519999</v>
      </c>
      <c r="G16" s="77">
        <f t="shared" si="0"/>
        <v>1638448.3483760001</v>
      </c>
      <c r="H16" s="77">
        <f t="shared" si="1"/>
        <v>5898414.0541535998</v>
      </c>
      <c r="I16" s="77">
        <f t="shared" si="2"/>
        <v>45802078.829601817</v>
      </c>
      <c r="J16" s="391">
        <f t="shared" si="5"/>
        <v>45802078.829601817</v>
      </c>
      <c r="K16" s="80"/>
      <c r="L16" s="80"/>
      <c r="M16" s="80"/>
      <c r="N16" s="58"/>
      <c r="P16" s="313">
        <f t="shared" si="3"/>
        <v>32768966.967519999</v>
      </c>
      <c r="R16" s="380">
        <f t="shared" si="4"/>
        <v>5496249.4595522182</v>
      </c>
      <c r="S16" s="377"/>
      <c r="T16" s="377"/>
    </row>
    <row r="17" spans="1:99">
      <c r="B17" s="389">
        <v>9</v>
      </c>
      <c r="C17" s="96" t="s">
        <v>472</v>
      </c>
      <c r="D17" s="96" t="s">
        <v>472</v>
      </c>
      <c r="E17" s="50">
        <v>1</v>
      </c>
      <c r="F17" s="77">
        <v>340000</v>
      </c>
      <c r="G17" s="77">
        <f t="shared" si="0"/>
        <v>17000</v>
      </c>
      <c r="H17" s="77">
        <f t="shared" si="1"/>
        <v>61200</v>
      </c>
      <c r="I17" s="77">
        <f t="shared" si="2"/>
        <v>475227.27272727271</v>
      </c>
      <c r="J17" s="391">
        <f t="shared" si="5"/>
        <v>475227.27272727271</v>
      </c>
      <c r="K17" s="80"/>
      <c r="L17" s="80"/>
      <c r="M17" s="80"/>
      <c r="N17" s="58"/>
      <c r="P17" s="313">
        <f t="shared" si="3"/>
        <v>340000</v>
      </c>
      <c r="R17" s="380">
        <f t="shared" si="4"/>
        <v>57027.272727272721</v>
      </c>
      <c r="S17" s="377"/>
      <c r="T17" s="377"/>
    </row>
    <row r="18" spans="1:99">
      <c r="B18" s="389">
        <v>10</v>
      </c>
      <c r="C18" s="96" t="s">
        <v>471</v>
      </c>
      <c r="D18" s="96" t="s">
        <v>924</v>
      </c>
      <c r="E18" s="50">
        <v>3</v>
      </c>
      <c r="F18" s="77">
        <v>2000000</v>
      </c>
      <c r="G18" s="77">
        <f t="shared" si="0"/>
        <v>100000</v>
      </c>
      <c r="H18" s="77">
        <f t="shared" si="1"/>
        <v>360000</v>
      </c>
      <c r="I18" s="77">
        <f t="shared" si="2"/>
        <v>2795454.5454545454</v>
      </c>
      <c r="J18" s="391">
        <f t="shared" si="5"/>
        <v>8386363.6363636367</v>
      </c>
      <c r="K18" s="80"/>
      <c r="L18" s="80"/>
      <c r="M18" s="80"/>
      <c r="N18" s="58"/>
      <c r="P18" s="313">
        <f t="shared" si="3"/>
        <v>6000000</v>
      </c>
      <c r="R18" s="380">
        <f t="shared" si="4"/>
        <v>1006363.6363636364</v>
      </c>
      <c r="S18" s="377"/>
      <c r="T18" s="377"/>
    </row>
    <row r="19" spans="1:99">
      <c r="B19" s="392"/>
      <c r="C19" s="393" t="s">
        <v>215</v>
      </c>
      <c r="D19" s="393" t="s">
        <v>1024</v>
      </c>
      <c r="E19" s="50">
        <v>1</v>
      </c>
      <c r="F19" s="77">
        <v>2000000</v>
      </c>
      <c r="G19" s="77">
        <f t="shared" si="0"/>
        <v>100000</v>
      </c>
      <c r="H19" s="77">
        <f t="shared" si="1"/>
        <v>360000</v>
      </c>
      <c r="I19" s="77">
        <f t="shared" si="2"/>
        <v>2795454.5454545454</v>
      </c>
      <c r="J19" s="391">
        <f t="shared" si="5"/>
        <v>2795454.5454545454</v>
      </c>
      <c r="K19" s="80"/>
      <c r="L19" s="80"/>
      <c r="M19" s="80"/>
      <c r="N19" s="58"/>
      <c r="P19" s="313"/>
      <c r="R19" s="380"/>
      <c r="S19" s="377"/>
      <c r="T19" s="377"/>
    </row>
    <row r="20" spans="1:99" ht="22.95" customHeight="1">
      <c r="B20" s="562" t="s">
        <v>216</v>
      </c>
      <c r="C20" s="563"/>
      <c r="D20" s="563"/>
      <c r="E20" s="564"/>
      <c r="F20" s="70">
        <f>SUM(F9:F18)</f>
        <v>49430535.594945498</v>
      </c>
      <c r="G20" s="70"/>
      <c r="H20" s="70">
        <f>SUM(H9:H18)</f>
        <v>8897496.4070901908</v>
      </c>
      <c r="I20" s="70">
        <f>SUM(I9:I18)</f>
        <v>69090407.706571549</v>
      </c>
      <c r="J20" s="70">
        <f>SUM(J9:J19)</f>
        <v>151736735.98172331</v>
      </c>
      <c r="K20" s="82"/>
      <c r="L20" s="80">
        <f>J20*1.18</f>
        <v>179049348.45843351</v>
      </c>
      <c r="M20" s="80">
        <f>L20-J20</f>
        <v>27312612.4767102</v>
      </c>
      <c r="N20" s="58"/>
      <c r="P20" s="70">
        <f>SUM(P9:P18)</f>
        <v>106559615.98692401</v>
      </c>
      <c r="R20" s="382">
        <f>SUM(R9:R18)</f>
        <v>17872953.772352252</v>
      </c>
    </row>
    <row r="21" spans="1:99" ht="22.95" customHeight="1">
      <c r="B21" s="40" t="s">
        <v>203</v>
      </c>
      <c r="C21" s="40" t="s">
        <v>204</v>
      </c>
      <c r="D21" s="40" t="s">
        <v>205</v>
      </c>
      <c r="E21" s="40" t="s">
        <v>206</v>
      </c>
      <c r="F21" s="40" t="s">
        <v>937</v>
      </c>
      <c r="G21" s="40" t="s">
        <v>200</v>
      </c>
      <c r="H21" s="40" t="s">
        <v>208</v>
      </c>
      <c r="I21" s="40" t="s">
        <v>936</v>
      </c>
      <c r="J21" s="41" t="s">
        <v>209</v>
      </c>
      <c r="K21" s="78"/>
      <c r="L21" s="78" t="s">
        <v>210</v>
      </c>
      <c r="M21" s="78"/>
      <c r="N21" s="58"/>
      <c r="P21" s="78"/>
    </row>
    <row r="22" spans="1:99">
      <c r="A22" s="32"/>
      <c r="B22" s="389">
        <v>11</v>
      </c>
      <c r="C22" s="53" t="s">
        <v>217</v>
      </c>
      <c r="D22" s="95" t="s">
        <v>218</v>
      </c>
      <c r="E22" s="44">
        <v>1</v>
      </c>
      <c r="F22" s="54" t="s">
        <v>166</v>
      </c>
      <c r="G22" s="54"/>
      <c r="H22" s="54"/>
      <c r="I22" s="54" t="s">
        <v>166</v>
      </c>
      <c r="J22" s="54" t="s">
        <v>166</v>
      </c>
      <c r="K22" s="83"/>
      <c r="L22" s="83"/>
      <c r="M22" s="83"/>
      <c r="N22" s="58"/>
      <c r="O22" s="32"/>
      <c r="P22" s="83"/>
      <c r="Q22" s="32"/>
      <c r="R22" s="31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c r="BR22" s="32"/>
      <c r="BS22" s="32"/>
      <c r="BT22" s="32"/>
      <c r="BU22" s="32"/>
      <c r="BV22" s="32"/>
      <c r="BW22" s="32"/>
      <c r="BX22" s="32"/>
      <c r="BY22" s="32"/>
      <c r="BZ22" s="32"/>
      <c r="CA22" s="32"/>
      <c r="CB22" s="32"/>
      <c r="CC22" s="32"/>
      <c r="CD22" s="32"/>
      <c r="CE22" s="32"/>
      <c r="CF22" s="32"/>
      <c r="CG22" s="32"/>
      <c r="CH22" s="32"/>
      <c r="CI22" s="32"/>
      <c r="CJ22" s="32"/>
      <c r="CK22" s="32"/>
      <c r="CL22" s="32"/>
      <c r="CM22" s="32"/>
      <c r="CN22" s="32"/>
      <c r="CO22" s="32"/>
      <c r="CP22" s="32"/>
      <c r="CQ22" s="32"/>
      <c r="CR22" s="32"/>
      <c r="CS22" s="32"/>
      <c r="CT22" s="32"/>
      <c r="CU22" s="32"/>
    </row>
    <row r="23" spans="1:99">
      <c r="A23" s="32"/>
      <c r="B23" s="389">
        <v>12</v>
      </c>
      <c r="C23" s="53" t="s">
        <v>217</v>
      </c>
      <c r="D23" s="95" t="s">
        <v>749</v>
      </c>
      <c r="E23" s="44">
        <v>384</v>
      </c>
      <c r="F23" s="54" t="s">
        <v>166</v>
      </c>
      <c r="G23" s="54"/>
      <c r="H23" s="54"/>
      <c r="I23" s="54" t="s">
        <v>166</v>
      </c>
      <c r="J23" s="54" t="s">
        <v>166</v>
      </c>
      <c r="K23" s="83"/>
      <c r="L23" s="83"/>
      <c r="M23" s="83"/>
      <c r="N23" s="58"/>
      <c r="O23" s="32"/>
      <c r="P23" s="83"/>
      <c r="Q23" s="32"/>
      <c r="R23" s="31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row>
    <row r="24" spans="1:99">
      <c r="A24" s="32"/>
      <c r="B24" s="389">
        <v>13</v>
      </c>
      <c r="C24" s="53" t="s">
        <v>217</v>
      </c>
      <c r="D24" s="95" t="s">
        <v>750</v>
      </c>
      <c r="E24" s="44">
        <v>384</v>
      </c>
      <c r="F24" s="54" t="s">
        <v>166</v>
      </c>
      <c r="G24" s="54"/>
      <c r="H24" s="54"/>
      <c r="I24" s="54" t="s">
        <v>166</v>
      </c>
      <c r="J24" s="54" t="s">
        <v>166</v>
      </c>
      <c r="K24" s="83"/>
      <c r="L24" s="83"/>
      <c r="M24" s="83"/>
      <c r="N24" s="58"/>
      <c r="O24" s="32"/>
      <c r="P24" s="83"/>
      <c r="Q24" s="32"/>
      <c r="R24" s="31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c r="BO24" s="32"/>
      <c r="BP24" s="32"/>
      <c r="BQ24" s="32"/>
      <c r="BR24" s="32"/>
      <c r="BS24" s="32"/>
      <c r="BT24" s="32"/>
      <c r="BU24" s="32"/>
      <c r="BV24" s="32"/>
      <c r="BW24" s="32"/>
      <c r="BX24" s="32"/>
      <c r="BY24" s="32"/>
      <c r="BZ24" s="32"/>
      <c r="CA24" s="32"/>
      <c r="CB24" s="32"/>
      <c r="CC24" s="32"/>
      <c r="CD24" s="32"/>
      <c r="CE24" s="32"/>
      <c r="CF24" s="32"/>
      <c r="CG24" s="32"/>
      <c r="CH24" s="32"/>
      <c r="CI24" s="32"/>
      <c r="CJ24" s="32"/>
      <c r="CK24" s="32"/>
      <c r="CL24" s="32"/>
      <c r="CM24" s="32"/>
      <c r="CN24" s="32"/>
      <c r="CO24" s="32"/>
      <c r="CP24" s="32"/>
      <c r="CQ24" s="32"/>
      <c r="CR24" s="32"/>
      <c r="CS24" s="32"/>
      <c r="CT24" s="32"/>
      <c r="CU24" s="32"/>
    </row>
    <row r="25" spans="1:99" ht="28.8">
      <c r="A25" s="32"/>
      <c r="B25" s="389">
        <v>14</v>
      </c>
      <c r="C25" s="53" t="s">
        <v>217</v>
      </c>
      <c r="D25" s="95" t="s">
        <v>751</v>
      </c>
      <c r="E25" s="44">
        <v>736</v>
      </c>
      <c r="F25" s="54" t="s">
        <v>166</v>
      </c>
      <c r="G25" s="54"/>
      <c r="H25" s="54"/>
      <c r="I25" s="54" t="s">
        <v>166</v>
      </c>
      <c r="J25" s="54" t="s">
        <v>166</v>
      </c>
      <c r="K25" s="83"/>
      <c r="L25" s="83"/>
      <c r="M25" s="83"/>
      <c r="N25" s="58"/>
      <c r="O25" s="32"/>
      <c r="P25" s="83"/>
      <c r="Q25" s="32"/>
      <c r="R25" s="31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c r="BO25" s="32"/>
      <c r="BP25" s="32"/>
      <c r="BQ25" s="32"/>
      <c r="BR25" s="32"/>
      <c r="BS25" s="32"/>
      <c r="BT25" s="32"/>
      <c r="BU25" s="32"/>
      <c r="BV25" s="32"/>
      <c r="BW25" s="32"/>
      <c r="BX25" s="32"/>
      <c r="BY25" s="32"/>
      <c r="BZ25" s="32"/>
      <c r="CA25" s="32"/>
      <c r="CB25" s="32"/>
      <c r="CC25" s="32"/>
      <c r="CD25" s="32"/>
      <c r="CE25" s="32"/>
      <c r="CF25" s="32"/>
      <c r="CG25" s="32"/>
      <c r="CH25" s="32"/>
      <c r="CI25" s="32"/>
      <c r="CJ25" s="32"/>
      <c r="CK25" s="32"/>
      <c r="CL25" s="32"/>
      <c r="CM25" s="32"/>
      <c r="CN25" s="32"/>
      <c r="CO25" s="32"/>
      <c r="CP25" s="32"/>
      <c r="CQ25" s="32"/>
      <c r="CR25" s="32"/>
      <c r="CS25" s="32"/>
      <c r="CT25" s="32"/>
      <c r="CU25" s="32"/>
    </row>
    <row r="26" spans="1:99">
      <c r="A26" s="32"/>
      <c r="B26" s="389">
        <v>15</v>
      </c>
      <c r="C26" s="71" t="s">
        <v>82</v>
      </c>
      <c r="D26" s="94" t="s">
        <v>219</v>
      </c>
      <c r="E26" s="50">
        <f>ROUND(('Windows Server'!D33)/16,0)</f>
        <v>15</v>
      </c>
      <c r="F26" s="69">
        <f>Redington!E5</f>
        <v>154801.75</v>
      </c>
      <c r="G26" s="77">
        <f t="shared" ref="G26:G46" si="6">(F26*$E$2)</f>
        <v>7740.0875000000005</v>
      </c>
      <c r="H26" s="77">
        <f>$E$5*F26</f>
        <v>23220.262500000001</v>
      </c>
      <c r="I26" s="77">
        <f t="shared" ref="I26:I46" si="7">+(SUM(F26:H26)/(1-$E$3))</f>
        <v>211093.29545454547</v>
      </c>
      <c r="J26" s="391">
        <f t="shared" ref="J26:J46" si="8">I26*E26</f>
        <v>3166399.4318181821</v>
      </c>
      <c r="K26" s="81"/>
      <c r="L26" s="81">
        <f>J26*1.18</f>
        <v>3736351.3295454546</v>
      </c>
      <c r="M26" s="81">
        <f>L26-J26</f>
        <v>569951.89772727247</v>
      </c>
      <c r="N26" s="58"/>
      <c r="O26" s="32"/>
      <c r="P26" s="313">
        <f t="shared" ref="P26:P45" si="9">F26*E26</f>
        <v>2322026.25</v>
      </c>
      <c r="Q26" s="32"/>
      <c r="R26" s="380">
        <f t="shared" ref="R26:R46" si="10">J26*$E$3</f>
        <v>379967.93181818182</v>
      </c>
      <c r="S26" s="377"/>
      <c r="T26" s="377"/>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row>
    <row r="27" spans="1:99">
      <c r="A27" s="32"/>
      <c r="B27" s="389">
        <v>16</v>
      </c>
      <c r="C27" s="71"/>
      <c r="D27" s="94" t="s">
        <v>632</v>
      </c>
      <c r="E27" s="50">
        <v>2</v>
      </c>
      <c r="F27" s="69">
        <f>Redington!E3</f>
        <v>613005.25</v>
      </c>
      <c r="G27" s="69">
        <f t="shared" si="6"/>
        <v>30650.262500000001</v>
      </c>
      <c r="H27" s="69">
        <f t="shared" ref="H27:H46" si="11">$E$5*F27</f>
        <v>91950.787499999991</v>
      </c>
      <c r="I27" s="77">
        <f t="shared" si="7"/>
        <v>835916.24999999988</v>
      </c>
      <c r="J27" s="391">
        <f t="shared" si="8"/>
        <v>1671832.4999999998</v>
      </c>
      <c r="K27" s="81"/>
      <c r="L27" s="81"/>
      <c r="M27" s="81"/>
      <c r="N27" s="58"/>
      <c r="O27" s="32"/>
      <c r="P27" s="313">
        <f t="shared" si="9"/>
        <v>1226010.5</v>
      </c>
      <c r="Q27" s="32"/>
      <c r="R27" s="380">
        <f t="shared" si="10"/>
        <v>200619.89999999997</v>
      </c>
      <c r="S27" s="377"/>
      <c r="T27" s="377"/>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32"/>
      <c r="BR27" s="32"/>
      <c r="BS27" s="32"/>
      <c r="BT27" s="32"/>
      <c r="BU27" s="32"/>
      <c r="BV27" s="32"/>
      <c r="BW27" s="32"/>
      <c r="BX27" s="32"/>
      <c r="BY27" s="32"/>
      <c r="BZ27" s="32"/>
      <c r="CA27" s="32"/>
      <c r="CB27" s="32"/>
      <c r="CC27" s="32"/>
      <c r="CD27" s="32"/>
      <c r="CE27" s="32"/>
      <c r="CF27" s="32"/>
      <c r="CG27" s="32"/>
      <c r="CH27" s="32"/>
      <c r="CI27" s="32"/>
      <c r="CJ27" s="32"/>
      <c r="CK27" s="32"/>
      <c r="CL27" s="32"/>
      <c r="CM27" s="32"/>
      <c r="CN27" s="32"/>
      <c r="CO27" s="32"/>
      <c r="CP27" s="32"/>
      <c r="CQ27" s="32"/>
      <c r="CR27" s="32"/>
      <c r="CS27" s="32"/>
      <c r="CT27" s="32"/>
      <c r="CU27" s="32"/>
    </row>
    <row r="28" spans="1:99">
      <c r="A28" s="32"/>
      <c r="B28" s="389">
        <v>17</v>
      </c>
      <c r="C28" s="71"/>
      <c r="D28" s="94" t="s">
        <v>633</v>
      </c>
      <c r="E28" s="50">
        <v>17</v>
      </c>
      <c r="F28" s="69">
        <f>Redington!E4</f>
        <v>519184.5</v>
      </c>
      <c r="G28" s="69">
        <f t="shared" si="6"/>
        <v>25959.225000000002</v>
      </c>
      <c r="H28" s="69">
        <f t="shared" si="11"/>
        <v>77877.675000000003</v>
      </c>
      <c r="I28" s="77">
        <f t="shared" si="7"/>
        <v>707978.86363636365</v>
      </c>
      <c r="J28" s="391">
        <f t="shared" si="8"/>
        <v>12035640.681818182</v>
      </c>
      <c r="K28" s="81"/>
      <c r="L28" s="81"/>
      <c r="M28" s="81"/>
      <c r="N28" s="58"/>
      <c r="O28" s="32"/>
      <c r="P28" s="313">
        <f t="shared" si="9"/>
        <v>8826136.5</v>
      </c>
      <c r="Q28" s="32"/>
      <c r="R28" s="380">
        <f t="shared" si="10"/>
        <v>1444276.8818181818</v>
      </c>
      <c r="S28" s="377"/>
      <c r="T28" s="377"/>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c r="BR28" s="32"/>
      <c r="BS28" s="32"/>
      <c r="BT28" s="32"/>
      <c r="BU28" s="32"/>
      <c r="BV28" s="32"/>
      <c r="BW28" s="32"/>
      <c r="BX28" s="32"/>
      <c r="BY28" s="32"/>
      <c r="BZ28" s="32"/>
      <c r="CA28" s="32"/>
      <c r="CB28" s="32"/>
      <c r="CC28" s="32"/>
      <c r="CD28" s="32"/>
      <c r="CE28" s="32"/>
      <c r="CF28" s="32"/>
      <c r="CG28" s="32"/>
      <c r="CH28" s="32"/>
      <c r="CI28" s="32"/>
      <c r="CJ28" s="32"/>
      <c r="CK28" s="32"/>
      <c r="CL28" s="32"/>
      <c r="CM28" s="32"/>
      <c r="CN28" s="32"/>
      <c r="CO28" s="32"/>
      <c r="CP28" s="32"/>
      <c r="CQ28" s="32"/>
      <c r="CR28" s="32"/>
      <c r="CS28" s="32"/>
      <c r="CT28" s="32"/>
      <c r="CU28" s="32"/>
    </row>
    <row r="29" spans="1:99" ht="28.8">
      <c r="A29" s="32"/>
      <c r="B29" s="389">
        <v>18</v>
      </c>
      <c r="C29" s="71" t="s">
        <v>82</v>
      </c>
      <c r="D29" s="232" t="s">
        <v>629</v>
      </c>
      <c r="E29" s="50">
        <v>10</v>
      </c>
      <c r="F29" s="69">
        <f>RHEL!D8*3</f>
        <v>240546.30600000004</v>
      </c>
      <c r="G29" s="69">
        <f t="shared" si="6"/>
        <v>12027.315300000002</v>
      </c>
      <c r="H29" s="69">
        <f t="shared" si="11"/>
        <v>36081.945900000006</v>
      </c>
      <c r="I29" s="77">
        <f t="shared" si="7"/>
        <v>328017.69000000006</v>
      </c>
      <c r="J29" s="391">
        <f t="shared" si="8"/>
        <v>3280176.9000000004</v>
      </c>
      <c r="K29" s="81"/>
      <c r="L29" s="81">
        <f>J29*1.18</f>
        <v>3870608.7420000001</v>
      </c>
      <c r="M29" s="81">
        <f>L29-J29</f>
        <v>590431.84199999971</v>
      </c>
      <c r="N29" s="58"/>
      <c r="O29" s="32"/>
      <c r="P29" s="313">
        <f t="shared" si="9"/>
        <v>2405463.0600000005</v>
      </c>
      <c r="Q29" s="32"/>
      <c r="R29" s="380">
        <f t="shared" si="10"/>
        <v>393621.228</v>
      </c>
      <c r="S29" s="377"/>
      <c r="T29" s="377"/>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row>
    <row r="30" spans="1:99" ht="28.8">
      <c r="A30" s="32"/>
      <c r="B30" s="389">
        <v>19</v>
      </c>
      <c r="C30" s="71"/>
      <c r="D30" s="232" t="s">
        <v>630</v>
      </c>
      <c r="E30" s="50">
        <v>10</v>
      </c>
      <c r="F30" s="69">
        <f>RHEL!D9*3</f>
        <v>200455.255</v>
      </c>
      <c r="G30" s="69">
        <f t="shared" si="6"/>
        <v>10022.762750000002</v>
      </c>
      <c r="H30" s="69">
        <f t="shared" si="11"/>
        <v>30068.288249999998</v>
      </c>
      <c r="I30" s="77">
        <f t="shared" si="7"/>
        <v>273348.07499999995</v>
      </c>
      <c r="J30" s="391">
        <f t="shared" si="8"/>
        <v>2733480.7499999995</v>
      </c>
      <c r="K30" s="81"/>
      <c r="L30" s="81"/>
      <c r="M30" s="81"/>
      <c r="N30" s="58"/>
      <c r="O30" s="32"/>
      <c r="P30" s="313">
        <f t="shared" si="9"/>
        <v>2004552.55</v>
      </c>
      <c r="Q30" s="32"/>
      <c r="R30" s="380">
        <f t="shared" si="10"/>
        <v>328017.68999999994</v>
      </c>
      <c r="S30" s="377"/>
      <c r="T30" s="377"/>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32"/>
      <c r="BR30" s="32"/>
      <c r="BS30" s="32"/>
      <c r="BT30" s="32"/>
      <c r="BU30" s="32"/>
      <c r="BV30" s="32"/>
      <c r="BW30" s="32"/>
      <c r="BX30" s="32"/>
      <c r="BY30" s="32"/>
      <c r="BZ30" s="32"/>
      <c r="CA30" s="32"/>
      <c r="CB30" s="32"/>
      <c r="CC30" s="32"/>
      <c r="CD30" s="32"/>
      <c r="CE30" s="32"/>
      <c r="CF30" s="32"/>
      <c r="CG30" s="32"/>
      <c r="CH30" s="32"/>
      <c r="CI30" s="32"/>
      <c r="CJ30" s="32"/>
      <c r="CK30" s="32"/>
      <c r="CL30" s="32"/>
      <c r="CM30" s="32"/>
      <c r="CN30" s="32"/>
      <c r="CO30" s="32"/>
      <c r="CP30" s="32"/>
      <c r="CQ30" s="32"/>
      <c r="CR30" s="32"/>
      <c r="CS30" s="32"/>
      <c r="CT30" s="32"/>
      <c r="CU30" s="32"/>
    </row>
    <row r="31" spans="1:99" ht="28.8">
      <c r="A31" s="32"/>
      <c r="B31" s="389">
        <v>20</v>
      </c>
      <c r="C31" s="71"/>
      <c r="D31" s="232" t="s">
        <v>631</v>
      </c>
      <c r="E31" s="50">
        <v>4</v>
      </c>
      <c r="F31" s="69">
        <f>RHEL!D10*3</f>
        <v>92640.147599999997</v>
      </c>
      <c r="G31" s="69">
        <f t="shared" si="6"/>
        <v>4632.00738</v>
      </c>
      <c r="H31" s="69">
        <f t="shared" si="11"/>
        <v>13896.022139999999</v>
      </c>
      <c r="I31" s="77">
        <f t="shared" si="7"/>
        <v>126327.47399999999</v>
      </c>
      <c r="J31" s="391">
        <f t="shared" si="8"/>
        <v>505309.89599999995</v>
      </c>
      <c r="K31" s="81"/>
      <c r="L31" s="81"/>
      <c r="M31" s="81"/>
      <c r="N31" s="58"/>
      <c r="O31" s="32"/>
      <c r="P31" s="313">
        <f t="shared" si="9"/>
        <v>370560.59039999999</v>
      </c>
      <c r="Q31" s="32"/>
      <c r="R31" s="380">
        <f t="shared" si="10"/>
        <v>60637.187519999992</v>
      </c>
      <c r="S31" s="377"/>
      <c r="T31" s="377"/>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32"/>
      <c r="CH31" s="32"/>
      <c r="CI31" s="32"/>
      <c r="CJ31" s="32"/>
      <c r="CK31" s="32"/>
      <c r="CL31" s="32"/>
      <c r="CM31" s="32"/>
      <c r="CN31" s="32"/>
      <c r="CO31" s="32"/>
      <c r="CP31" s="32"/>
      <c r="CQ31" s="32"/>
      <c r="CR31" s="32"/>
      <c r="CS31" s="32"/>
      <c r="CT31" s="32"/>
      <c r="CU31" s="32"/>
    </row>
    <row r="32" spans="1:99">
      <c r="A32" s="32"/>
      <c r="B32" s="389">
        <v>21</v>
      </c>
      <c r="C32" s="71" t="s">
        <v>215</v>
      </c>
      <c r="D32" s="131" t="s">
        <v>220</v>
      </c>
      <c r="E32" s="50">
        <v>1</v>
      </c>
      <c r="F32" s="69">
        <v>9500000</v>
      </c>
      <c r="G32" s="69">
        <f t="shared" si="6"/>
        <v>475000</v>
      </c>
      <c r="H32" s="69">
        <f t="shared" si="11"/>
        <v>1425000</v>
      </c>
      <c r="I32" s="77">
        <f t="shared" si="7"/>
        <v>12954545.454545455</v>
      </c>
      <c r="J32" s="77">
        <f t="shared" si="8"/>
        <v>12954545.454545455</v>
      </c>
      <c r="K32" s="81"/>
      <c r="L32" s="81">
        <f>J32*1.18</f>
        <v>15286363.636363637</v>
      </c>
      <c r="M32" s="81">
        <f>L32-J32</f>
        <v>2331818.1818181816</v>
      </c>
      <c r="N32" s="58"/>
      <c r="O32" s="32"/>
      <c r="P32" s="313">
        <f t="shared" si="9"/>
        <v>9500000</v>
      </c>
      <c r="Q32" s="32"/>
      <c r="R32" s="380">
        <f t="shared" si="10"/>
        <v>1554545.4545454546</v>
      </c>
      <c r="S32" s="377"/>
      <c r="T32" s="377"/>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row>
    <row r="33" spans="2:20" s="32" customFormat="1">
      <c r="B33" s="389">
        <v>22</v>
      </c>
      <c r="C33" s="71" t="s">
        <v>482</v>
      </c>
      <c r="D33" s="94" t="s">
        <v>356</v>
      </c>
      <c r="E33" s="50">
        <v>8</v>
      </c>
      <c r="F33" s="69">
        <f>'Lenovo Quote'!D168</f>
        <v>1746648.7651227501</v>
      </c>
      <c r="G33" s="69">
        <f t="shared" si="6"/>
        <v>87332.43825613751</v>
      </c>
      <c r="H33" s="69">
        <f t="shared" si="11"/>
        <v>261997.3147684125</v>
      </c>
      <c r="I33" s="77">
        <f t="shared" si="7"/>
        <v>2381793.7706219316</v>
      </c>
      <c r="J33" s="77">
        <f t="shared" si="8"/>
        <v>19054350.164975453</v>
      </c>
      <c r="K33" s="81"/>
      <c r="L33" s="81">
        <f>J33*1.18</f>
        <v>22484133.194671035</v>
      </c>
      <c r="M33" s="81">
        <f>L33-J33</f>
        <v>3429783.0296955816</v>
      </c>
      <c r="N33" s="58"/>
      <c r="P33" s="313">
        <f t="shared" si="9"/>
        <v>13973190.120982001</v>
      </c>
      <c r="R33" s="380">
        <f t="shared" si="10"/>
        <v>2286522.0197970541</v>
      </c>
      <c r="S33" s="377"/>
      <c r="T33" s="377"/>
    </row>
    <row r="34" spans="2:20" s="32" customFormat="1">
      <c r="B34" s="389">
        <v>23</v>
      </c>
      <c r="C34" s="71" t="s">
        <v>482</v>
      </c>
      <c r="D34" s="94" t="s">
        <v>788</v>
      </c>
      <c r="E34" s="50">
        <v>1</v>
      </c>
      <c r="F34" s="69">
        <f>'Lenovo Quote'!D169</f>
        <v>2000000</v>
      </c>
      <c r="G34" s="69">
        <f t="shared" si="6"/>
        <v>100000</v>
      </c>
      <c r="H34" s="69">
        <f t="shared" si="11"/>
        <v>300000</v>
      </c>
      <c r="I34" s="77">
        <f t="shared" si="7"/>
        <v>2727272.7272727271</v>
      </c>
      <c r="J34" s="77">
        <f t="shared" si="8"/>
        <v>2727272.7272727271</v>
      </c>
      <c r="K34" s="81"/>
      <c r="L34" s="81">
        <f>J34*1.18</f>
        <v>3218181.8181818179</v>
      </c>
      <c r="M34" s="81">
        <f>L34-J34</f>
        <v>490909.09090909082</v>
      </c>
      <c r="N34" s="58"/>
      <c r="P34" s="313">
        <f t="shared" si="9"/>
        <v>2000000</v>
      </c>
      <c r="R34" s="380">
        <f t="shared" si="10"/>
        <v>327272.72727272724</v>
      </c>
      <c r="S34" s="377"/>
      <c r="T34" s="377"/>
    </row>
    <row r="35" spans="2:20" s="32" customFormat="1">
      <c r="B35" s="389">
        <v>24</v>
      </c>
      <c r="C35" s="71" t="s">
        <v>215</v>
      </c>
      <c r="D35" s="96" t="s">
        <v>925</v>
      </c>
      <c r="E35" s="397">
        <v>1</v>
      </c>
      <c r="F35" s="69">
        <f>(19000*3)*100</f>
        <v>5700000</v>
      </c>
      <c r="G35" s="69">
        <f t="shared" si="6"/>
        <v>285000</v>
      </c>
      <c r="H35" s="69">
        <f t="shared" si="11"/>
        <v>855000</v>
      </c>
      <c r="I35" s="77">
        <f t="shared" si="7"/>
        <v>7772727.2727272725</v>
      </c>
      <c r="J35" s="391">
        <f t="shared" si="8"/>
        <v>7772727.2727272725</v>
      </c>
      <c r="K35" s="81"/>
      <c r="L35" s="81"/>
      <c r="M35" s="81"/>
      <c r="N35" s="58"/>
      <c r="P35" s="313">
        <f>(16000*3)*100</f>
        <v>4800000</v>
      </c>
      <c r="R35" s="380">
        <f t="shared" si="10"/>
        <v>932727.27272727271</v>
      </c>
      <c r="S35" s="377"/>
      <c r="T35" s="377"/>
    </row>
    <row r="36" spans="2:20" s="32" customFormat="1">
      <c r="B36" s="389">
        <v>25</v>
      </c>
      <c r="C36" s="71" t="s">
        <v>215</v>
      </c>
      <c r="D36" s="96" t="s">
        <v>926</v>
      </c>
      <c r="E36" s="397">
        <v>1</v>
      </c>
      <c r="F36" s="69">
        <f>4742000*3</f>
        <v>14226000</v>
      </c>
      <c r="G36" s="69">
        <f t="shared" si="6"/>
        <v>711300</v>
      </c>
      <c r="H36" s="69">
        <f t="shared" si="11"/>
        <v>2133900</v>
      </c>
      <c r="I36" s="77">
        <f t="shared" si="7"/>
        <v>19399090.90909091</v>
      </c>
      <c r="J36" s="77">
        <f t="shared" si="8"/>
        <v>19399090.90909091</v>
      </c>
      <c r="K36" s="81"/>
      <c r="L36" s="81"/>
      <c r="M36" s="81"/>
      <c r="N36" s="58"/>
      <c r="P36" s="313">
        <f t="shared" si="9"/>
        <v>14226000</v>
      </c>
      <c r="R36" s="380">
        <f t="shared" si="10"/>
        <v>2327890.9090909092</v>
      </c>
      <c r="S36" s="377"/>
      <c r="T36" s="377"/>
    </row>
    <row r="37" spans="2:20" s="32" customFormat="1">
      <c r="B37" s="389">
        <v>26</v>
      </c>
      <c r="C37" s="71" t="s">
        <v>215</v>
      </c>
      <c r="D37" s="131" t="s">
        <v>927</v>
      </c>
      <c r="E37" s="50">
        <v>1</v>
      </c>
      <c r="F37" s="69">
        <f>(415*36)*50</f>
        <v>747000</v>
      </c>
      <c r="G37" s="69">
        <f t="shared" si="6"/>
        <v>37350</v>
      </c>
      <c r="H37" s="69">
        <f t="shared" si="11"/>
        <v>112050</v>
      </c>
      <c r="I37" s="77">
        <f t="shared" si="7"/>
        <v>1018636.3636363636</v>
      </c>
      <c r="J37" s="391">
        <f t="shared" si="8"/>
        <v>1018636.3636363636</v>
      </c>
      <c r="K37" s="81"/>
      <c r="L37" s="81"/>
      <c r="M37" s="81"/>
      <c r="N37" s="58"/>
      <c r="P37" s="313">
        <f>(1200*36)*50</f>
        <v>2160000</v>
      </c>
      <c r="R37" s="380">
        <f t="shared" si="10"/>
        <v>122236.36363636363</v>
      </c>
      <c r="S37" s="377"/>
      <c r="T37" s="377"/>
    </row>
    <row r="38" spans="2:20" s="32" customFormat="1">
      <c r="B38" s="389">
        <v>27</v>
      </c>
      <c r="C38" s="71" t="s">
        <v>215</v>
      </c>
      <c r="D38" s="233" t="s">
        <v>928</v>
      </c>
      <c r="E38" s="234">
        <v>1</v>
      </c>
      <c r="F38" s="235">
        <f>(1400*36)*65</f>
        <v>3276000</v>
      </c>
      <c r="G38" s="235">
        <f t="shared" si="6"/>
        <v>163800</v>
      </c>
      <c r="H38" s="235">
        <f t="shared" si="11"/>
        <v>491400</v>
      </c>
      <c r="I38" s="77">
        <f>(SUM(F38:H38)/(1-$E$3))</f>
        <v>4467272.7272727275</v>
      </c>
      <c r="J38" s="391">
        <f t="shared" si="8"/>
        <v>4467272.7272727275</v>
      </c>
      <c r="K38" s="81"/>
      <c r="L38" s="81"/>
      <c r="M38" s="81"/>
      <c r="N38" s="58"/>
      <c r="P38" s="313">
        <f t="shared" si="9"/>
        <v>3276000</v>
      </c>
      <c r="R38" s="380">
        <f t="shared" si="10"/>
        <v>536072.72727272729</v>
      </c>
      <c r="S38" s="377"/>
      <c r="T38" s="377"/>
    </row>
    <row r="39" spans="2:20" s="32" customFormat="1">
      <c r="B39" s="389">
        <v>28</v>
      </c>
      <c r="C39" s="71" t="s">
        <v>215</v>
      </c>
      <c r="D39" s="131" t="s">
        <v>475</v>
      </c>
      <c r="E39" s="50">
        <v>50</v>
      </c>
      <c r="F39" s="69">
        <f>415*36</f>
        <v>14940</v>
      </c>
      <c r="G39" s="69">
        <f t="shared" si="6"/>
        <v>747</v>
      </c>
      <c r="H39" s="69">
        <f t="shared" si="11"/>
        <v>2241</v>
      </c>
      <c r="I39" s="77">
        <f t="shared" si="7"/>
        <v>20372.727272727272</v>
      </c>
      <c r="J39" s="391">
        <f t="shared" si="8"/>
        <v>1018636.3636363636</v>
      </c>
      <c r="K39" s="81"/>
      <c r="L39" s="81"/>
      <c r="M39" s="81"/>
      <c r="N39" s="58"/>
      <c r="P39" s="313">
        <f t="shared" si="9"/>
        <v>747000</v>
      </c>
      <c r="R39" s="380">
        <f t="shared" si="10"/>
        <v>122236.36363636363</v>
      </c>
      <c r="S39" s="377"/>
      <c r="T39" s="377"/>
    </row>
    <row r="40" spans="2:20" s="32" customFormat="1">
      <c r="B40" s="389">
        <v>29</v>
      </c>
      <c r="C40" s="71" t="s">
        <v>215</v>
      </c>
      <c r="D40" s="94" t="s">
        <v>795</v>
      </c>
      <c r="E40" s="50">
        <v>5</v>
      </c>
      <c r="F40" s="69">
        <f>(Cyberdristi!E3)*3</f>
        <v>96000</v>
      </c>
      <c r="G40" s="69">
        <f t="shared" si="6"/>
        <v>4800</v>
      </c>
      <c r="H40" s="69">
        <f t="shared" si="11"/>
        <v>14400</v>
      </c>
      <c r="I40" s="77">
        <f t="shared" si="7"/>
        <v>130909.09090909091</v>
      </c>
      <c r="J40" s="391">
        <f t="shared" si="8"/>
        <v>654545.45454545459</v>
      </c>
      <c r="K40" s="81"/>
      <c r="L40" s="81"/>
      <c r="M40" s="81"/>
      <c r="N40" s="58"/>
      <c r="P40" s="313">
        <f t="shared" si="9"/>
        <v>480000</v>
      </c>
      <c r="R40" s="380">
        <f t="shared" si="10"/>
        <v>78545.454545454544</v>
      </c>
      <c r="S40" s="377"/>
      <c r="T40" s="377"/>
    </row>
    <row r="41" spans="2:20" s="32" customFormat="1">
      <c r="B41" s="389">
        <v>30</v>
      </c>
      <c r="C41" s="71" t="s">
        <v>215</v>
      </c>
      <c r="D41" s="96" t="s">
        <v>929</v>
      </c>
      <c r="E41" s="397">
        <v>65</v>
      </c>
      <c r="F41" s="69">
        <f>(1200*36)</f>
        <v>43200</v>
      </c>
      <c r="G41" s="69">
        <f t="shared" si="6"/>
        <v>2160</v>
      </c>
      <c r="H41" s="69">
        <f t="shared" si="11"/>
        <v>6480</v>
      </c>
      <c r="I41" s="77">
        <f t="shared" si="7"/>
        <v>58909.090909090912</v>
      </c>
      <c r="J41" s="391">
        <f t="shared" si="8"/>
        <v>3829090.9090909092</v>
      </c>
      <c r="K41" s="81"/>
      <c r="L41" s="81"/>
      <c r="M41" s="81"/>
      <c r="N41" s="58"/>
      <c r="P41" s="313">
        <f>(900*36)</f>
        <v>32400</v>
      </c>
      <c r="R41" s="380">
        <f t="shared" si="10"/>
        <v>459490.90909090906</v>
      </c>
      <c r="S41" s="377"/>
      <c r="T41" s="377"/>
    </row>
    <row r="42" spans="2:20" s="32" customFormat="1">
      <c r="B42" s="389">
        <v>31</v>
      </c>
      <c r="C42" s="71" t="s">
        <v>215</v>
      </c>
      <c r="D42" s="233" t="s">
        <v>1021</v>
      </c>
      <c r="E42" s="234">
        <v>1</v>
      </c>
      <c r="F42" s="235">
        <f>(5000*65)*3</f>
        <v>975000</v>
      </c>
      <c r="G42" s="235">
        <f t="shared" si="6"/>
        <v>48750</v>
      </c>
      <c r="H42" s="235">
        <f t="shared" si="11"/>
        <v>146250</v>
      </c>
      <c r="I42" s="77">
        <f t="shared" si="7"/>
        <v>1329545.4545454546</v>
      </c>
      <c r="J42" s="77">
        <f t="shared" si="8"/>
        <v>1329545.4545454546</v>
      </c>
      <c r="K42" s="81"/>
      <c r="L42" s="81"/>
      <c r="M42" s="81"/>
      <c r="N42" s="58"/>
      <c r="P42" s="313">
        <f>((8000/12)*65)*36</f>
        <v>1559999.9999999998</v>
      </c>
      <c r="R42" s="380">
        <f t="shared" si="10"/>
        <v>159545.45454545456</v>
      </c>
      <c r="S42" s="377"/>
      <c r="T42" s="377"/>
    </row>
    <row r="43" spans="2:20" s="32" customFormat="1">
      <c r="B43" s="389">
        <v>32</v>
      </c>
      <c r="C43" s="71" t="s">
        <v>215</v>
      </c>
      <c r="D43" s="131" t="s">
        <v>479</v>
      </c>
      <c r="E43" s="50">
        <v>0</v>
      </c>
      <c r="F43" s="69">
        <f>(600*36)*100</f>
        <v>2160000</v>
      </c>
      <c r="G43" s="69">
        <f t="shared" si="6"/>
        <v>108000</v>
      </c>
      <c r="H43" s="69">
        <f t="shared" si="11"/>
        <v>324000</v>
      </c>
      <c r="I43" s="77">
        <f t="shared" si="7"/>
        <v>2945454.5454545454</v>
      </c>
      <c r="J43" s="391">
        <f t="shared" si="8"/>
        <v>0</v>
      </c>
      <c r="K43" s="81"/>
      <c r="L43" s="81"/>
      <c r="M43" s="81"/>
      <c r="N43" s="58"/>
      <c r="P43" s="313">
        <f>(300*36)*100</f>
        <v>1080000</v>
      </c>
      <c r="R43" s="380">
        <f t="shared" si="10"/>
        <v>0</v>
      </c>
      <c r="S43" s="377"/>
      <c r="T43" s="377"/>
    </row>
    <row r="44" spans="2:20" s="32" customFormat="1">
      <c r="B44" s="389">
        <v>33</v>
      </c>
      <c r="C44" s="71" t="s">
        <v>215</v>
      </c>
      <c r="D44" s="94" t="s">
        <v>943</v>
      </c>
      <c r="E44" s="50">
        <v>10</v>
      </c>
      <c r="F44" s="69">
        <f>3*31500</f>
        <v>94500</v>
      </c>
      <c r="G44" s="69">
        <f t="shared" ref="G44" si="12">F44+(F44*$E$2)</f>
        <v>99225</v>
      </c>
      <c r="H44" s="69">
        <f t="shared" ref="H44" si="13">F44*$E$4+F44</f>
        <v>111510</v>
      </c>
      <c r="I44" s="77">
        <f t="shared" si="7"/>
        <v>346857.95454545453</v>
      </c>
      <c r="J44" s="391">
        <f t="shared" si="8"/>
        <v>3468579.5454545454</v>
      </c>
      <c r="K44" s="81"/>
      <c r="L44" s="81"/>
      <c r="M44" s="58"/>
      <c r="P44" s="313">
        <f t="shared" si="9"/>
        <v>945000</v>
      </c>
      <c r="R44" s="380">
        <f t="shared" si="10"/>
        <v>416229.54545454541</v>
      </c>
      <c r="S44" s="377"/>
      <c r="T44" s="377"/>
    </row>
    <row r="45" spans="2:20" s="32" customFormat="1" hidden="1">
      <c r="B45" s="43">
        <v>33</v>
      </c>
      <c r="C45" s="71" t="s">
        <v>215</v>
      </c>
      <c r="D45" s="300" t="s">
        <v>480</v>
      </c>
      <c r="E45" s="50">
        <v>6</v>
      </c>
      <c r="F45" s="69"/>
      <c r="G45" s="69">
        <f t="shared" si="6"/>
        <v>0</v>
      </c>
      <c r="H45" s="69">
        <f t="shared" si="11"/>
        <v>0</v>
      </c>
      <c r="I45" s="77">
        <f t="shared" si="7"/>
        <v>0</v>
      </c>
      <c r="J45" s="77">
        <f t="shared" si="8"/>
        <v>0</v>
      </c>
      <c r="K45" s="81"/>
      <c r="L45" s="81"/>
      <c r="M45" s="81"/>
      <c r="N45" s="58"/>
      <c r="P45" s="313">
        <f t="shared" si="9"/>
        <v>0</v>
      </c>
      <c r="R45" s="380">
        <f t="shared" si="10"/>
        <v>0</v>
      </c>
      <c r="S45" s="377"/>
      <c r="T45" s="377"/>
    </row>
    <row r="46" spans="2:20" s="32" customFormat="1">
      <c r="B46" s="389">
        <v>34</v>
      </c>
      <c r="C46" s="53" t="s">
        <v>217</v>
      </c>
      <c r="D46" s="95" t="s">
        <v>481</v>
      </c>
      <c r="E46" s="44">
        <v>1</v>
      </c>
      <c r="F46" s="69">
        <f>(1500*36)*30</f>
        <v>1620000</v>
      </c>
      <c r="G46" s="69">
        <f t="shared" si="6"/>
        <v>81000</v>
      </c>
      <c r="H46" s="69">
        <f t="shared" si="11"/>
        <v>243000</v>
      </c>
      <c r="I46" s="77">
        <f t="shared" si="7"/>
        <v>2209090.9090909092</v>
      </c>
      <c r="J46" s="77">
        <f t="shared" si="8"/>
        <v>2209090.9090909092</v>
      </c>
      <c r="K46" s="81"/>
      <c r="L46" s="39"/>
      <c r="M46" s="39"/>
      <c r="N46" s="58"/>
      <c r="P46" s="313">
        <f>(387*36)*65</f>
        <v>905580</v>
      </c>
      <c r="R46" s="380">
        <f t="shared" si="10"/>
        <v>265090.90909090912</v>
      </c>
      <c r="S46" s="377"/>
      <c r="T46" s="377"/>
    </row>
    <row r="47" spans="2:20" s="32" customFormat="1" ht="27.6" customHeight="1">
      <c r="B47" s="562" t="s">
        <v>221</v>
      </c>
      <c r="C47" s="563"/>
      <c r="D47" s="563"/>
      <c r="E47" s="564"/>
      <c r="F47" s="70">
        <f>SUM(F22:F46)</f>
        <v>44019921.973722748</v>
      </c>
      <c r="G47" s="70"/>
      <c r="H47" s="70"/>
      <c r="I47" s="70">
        <f>SUM(I22:I46)</f>
        <v>60245160.645985574</v>
      </c>
      <c r="J47" s="70">
        <f>SUM(J22:J46)</f>
        <v>103296224.41552091</v>
      </c>
      <c r="K47" s="82"/>
      <c r="L47" s="82">
        <f>J47*1.18</f>
        <v>121889544.81031467</v>
      </c>
      <c r="M47" s="82">
        <f>L47-J47</f>
        <v>18593320.394793764</v>
      </c>
      <c r="N47" s="58"/>
      <c r="P47" s="70">
        <f>SUM(P22:P46)</f>
        <v>72839919.571382001</v>
      </c>
      <c r="R47" s="381">
        <f>SUM(R26:R46)</f>
        <v>12395546.929862507</v>
      </c>
    </row>
    <row r="48" spans="2:20" s="32" customFormat="1">
      <c r="B48" s="55"/>
      <c r="C48" s="31"/>
      <c r="D48" s="89"/>
      <c r="J48" s="49"/>
      <c r="K48" s="49"/>
      <c r="L48" s="49"/>
      <c r="M48" s="49"/>
      <c r="N48" s="49"/>
      <c r="P48" s="49"/>
      <c r="R48" s="312"/>
    </row>
    <row r="51" spans="5:11">
      <c r="I51" s="32" t="s">
        <v>939</v>
      </c>
      <c r="J51" s="237">
        <f>J20+J47</f>
        <v>255032960.39724422</v>
      </c>
      <c r="K51" s="231"/>
    </row>
    <row r="52" spans="5:11">
      <c r="E52" s="237">
        <v>254130277.44269878</v>
      </c>
      <c r="I52" s="32" t="s">
        <v>940</v>
      </c>
      <c r="J52" s="237">
        <f>(J51/(1-0.12))+'Monthly Recurring'!H19</f>
        <v>308954409.86959571</v>
      </c>
      <c r="K52" s="231"/>
    </row>
    <row r="53" spans="5:11">
      <c r="E53" s="237">
        <v>224811283.07906243</v>
      </c>
      <c r="J53" s="237">
        <f>J52-J51</f>
        <v>53921449.472351491</v>
      </c>
    </row>
    <row r="54" spans="5:11">
      <c r="E54" s="237">
        <f>E52-E53</f>
        <v>29318994.363636345</v>
      </c>
      <c r="J54" s="237">
        <f>J52*12%</f>
        <v>37074529.184351481</v>
      </c>
    </row>
  </sheetData>
  <mergeCells count="3">
    <mergeCell ref="N7:N8"/>
    <mergeCell ref="B20:E20"/>
    <mergeCell ref="B47:E47"/>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D77F2-AFE6-44EE-82A7-B9AAB2BE2CCA}">
  <sheetPr>
    <tabColor rgb="FFFFC000"/>
  </sheetPr>
  <dimension ref="A1:M50"/>
  <sheetViews>
    <sheetView tabSelected="1" workbookViewId="0"/>
  </sheetViews>
  <sheetFormatPr defaultRowHeight="14.4"/>
  <cols>
    <col min="1" max="1" width="9.21875" bestFit="1" customWidth="1"/>
    <col min="2" max="2" width="23.77734375" customWidth="1"/>
    <col min="3" max="3" width="27.77734375" customWidth="1"/>
    <col min="4" max="4" width="14.77734375" customWidth="1"/>
    <col min="5" max="5" width="18.44140625" bestFit="1" customWidth="1"/>
    <col min="6" max="6" width="31.5546875" bestFit="1" customWidth="1"/>
    <col min="7" max="7" width="4.44140625" bestFit="1" customWidth="1"/>
    <col min="8" max="8" width="12.21875" bestFit="1" customWidth="1"/>
    <col min="9" max="9" width="15.77734375" bestFit="1" customWidth="1"/>
    <col min="10" max="10" width="16.5546875" bestFit="1" customWidth="1"/>
    <col min="11" max="11" width="15.77734375" bestFit="1" customWidth="1"/>
    <col min="12" max="12" width="14" bestFit="1" customWidth="1"/>
    <col min="13" max="13" width="11.5546875" bestFit="1" customWidth="1"/>
  </cols>
  <sheetData>
    <row r="1" spans="1:13">
      <c r="A1" s="18"/>
      <c r="B1" s="18"/>
      <c r="C1" s="315"/>
      <c r="D1" s="315"/>
      <c r="E1" s="388" t="s">
        <v>1022</v>
      </c>
      <c r="F1" s="388">
        <v>36</v>
      </c>
      <c r="J1" t="s">
        <v>982</v>
      </c>
      <c r="K1" s="219">
        <v>0.08</v>
      </c>
    </row>
    <row r="2" spans="1:13" ht="15" thickBot="1">
      <c r="A2" s="18"/>
      <c r="B2" s="18"/>
      <c r="C2" s="315"/>
      <c r="D2" s="315"/>
      <c r="J2" t="s">
        <v>983</v>
      </c>
      <c r="K2" s="316">
        <f>C11-SUM(C9:C10)</f>
        <v>265459201.39390489</v>
      </c>
    </row>
    <row r="3" spans="1:13" ht="18.600000000000001" thickBot="1">
      <c r="A3" s="18"/>
      <c r="B3" s="566" t="s">
        <v>984</v>
      </c>
      <c r="C3" s="567"/>
      <c r="D3" s="568"/>
      <c r="F3" s="317" t="s">
        <v>985</v>
      </c>
      <c r="J3" t="s">
        <v>986</v>
      </c>
      <c r="K3" s="316">
        <f>SUM(C13:C18)-SUM(C16:C17)</f>
        <v>221567428.72877884</v>
      </c>
    </row>
    <row r="4" spans="1:13" ht="15" thickBot="1">
      <c r="A4" s="18"/>
      <c r="B4" s="318" t="s">
        <v>987</v>
      </c>
      <c r="C4" s="319" t="s">
        <v>988</v>
      </c>
      <c r="D4" s="320" t="s">
        <v>989</v>
      </c>
      <c r="F4" s="321" t="s">
        <v>990</v>
      </c>
      <c r="G4" s="321" t="s">
        <v>991</v>
      </c>
      <c r="H4" s="321" t="s">
        <v>992</v>
      </c>
      <c r="I4" s="321" t="s">
        <v>993</v>
      </c>
      <c r="J4" s="321" t="s">
        <v>994</v>
      </c>
      <c r="K4" s="321" t="s">
        <v>995</v>
      </c>
      <c r="L4" s="321" t="s">
        <v>996</v>
      </c>
    </row>
    <row r="5" spans="1:13">
      <c r="A5" s="18"/>
      <c r="B5" s="368" t="s">
        <v>997</v>
      </c>
      <c r="C5" s="618"/>
      <c r="D5" s="619"/>
      <c r="F5" s="324" t="s">
        <v>998</v>
      </c>
      <c r="G5" s="325">
        <v>0.4</v>
      </c>
      <c r="H5" s="321">
        <v>2</v>
      </c>
      <c r="I5" s="326">
        <f>$K$2*G5</f>
        <v>106183680.55756196</v>
      </c>
      <c r="J5" s="326">
        <f>-K3</f>
        <v>-221567428.72877884</v>
      </c>
      <c r="K5" s="326">
        <f>SUM(I5:J5)</f>
        <v>-115383748.17121688</v>
      </c>
      <c r="L5" s="326">
        <f>K5*K1*H5/12</f>
        <v>-1538449.975616225</v>
      </c>
      <c r="M5" s="60"/>
    </row>
    <row r="6" spans="1:13">
      <c r="A6" s="18"/>
      <c r="B6" s="327" t="s">
        <v>999</v>
      </c>
      <c r="C6" s="328">
        <f>Working!K20</f>
        <v>175685511.09185743</v>
      </c>
      <c r="D6" s="569">
        <f>SUM(C6:C8)/C11</f>
        <v>0.93273367201626367</v>
      </c>
      <c r="F6" s="324" t="s">
        <v>1000</v>
      </c>
      <c r="G6" s="325">
        <v>0.5</v>
      </c>
      <c r="H6" s="321">
        <v>3</v>
      </c>
      <c r="I6" s="326">
        <f t="shared" ref="I6:I7" si="0">$K$2*G6</f>
        <v>132729600.69695245</v>
      </c>
      <c r="J6" s="326"/>
      <c r="K6" s="326">
        <f>K5+I6</f>
        <v>17345852.525735572</v>
      </c>
      <c r="L6" s="326"/>
      <c r="M6" s="60"/>
    </row>
    <row r="7" spans="1:13" ht="28.8">
      <c r="A7" s="18"/>
      <c r="B7" s="327" t="s">
        <v>1001</v>
      </c>
      <c r="C7" s="328">
        <f>Working!K48</f>
        <v>88333690.302047387</v>
      </c>
      <c r="D7" s="569"/>
      <c r="F7" s="330" t="s">
        <v>1002</v>
      </c>
      <c r="G7" s="325">
        <v>0.1</v>
      </c>
      <c r="H7" s="321">
        <v>6</v>
      </c>
      <c r="I7" s="326">
        <f t="shared" si="0"/>
        <v>26545920.139390491</v>
      </c>
      <c r="J7" s="326"/>
      <c r="K7" s="326">
        <f>K6+I7</f>
        <v>43891772.665126063</v>
      </c>
      <c r="L7" s="326"/>
    </row>
    <row r="8" spans="1:13">
      <c r="A8" s="18"/>
      <c r="B8" s="620" t="s">
        <v>1370</v>
      </c>
      <c r="C8" s="615">
        <f>F19</f>
        <v>1440000.0000000596</v>
      </c>
      <c r="D8" s="569"/>
      <c r="F8" s="570" t="s">
        <v>1003</v>
      </c>
      <c r="G8" s="571"/>
      <c r="H8" s="571"/>
      <c r="I8" s="572"/>
      <c r="J8" s="332"/>
      <c r="K8" s="321"/>
      <c r="L8" s="326">
        <f>SUM(L5:L7)</f>
        <v>-1538449.975616225</v>
      </c>
      <c r="M8" s="60"/>
    </row>
    <row r="9" spans="1:13">
      <c r="A9" s="333"/>
      <c r="B9" s="387" t="s">
        <v>616</v>
      </c>
      <c r="C9" s="328">
        <f>'Monthly Recurring'!I17</f>
        <v>0</v>
      </c>
      <c r="D9" s="329"/>
      <c r="E9" s="337"/>
    </row>
    <row r="10" spans="1:13">
      <c r="A10" s="18"/>
      <c r="B10" s="331" t="s">
        <v>626</v>
      </c>
      <c r="C10" s="328">
        <f>'Monthly Recurring'!H17*F1</f>
        <v>19144227.599999998</v>
      </c>
      <c r="D10" s="329"/>
    </row>
    <row r="11" spans="1:13" ht="15" thickBot="1">
      <c r="A11" s="339"/>
      <c r="B11" s="621" t="s">
        <v>1004</v>
      </c>
      <c r="C11" s="622">
        <f>SUM(C6:C10)</f>
        <v>284603428.99390489</v>
      </c>
      <c r="D11" s="623"/>
      <c r="F11" s="573" t="s">
        <v>1005</v>
      </c>
      <c r="G11" s="574"/>
      <c r="H11" s="574"/>
      <c r="I11" s="575"/>
    </row>
    <row r="12" spans="1:13" ht="15" customHeight="1">
      <c r="A12" s="18"/>
      <c r="B12" s="322" t="s">
        <v>981</v>
      </c>
      <c r="C12" s="323"/>
      <c r="D12" s="338"/>
      <c r="F12" s="519" t="s">
        <v>1020</v>
      </c>
      <c r="G12" s="519"/>
      <c r="H12" s="519"/>
      <c r="I12" s="519"/>
    </row>
    <row r="13" spans="1:13">
      <c r="A13" s="18"/>
      <c r="B13" s="327" t="s">
        <v>999</v>
      </c>
      <c r="C13" s="340">
        <f>Working!Q20</f>
        <v>114069320.31252401</v>
      </c>
      <c r="D13" s="341"/>
      <c r="E13" s="316"/>
      <c r="F13" s="519"/>
      <c r="G13" s="519"/>
      <c r="H13" s="519"/>
      <c r="I13" s="519"/>
    </row>
    <row r="14" spans="1:13">
      <c r="A14" s="343"/>
      <c r="B14" s="327" t="s">
        <v>1001</v>
      </c>
      <c r="C14" s="340">
        <f>Working!Q48</f>
        <v>56651595.953882001</v>
      </c>
      <c r="D14" s="341"/>
      <c r="E14" s="337"/>
      <c r="F14" s="565"/>
      <c r="G14" s="565"/>
      <c r="H14" s="565"/>
      <c r="I14" s="565"/>
    </row>
    <row r="15" spans="1:13">
      <c r="A15" s="343"/>
      <c r="B15" s="616" t="s">
        <v>1370</v>
      </c>
      <c r="C15" s="617">
        <f>C8*0.8</f>
        <v>1152000.0000000477</v>
      </c>
      <c r="D15" s="341"/>
      <c r="E15" s="337"/>
      <c r="F15" s="504"/>
      <c r="G15" s="504"/>
      <c r="H15" s="504"/>
      <c r="I15" s="504"/>
    </row>
    <row r="16" spans="1:13">
      <c r="A16" s="343"/>
      <c r="B16" s="387" t="s">
        <v>616</v>
      </c>
      <c r="C16" s="340"/>
      <c r="D16" s="341"/>
      <c r="E16" s="337"/>
      <c r="F16" s="504"/>
      <c r="G16" s="504"/>
      <c r="H16" s="504"/>
      <c r="I16" s="504"/>
    </row>
    <row r="17" spans="1:6">
      <c r="A17" s="45"/>
      <c r="B17" s="331" t="s">
        <v>626</v>
      </c>
      <c r="C17" s="342">
        <f>'Monthly Recurring'!S16*F1</f>
        <v>7075301.9240914937</v>
      </c>
      <c r="D17" s="341"/>
      <c r="F17" s="316"/>
    </row>
    <row r="18" spans="1:6">
      <c r="A18" s="18"/>
      <c r="B18" s="331" t="s">
        <v>935</v>
      </c>
      <c r="C18" s="328">
        <f>Working!S20+Working!S48</f>
        <v>49694512.46237278</v>
      </c>
      <c r="D18" s="341"/>
      <c r="F18" t="s">
        <v>1369</v>
      </c>
    </row>
    <row r="19" spans="1:6" s="350" customFormat="1">
      <c r="A19" s="346"/>
      <c r="B19" s="334" t="s">
        <v>1006</v>
      </c>
      <c r="C19" s="335">
        <f>SUM(C13:C18)</f>
        <v>228642730.65287033</v>
      </c>
      <c r="D19" s="336"/>
      <c r="E19"/>
      <c r="F19" s="316">
        <v>1440000.0000000596</v>
      </c>
    </row>
    <row r="20" spans="1:6">
      <c r="A20" s="18"/>
      <c r="B20" s="344" t="s">
        <v>1007</v>
      </c>
      <c r="C20" s="323">
        <f>C11-C19</f>
        <v>55960698.341034561</v>
      </c>
      <c r="D20" s="345"/>
    </row>
    <row r="21" spans="1:6">
      <c r="A21" s="18"/>
      <c r="B21" s="347" t="s">
        <v>1368</v>
      </c>
      <c r="C21" s="348">
        <f>(C19-SUM(C16:C18))*D21</f>
        <v>17187291.626640607</v>
      </c>
      <c r="D21" s="349">
        <v>0.1</v>
      </c>
    </row>
    <row r="22" spans="1:6">
      <c r="A22" s="18"/>
      <c r="B22" s="347" t="s">
        <v>1367</v>
      </c>
      <c r="C22" s="348">
        <f>SUM(C16:C17)*D22</f>
        <v>2476355.6734320228</v>
      </c>
      <c r="D22" s="349">
        <v>0.35</v>
      </c>
    </row>
    <row r="23" spans="1:6" ht="15" thickBot="1">
      <c r="A23" s="356"/>
      <c r="B23" s="351" t="s">
        <v>1008</v>
      </c>
      <c r="C23" s="352">
        <f>C20-SUM(C21:C22)</f>
        <v>36297051.040961936</v>
      </c>
      <c r="D23" s="353">
        <f>C23/C11</f>
        <v>0.12753553662116726</v>
      </c>
    </row>
    <row r="24" spans="1:6" ht="15" thickTop="1">
      <c r="A24" s="18"/>
      <c r="B24" s="331"/>
      <c r="C24" s="354"/>
      <c r="D24" s="355"/>
    </row>
    <row r="25" spans="1:6" ht="28.8">
      <c r="A25" s="18"/>
      <c r="B25" s="347" t="s">
        <v>1009</v>
      </c>
      <c r="C25" s="348">
        <f>L8</f>
        <v>-1538449.975616225</v>
      </c>
      <c r="D25" s="341"/>
    </row>
    <row r="26" spans="1:6" ht="15" thickBot="1">
      <c r="A26" s="18"/>
      <c r="B26" s="357" t="s">
        <v>1010</v>
      </c>
      <c r="C26" s="352">
        <f>SUM(C23:C25)</f>
        <v>34758601.065345712</v>
      </c>
      <c r="D26" s="358">
        <f>C26/C11</f>
        <v>0.12212994477339943</v>
      </c>
    </row>
    <row r="27" spans="1:6" ht="15" thickTop="1">
      <c r="A27" s="18"/>
      <c r="B27" s="359"/>
      <c r="C27" s="360"/>
      <c r="D27" s="361"/>
    </row>
    <row r="28" spans="1:6">
      <c r="A28" s="18"/>
      <c r="B28" s="362" t="s">
        <v>208</v>
      </c>
      <c r="C28" s="363">
        <f>C20/C11</f>
        <v>0.19662692940439949</v>
      </c>
      <c r="D28" s="361"/>
    </row>
    <row r="29" spans="1:6">
      <c r="A29" s="18"/>
      <c r="B29" s="362" t="s">
        <v>1011</v>
      </c>
      <c r="C29" s="363">
        <f>C26/C11</f>
        <v>0.12212994477339943</v>
      </c>
      <c r="D29" s="361"/>
    </row>
    <row r="30" spans="1:6">
      <c r="A30" s="18"/>
      <c r="B30" s="362" t="s">
        <v>1012</v>
      </c>
      <c r="C30" s="364">
        <f>(C11-C19)/C19</f>
        <v>0.24475170577802075</v>
      </c>
      <c r="D30" s="361"/>
    </row>
    <row r="31" spans="1:6">
      <c r="A31" s="18"/>
      <c r="B31" s="359"/>
      <c r="C31" s="365"/>
      <c r="D31" s="361"/>
    </row>
    <row r="32" spans="1:6">
      <c r="A32" s="18"/>
      <c r="B32" s="359"/>
      <c r="C32" s="365"/>
      <c r="D32" s="361"/>
    </row>
    <row r="33" spans="1:4">
      <c r="A33" s="18"/>
      <c r="B33" s="359"/>
      <c r="C33" s="360"/>
      <c r="D33" s="361"/>
    </row>
    <row r="34" spans="1:4">
      <c r="A34" s="18"/>
      <c r="B34" s="359"/>
      <c r="C34" s="360"/>
      <c r="D34" s="361"/>
    </row>
    <row r="35" spans="1:4" ht="15" thickBot="1">
      <c r="A35" s="18"/>
      <c r="B35" s="366"/>
      <c r="C35" s="367"/>
      <c r="D35" s="367"/>
    </row>
    <row r="36" spans="1:4" ht="43.2">
      <c r="A36" s="18"/>
      <c r="B36" s="368" t="s">
        <v>1013</v>
      </c>
      <c r="C36" s="369">
        <f>(C11-C19)/C19</f>
        <v>0.24475170577802075</v>
      </c>
      <c r="D36" s="369"/>
    </row>
    <row r="37" spans="1:4" ht="58.2" thickBot="1">
      <c r="A37" s="18"/>
      <c r="B37" s="370" t="s">
        <v>1014</v>
      </c>
      <c r="C37" s="371">
        <f>(C11-C19)/C11</f>
        <v>0.19662692940439949</v>
      </c>
      <c r="D37" s="371"/>
    </row>
    <row r="38" spans="1:4">
      <c r="A38" s="18"/>
      <c r="B38" s="18"/>
      <c r="C38" s="372"/>
      <c r="D38" s="373"/>
    </row>
    <row r="39" spans="1:4">
      <c r="A39" s="18"/>
      <c r="B39" s="18"/>
      <c r="C39" s="372"/>
      <c r="D39" s="373"/>
    </row>
    <row r="40" spans="1:4">
      <c r="A40" s="18"/>
      <c r="B40" s="18"/>
      <c r="C40" s="372"/>
      <c r="D40" s="373"/>
    </row>
    <row r="41" spans="1:4">
      <c r="A41" s="18"/>
      <c r="B41" s="18"/>
      <c r="C41" s="372"/>
      <c r="D41" s="373"/>
    </row>
    <row r="42" spans="1:4">
      <c r="A42" s="18"/>
      <c r="B42" s="18"/>
      <c r="C42" s="372"/>
      <c r="D42" s="373"/>
    </row>
    <row r="43" spans="1:4">
      <c r="A43" s="18"/>
      <c r="B43" s="18"/>
      <c r="C43" s="372"/>
      <c r="D43" s="373"/>
    </row>
    <row r="44" spans="1:4" ht="28.8">
      <c r="A44" s="18"/>
      <c r="B44" s="18" t="s">
        <v>1015</v>
      </c>
      <c r="C44" s="374"/>
      <c r="D44" s="375"/>
    </row>
    <row r="45" spans="1:4" ht="28.8">
      <c r="A45" s="18"/>
      <c r="B45" s="18" t="s">
        <v>1016</v>
      </c>
      <c r="C45" s="361"/>
      <c r="D45" s="361"/>
    </row>
    <row r="46" spans="1:4" ht="57.6">
      <c r="A46" s="18"/>
      <c r="B46" s="18" t="s">
        <v>1017</v>
      </c>
      <c r="C46" s="376"/>
      <c r="D46" s="376"/>
    </row>
    <row r="47" spans="1:4">
      <c r="A47" s="18"/>
      <c r="B47" s="18" t="s">
        <v>1018</v>
      </c>
      <c r="C47" s="315"/>
      <c r="D47" s="315"/>
    </row>
    <row r="48" spans="1:4">
      <c r="A48" s="18"/>
      <c r="B48" s="18" t="s">
        <v>1019</v>
      </c>
      <c r="C48" s="315"/>
      <c r="D48" s="315"/>
    </row>
    <row r="49" spans="2:4">
      <c r="B49" s="18"/>
      <c r="C49" s="315"/>
      <c r="D49" s="315"/>
    </row>
    <row r="50" spans="2:4">
      <c r="B50" s="18"/>
      <c r="C50" s="315"/>
      <c r="D50" s="315"/>
    </row>
  </sheetData>
  <mergeCells count="6">
    <mergeCell ref="F14:I14"/>
    <mergeCell ref="B3:D3"/>
    <mergeCell ref="D6:D8"/>
    <mergeCell ref="F8:I8"/>
    <mergeCell ref="F11:I11"/>
    <mergeCell ref="F12:I13"/>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876E8-EB05-4DBE-893A-93687AFA6FB6}">
  <sheetPr codeName="Sheet10"/>
  <dimension ref="A1:F235"/>
  <sheetViews>
    <sheetView topLeftCell="A100" workbookViewId="0">
      <selection activeCell="D91" sqref="D91"/>
    </sheetView>
  </sheetViews>
  <sheetFormatPr defaultRowHeight="14.4"/>
  <cols>
    <col min="1" max="1" width="8.77734375" style="24"/>
    <col min="2" max="2" width="57.21875" bestFit="1" customWidth="1"/>
    <col min="3" max="3" width="8.77734375" bestFit="1" customWidth="1"/>
    <col min="4" max="4" width="87.77734375" style="24" bestFit="1" customWidth="1"/>
    <col min="5" max="5" width="27.5546875" style="24" customWidth="1"/>
    <col min="6" max="6" width="25.21875" style="24" customWidth="1"/>
    <col min="7" max="7" width="14" customWidth="1"/>
    <col min="8" max="8" width="66" customWidth="1"/>
  </cols>
  <sheetData>
    <row r="1" spans="1:6" ht="15.6">
      <c r="A1" s="52"/>
      <c r="B1" s="51"/>
      <c r="C1" s="51"/>
      <c r="D1" s="52"/>
      <c r="E1" s="52"/>
      <c r="F1" s="52"/>
    </row>
    <row r="2" spans="1:6" ht="15.6">
      <c r="A2" s="52"/>
      <c r="B2" s="84" t="s">
        <v>222</v>
      </c>
      <c r="C2" s="84" t="s">
        <v>21</v>
      </c>
      <c r="D2" s="84" t="s">
        <v>223</v>
      </c>
      <c r="E2" s="84" t="s">
        <v>224</v>
      </c>
      <c r="F2" s="52"/>
    </row>
    <row r="3" spans="1:6" ht="15.6">
      <c r="A3" s="52"/>
      <c r="B3" s="85" t="s">
        <v>225</v>
      </c>
      <c r="C3" s="85" t="s">
        <v>226</v>
      </c>
      <c r="D3" s="85" t="s">
        <v>227</v>
      </c>
      <c r="E3" s="85" t="s">
        <v>227</v>
      </c>
      <c r="F3" s="52"/>
    </row>
    <row r="4" spans="1:6" ht="15.6">
      <c r="A4" s="52"/>
      <c r="B4" s="85" t="s">
        <v>227</v>
      </c>
      <c r="C4" s="85" t="s">
        <v>227</v>
      </c>
      <c r="D4" s="85" t="s">
        <v>213</v>
      </c>
      <c r="E4" s="85" t="s">
        <v>226</v>
      </c>
      <c r="F4" s="52"/>
    </row>
    <row r="5" spans="1:6" ht="15.6">
      <c r="A5" s="52"/>
      <c r="B5" s="85" t="s">
        <v>227</v>
      </c>
      <c r="C5" s="85" t="s">
        <v>227</v>
      </c>
      <c r="D5" s="85" t="s">
        <v>228</v>
      </c>
      <c r="E5" s="85" t="s">
        <v>226</v>
      </c>
      <c r="F5" s="52"/>
    </row>
    <row r="6" spans="1:6" ht="15.6">
      <c r="A6" s="52"/>
      <c r="B6" s="85" t="s">
        <v>227</v>
      </c>
      <c r="C6" s="85" t="s">
        <v>227</v>
      </c>
      <c r="D6" s="85" t="s">
        <v>229</v>
      </c>
      <c r="E6" s="85" t="s">
        <v>226</v>
      </c>
      <c r="F6" s="52"/>
    </row>
    <row r="7" spans="1:6" ht="15.6">
      <c r="A7" s="52"/>
      <c r="B7" s="85" t="s">
        <v>227</v>
      </c>
      <c r="C7" s="85" t="s">
        <v>227</v>
      </c>
      <c r="D7" s="85" t="s">
        <v>230</v>
      </c>
      <c r="E7" s="85" t="s">
        <v>226</v>
      </c>
      <c r="F7" s="52"/>
    </row>
    <row r="8" spans="1:6" ht="15.6">
      <c r="A8" s="52"/>
      <c r="B8" s="85" t="s">
        <v>227</v>
      </c>
      <c r="C8" s="85" t="s">
        <v>227</v>
      </c>
      <c r="D8" s="85" t="s">
        <v>231</v>
      </c>
      <c r="E8" s="85" t="s">
        <v>226</v>
      </c>
      <c r="F8" s="52"/>
    </row>
    <row r="9" spans="1:6" ht="15.6">
      <c r="A9" s="52"/>
      <c r="B9" s="85" t="s">
        <v>227</v>
      </c>
      <c r="C9" s="85" t="s">
        <v>227</v>
      </c>
      <c r="D9" s="85" t="s">
        <v>232</v>
      </c>
      <c r="E9" s="85" t="s">
        <v>226</v>
      </c>
      <c r="F9" s="52"/>
    </row>
    <row r="10" spans="1:6" ht="15.6">
      <c r="A10" s="52"/>
      <c r="B10" s="85" t="s">
        <v>227</v>
      </c>
      <c r="C10" s="85" t="s">
        <v>227</v>
      </c>
      <c r="D10" s="85" t="s">
        <v>233</v>
      </c>
      <c r="E10" s="85" t="s">
        <v>226</v>
      </c>
      <c r="F10" s="52"/>
    </row>
    <row r="11" spans="1:6" ht="15.6">
      <c r="A11" s="52"/>
      <c r="B11" s="85" t="s">
        <v>227</v>
      </c>
      <c r="C11" s="85" t="s">
        <v>227</v>
      </c>
      <c r="D11" s="85" t="s">
        <v>234</v>
      </c>
      <c r="E11" s="85" t="s">
        <v>235</v>
      </c>
      <c r="F11" s="52"/>
    </row>
    <row r="12" spans="1:6" ht="15.6">
      <c r="A12" s="52"/>
      <c r="B12" s="85" t="s">
        <v>227</v>
      </c>
      <c r="C12" s="85" t="s">
        <v>227</v>
      </c>
      <c r="D12" s="85" t="s">
        <v>236</v>
      </c>
      <c r="E12" s="85" t="s">
        <v>237</v>
      </c>
      <c r="F12" s="52"/>
    </row>
    <row r="13" spans="1:6" ht="15.6">
      <c r="A13" s="52"/>
      <c r="B13" s="85" t="s">
        <v>227</v>
      </c>
      <c r="C13" s="85" t="s">
        <v>227</v>
      </c>
      <c r="D13" s="85" t="s">
        <v>238</v>
      </c>
      <c r="E13" s="85" t="s">
        <v>226</v>
      </c>
      <c r="F13" s="52"/>
    </row>
    <row r="14" spans="1:6" ht="15.6">
      <c r="A14" s="52"/>
      <c r="B14" s="85" t="s">
        <v>227</v>
      </c>
      <c r="C14" s="85" t="s">
        <v>227</v>
      </c>
      <c r="D14" s="85" t="s">
        <v>239</v>
      </c>
      <c r="E14" s="85" t="s">
        <v>226</v>
      </c>
      <c r="F14" s="52"/>
    </row>
    <row r="15" spans="1:6" ht="15.6">
      <c r="A15" s="52"/>
      <c r="B15" s="85" t="s">
        <v>227</v>
      </c>
      <c r="C15" s="85" t="s">
        <v>227</v>
      </c>
      <c r="D15" s="85" t="s">
        <v>240</v>
      </c>
      <c r="E15" s="85" t="s">
        <v>241</v>
      </c>
      <c r="F15" s="52"/>
    </row>
    <row r="16" spans="1:6" ht="15.6">
      <c r="A16" s="52"/>
      <c r="B16" s="85" t="s">
        <v>227</v>
      </c>
      <c r="C16" s="85" t="s">
        <v>227</v>
      </c>
      <c r="D16" s="85" t="s">
        <v>242</v>
      </c>
      <c r="E16" s="85" t="s">
        <v>226</v>
      </c>
      <c r="F16" s="52"/>
    </row>
    <row r="17" spans="1:6" ht="15.6">
      <c r="A17" s="52"/>
      <c r="B17" s="85" t="s">
        <v>227</v>
      </c>
      <c r="C17" s="85" t="s">
        <v>227</v>
      </c>
      <c r="D17" s="85" t="s">
        <v>243</v>
      </c>
      <c r="E17" s="85" t="s">
        <v>226</v>
      </c>
      <c r="F17" s="52"/>
    </row>
    <row r="18" spans="1:6" ht="15.6">
      <c r="A18" s="52"/>
      <c r="B18" s="85" t="s">
        <v>227</v>
      </c>
      <c r="C18" s="85" t="s">
        <v>227</v>
      </c>
      <c r="D18" s="85" t="s">
        <v>244</v>
      </c>
      <c r="E18" s="85" t="s">
        <v>235</v>
      </c>
      <c r="F18" s="52"/>
    </row>
    <row r="19" spans="1:6" ht="15.6">
      <c r="A19" s="52"/>
      <c r="B19" s="85" t="s">
        <v>227</v>
      </c>
      <c r="C19" s="85" t="s">
        <v>227</v>
      </c>
      <c r="D19" s="85" t="s">
        <v>245</v>
      </c>
      <c r="E19" s="85" t="s">
        <v>226</v>
      </c>
      <c r="F19" s="52"/>
    </row>
    <row r="20" spans="1:6" ht="15.6">
      <c r="A20" s="52"/>
      <c r="B20" s="85" t="s">
        <v>227</v>
      </c>
      <c r="C20" s="85" t="s">
        <v>227</v>
      </c>
      <c r="D20" s="85" t="s">
        <v>246</v>
      </c>
      <c r="E20" s="85" t="s">
        <v>235</v>
      </c>
      <c r="F20" s="52"/>
    </row>
    <row r="21" spans="1:6" ht="15.6">
      <c r="A21" s="52"/>
      <c r="B21" s="85" t="s">
        <v>227</v>
      </c>
      <c r="C21" s="85" t="s">
        <v>227</v>
      </c>
      <c r="D21" s="85" t="s">
        <v>247</v>
      </c>
      <c r="E21" s="85" t="s">
        <v>226</v>
      </c>
      <c r="F21" s="52"/>
    </row>
    <row r="22" spans="1:6" ht="15.6">
      <c r="A22" s="52"/>
      <c r="B22" s="85" t="s">
        <v>227</v>
      </c>
      <c r="C22" s="85" t="s">
        <v>227</v>
      </c>
      <c r="D22" s="85" t="s">
        <v>248</v>
      </c>
      <c r="E22" s="85" t="s">
        <v>226</v>
      </c>
      <c r="F22" s="52"/>
    </row>
    <row r="23" spans="1:6" ht="15.6">
      <c r="A23" s="52"/>
      <c r="B23" s="85" t="s">
        <v>227</v>
      </c>
      <c r="C23" s="85" t="s">
        <v>227</v>
      </c>
      <c r="D23" s="85" t="s">
        <v>249</v>
      </c>
      <c r="E23" s="85" t="s">
        <v>235</v>
      </c>
      <c r="F23" s="52"/>
    </row>
    <row r="24" spans="1:6" ht="15.6">
      <c r="A24" s="52"/>
      <c r="B24" s="85" t="s">
        <v>227</v>
      </c>
      <c r="C24" s="85" t="s">
        <v>227</v>
      </c>
      <c r="D24" s="85" t="s">
        <v>250</v>
      </c>
      <c r="E24" s="85" t="s">
        <v>235</v>
      </c>
      <c r="F24" s="52"/>
    </row>
    <row r="25" spans="1:6" ht="15.6">
      <c r="A25" s="52"/>
      <c r="B25" s="85" t="s">
        <v>227</v>
      </c>
      <c r="C25" s="85" t="s">
        <v>227</v>
      </c>
      <c r="D25" s="85" t="s">
        <v>251</v>
      </c>
      <c r="E25" s="85" t="s">
        <v>226</v>
      </c>
      <c r="F25" s="52"/>
    </row>
    <row r="26" spans="1:6" ht="15.6">
      <c r="A26" s="52"/>
      <c r="B26" s="85" t="s">
        <v>227</v>
      </c>
      <c r="C26" s="85" t="s">
        <v>227</v>
      </c>
      <c r="D26" s="85" t="s">
        <v>252</v>
      </c>
      <c r="E26" s="85" t="s">
        <v>226</v>
      </c>
      <c r="F26" s="52"/>
    </row>
    <row r="27" spans="1:6" ht="15.6">
      <c r="A27" s="52"/>
      <c r="B27" s="85" t="s">
        <v>227</v>
      </c>
      <c r="C27" s="85" t="s">
        <v>227</v>
      </c>
      <c r="D27" s="85" t="s">
        <v>253</v>
      </c>
      <c r="E27" s="85" t="s">
        <v>254</v>
      </c>
      <c r="F27" s="52"/>
    </row>
    <row r="28" spans="1:6" ht="15.6">
      <c r="A28" s="52"/>
      <c r="B28" s="85" t="s">
        <v>227</v>
      </c>
      <c r="C28" s="85" t="s">
        <v>227</v>
      </c>
      <c r="D28" s="85" t="s">
        <v>255</v>
      </c>
      <c r="E28" s="85" t="s">
        <v>226</v>
      </c>
      <c r="F28" s="52"/>
    </row>
    <row r="29" spans="1:6" ht="15.6">
      <c r="A29" s="52"/>
      <c r="B29" s="85" t="s">
        <v>227</v>
      </c>
      <c r="C29" s="85" t="s">
        <v>227</v>
      </c>
      <c r="D29" s="85" t="s">
        <v>256</v>
      </c>
      <c r="E29" s="85" t="s">
        <v>226</v>
      </c>
      <c r="F29" s="52"/>
    </row>
    <row r="30" spans="1:6" ht="15.6">
      <c r="A30" s="52"/>
      <c r="B30" s="85" t="s">
        <v>227</v>
      </c>
      <c r="C30" s="85" t="s">
        <v>227</v>
      </c>
      <c r="D30" s="85" t="s">
        <v>257</v>
      </c>
      <c r="E30" s="85" t="s">
        <v>226</v>
      </c>
      <c r="F30" s="52"/>
    </row>
    <row r="31" spans="1:6" ht="15.6">
      <c r="A31" s="52"/>
      <c r="B31" s="85" t="s">
        <v>227</v>
      </c>
      <c r="C31" s="85" t="s">
        <v>227</v>
      </c>
      <c r="D31" s="85" t="s">
        <v>258</v>
      </c>
      <c r="E31" s="85" t="s">
        <v>226</v>
      </c>
      <c r="F31" s="52"/>
    </row>
    <row r="32" spans="1:6" ht="15.6">
      <c r="A32" s="52"/>
      <c r="B32" s="85" t="s">
        <v>227</v>
      </c>
      <c r="C32" s="85" t="s">
        <v>227</v>
      </c>
      <c r="D32" s="85" t="s">
        <v>259</v>
      </c>
      <c r="E32" s="85" t="s">
        <v>226</v>
      </c>
      <c r="F32" s="52"/>
    </row>
    <row r="33" spans="1:6" ht="15.6">
      <c r="A33" s="52"/>
      <c r="B33" s="85" t="s">
        <v>227</v>
      </c>
      <c r="C33" s="85" t="s">
        <v>227</v>
      </c>
      <c r="D33" s="85" t="s">
        <v>260</v>
      </c>
      <c r="E33" s="85" t="s">
        <v>226</v>
      </c>
      <c r="F33" s="52"/>
    </row>
    <row r="34" spans="1:6" ht="15.6">
      <c r="A34" s="52"/>
      <c r="B34" s="85" t="s">
        <v>227</v>
      </c>
      <c r="C34" s="85" t="s">
        <v>227</v>
      </c>
      <c r="D34" s="85" t="s">
        <v>261</v>
      </c>
      <c r="E34" s="85" t="s">
        <v>226</v>
      </c>
      <c r="F34" s="52"/>
    </row>
    <row r="35" spans="1:6" ht="15.6">
      <c r="A35" s="52"/>
      <c r="B35" s="85" t="s">
        <v>227</v>
      </c>
      <c r="C35" s="85" t="s">
        <v>227</v>
      </c>
      <c r="D35" s="85" t="s">
        <v>262</v>
      </c>
      <c r="E35" s="85" t="s">
        <v>226</v>
      </c>
      <c r="F35" s="52"/>
    </row>
    <row r="36" spans="1:6" ht="15.6">
      <c r="A36" s="52"/>
      <c r="B36" s="85" t="s">
        <v>227</v>
      </c>
      <c r="C36" s="85" t="s">
        <v>227</v>
      </c>
      <c r="D36" s="85" t="s">
        <v>263</v>
      </c>
      <c r="E36" s="85" t="s">
        <v>264</v>
      </c>
      <c r="F36" s="52"/>
    </row>
    <row r="37" spans="1:6" ht="15.6">
      <c r="A37" s="52"/>
      <c r="B37" s="85" t="s">
        <v>227</v>
      </c>
      <c r="C37" s="85" t="s">
        <v>227</v>
      </c>
      <c r="D37" s="85" t="s">
        <v>265</v>
      </c>
      <c r="E37" s="85" t="s">
        <v>266</v>
      </c>
      <c r="F37" s="52"/>
    </row>
    <row r="38" spans="1:6" ht="15.6">
      <c r="A38" s="52"/>
      <c r="B38" s="85" t="s">
        <v>227</v>
      </c>
      <c r="C38" s="85" t="s">
        <v>227</v>
      </c>
      <c r="D38" s="85" t="s">
        <v>267</v>
      </c>
      <c r="E38" s="85" t="s">
        <v>226</v>
      </c>
      <c r="F38" s="52"/>
    </row>
    <row r="39" spans="1:6" ht="15.6">
      <c r="A39" s="52"/>
      <c r="B39" s="85" t="s">
        <v>227</v>
      </c>
      <c r="C39" s="85" t="s">
        <v>227</v>
      </c>
      <c r="D39" s="85" t="s">
        <v>268</v>
      </c>
      <c r="E39" s="85" t="s">
        <v>226</v>
      </c>
      <c r="F39" s="52"/>
    </row>
    <row r="40" spans="1:6" ht="15.6">
      <c r="A40" s="52"/>
      <c r="B40" s="85" t="s">
        <v>227</v>
      </c>
      <c r="C40" s="85" t="s">
        <v>227</v>
      </c>
      <c r="D40" s="85" t="s">
        <v>269</v>
      </c>
      <c r="E40" s="85" t="s">
        <v>226</v>
      </c>
      <c r="F40" s="52"/>
    </row>
    <row r="41" spans="1:6" ht="15.6">
      <c r="A41" s="52"/>
      <c r="B41" s="85" t="s">
        <v>227</v>
      </c>
      <c r="C41" s="85" t="s">
        <v>227</v>
      </c>
      <c r="D41" s="85" t="s">
        <v>270</v>
      </c>
      <c r="E41" s="85" t="s">
        <v>226</v>
      </c>
      <c r="F41" s="52"/>
    </row>
    <row r="42" spans="1:6" ht="15.6">
      <c r="A42" s="52"/>
      <c r="B42" s="85" t="s">
        <v>227</v>
      </c>
      <c r="C42" s="85" t="s">
        <v>227</v>
      </c>
      <c r="D42" s="85" t="s">
        <v>271</v>
      </c>
      <c r="E42" s="85" t="s">
        <v>226</v>
      </c>
      <c r="F42" s="52"/>
    </row>
    <row r="43" spans="1:6" ht="15.6">
      <c r="A43" s="52"/>
      <c r="B43" s="85" t="s">
        <v>227</v>
      </c>
      <c r="C43" s="85" t="s">
        <v>227</v>
      </c>
      <c r="D43" s="85" t="s">
        <v>272</v>
      </c>
      <c r="E43" s="85" t="s">
        <v>226</v>
      </c>
      <c r="F43" s="52"/>
    </row>
    <row r="44" spans="1:6" ht="15.6">
      <c r="A44" s="52"/>
      <c r="B44" s="85" t="s">
        <v>227</v>
      </c>
      <c r="C44" s="85" t="s">
        <v>227</v>
      </c>
      <c r="D44" s="85" t="s">
        <v>273</v>
      </c>
      <c r="E44" s="85" t="s">
        <v>226</v>
      </c>
      <c r="F44" s="52"/>
    </row>
    <row r="45" spans="1:6" ht="15.6">
      <c r="A45" s="52"/>
      <c r="B45" s="85" t="s">
        <v>227</v>
      </c>
      <c r="C45" s="85" t="s">
        <v>227</v>
      </c>
      <c r="D45" s="85" t="s">
        <v>274</v>
      </c>
      <c r="E45" s="85" t="s">
        <v>226</v>
      </c>
      <c r="F45" s="52"/>
    </row>
    <row r="46" spans="1:6" ht="15.6">
      <c r="A46" s="52"/>
      <c r="B46" s="85" t="s">
        <v>227</v>
      </c>
      <c r="C46" s="85" t="s">
        <v>227</v>
      </c>
      <c r="D46" s="85" t="s">
        <v>275</v>
      </c>
      <c r="E46" s="85" t="s">
        <v>226</v>
      </c>
      <c r="F46" s="52"/>
    </row>
    <row r="47" spans="1:6" ht="15.6">
      <c r="A47" s="52"/>
      <c r="B47" s="85" t="s">
        <v>227</v>
      </c>
      <c r="C47" s="85" t="s">
        <v>227</v>
      </c>
      <c r="D47" s="85" t="s">
        <v>276</v>
      </c>
      <c r="E47" s="85" t="s">
        <v>226</v>
      </c>
      <c r="F47" s="52"/>
    </row>
    <row r="48" spans="1:6" ht="15.6">
      <c r="A48" s="52"/>
      <c r="B48" s="85" t="s">
        <v>227</v>
      </c>
      <c r="C48" s="85" t="s">
        <v>227</v>
      </c>
      <c r="D48" s="85" t="s">
        <v>277</v>
      </c>
      <c r="E48" s="85" t="s">
        <v>226</v>
      </c>
      <c r="F48" s="52"/>
    </row>
    <row r="49" spans="1:6" ht="15.6">
      <c r="A49" s="52"/>
      <c r="B49" s="85" t="s">
        <v>227</v>
      </c>
      <c r="C49" s="85" t="s">
        <v>227</v>
      </c>
      <c r="D49" s="85" t="s">
        <v>278</v>
      </c>
      <c r="E49" s="85" t="s">
        <v>226</v>
      </c>
      <c r="F49" s="52"/>
    </row>
    <row r="50" spans="1:6" ht="15.6">
      <c r="A50" s="52"/>
      <c r="B50" s="85" t="s">
        <v>227</v>
      </c>
      <c r="C50" s="85" t="s">
        <v>227</v>
      </c>
      <c r="D50" s="85" t="s">
        <v>279</v>
      </c>
      <c r="E50" s="85" t="s">
        <v>226</v>
      </c>
      <c r="F50" s="52"/>
    </row>
    <row r="51" spans="1:6" ht="15.6">
      <c r="A51" s="52"/>
      <c r="B51" s="85" t="s">
        <v>227</v>
      </c>
      <c r="C51" s="85" t="s">
        <v>227</v>
      </c>
      <c r="D51" s="85" t="s">
        <v>280</v>
      </c>
      <c r="E51" s="85" t="s">
        <v>226</v>
      </c>
      <c r="F51" s="52"/>
    </row>
    <row r="52" spans="1:6" ht="15.6">
      <c r="A52" s="52"/>
      <c r="B52" s="85" t="s">
        <v>227</v>
      </c>
      <c r="C52" s="85" t="s">
        <v>227</v>
      </c>
      <c r="D52" s="85" t="s">
        <v>281</v>
      </c>
      <c r="E52" s="85" t="s">
        <v>226</v>
      </c>
      <c r="F52" s="52"/>
    </row>
    <row r="53" spans="1:6" ht="15.6">
      <c r="A53" s="52"/>
      <c r="B53" s="85" t="s">
        <v>227</v>
      </c>
      <c r="C53" s="85" t="s">
        <v>227</v>
      </c>
      <c r="D53" s="85" t="s">
        <v>282</v>
      </c>
      <c r="E53" s="85" t="s">
        <v>226</v>
      </c>
      <c r="F53" s="52"/>
    </row>
    <row r="54" spans="1:6" ht="15.6">
      <c r="A54" s="52"/>
      <c r="B54" s="85" t="s">
        <v>227</v>
      </c>
      <c r="C54" s="85" t="s">
        <v>227</v>
      </c>
      <c r="D54" s="85" t="s">
        <v>283</v>
      </c>
      <c r="E54" s="85" t="s">
        <v>226</v>
      </c>
      <c r="F54" s="52"/>
    </row>
    <row r="55" spans="1:6" ht="15.6">
      <c r="A55" s="52"/>
      <c r="B55" s="85" t="s">
        <v>227</v>
      </c>
      <c r="C55" s="85" t="s">
        <v>227</v>
      </c>
      <c r="D55" s="85" t="s">
        <v>284</v>
      </c>
      <c r="E55" s="85" t="s">
        <v>226</v>
      </c>
      <c r="F55" s="52"/>
    </row>
    <row r="56" spans="1:6" ht="15.6">
      <c r="A56" s="52"/>
      <c r="B56" s="85" t="s">
        <v>227</v>
      </c>
      <c r="C56" s="85" t="s">
        <v>227</v>
      </c>
      <c r="D56" s="85" t="s">
        <v>285</v>
      </c>
      <c r="E56" s="85" t="s">
        <v>226</v>
      </c>
      <c r="F56" s="52"/>
    </row>
    <row r="57" spans="1:6" ht="15.6">
      <c r="A57" s="52"/>
      <c r="B57" s="85" t="s">
        <v>227</v>
      </c>
      <c r="C57" s="85" t="s">
        <v>227</v>
      </c>
      <c r="D57" s="85" t="s">
        <v>286</v>
      </c>
      <c r="E57" s="85" t="s">
        <v>235</v>
      </c>
      <c r="F57" s="52"/>
    </row>
    <row r="58" spans="1:6" ht="15.6">
      <c r="A58" s="52"/>
      <c r="B58" s="85" t="s">
        <v>227</v>
      </c>
      <c r="C58" s="85" t="s">
        <v>227</v>
      </c>
      <c r="D58" s="85" t="s">
        <v>287</v>
      </c>
      <c r="E58" s="85" t="s">
        <v>226</v>
      </c>
      <c r="F58" s="52"/>
    </row>
    <row r="59" spans="1:6" ht="15.6">
      <c r="A59" s="52"/>
      <c r="B59" s="85" t="s">
        <v>227</v>
      </c>
      <c r="C59" s="85" t="s">
        <v>227</v>
      </c>
      <c r="D59" s="85" t="s">
        <v>288</v>
      </c>
      <c r="E59" s="85" t="s">
        <v>226</v>
      </c>
      <c r="F59" s="52"/>
    </row>
    <row r="60" spans="1:6" ht="15.6">
      <c r="A60" s="52"/>
      <c r="B60" s="85" t="s">
        <v>227</v>
      </c>
      <c r="C60" s="85" t="s">
        <v>227</v>
      </c>
      <c r="D60" s="85" t="s">
        <v>289</v>
      </c>
      <c r="E60" s="85" t="s">
        <v>226</v>
      </c>
      <c r="F60" s="52"/>
    </row>
    <row r="61" spans="1:6" ht="15.6">
      <c r="A61" s="52"/>
      <c r="B61" s="85" t="s">
        <v>227</v>
      </c>
      <c r="C61" s="85" t="s">
        <v>227</v>
      </c>
      <c r="D61" s="85" t="s">
        <v>290</v>
      </c>
      <c r="E61" s="85" t="s">
        <v>226</v>
      </c>
      <c r="F61" s="52"/>
    </row>
    <row r="62" spans="1:6" ht="15.6">
      <c r="A62" s="52"/>
      <c r="B62" s="85" t="s">
        <v>227</v>
      </c>
      <c r="C62" s="85" t="s">
        <v>227</v>
      </c>
      <c r="D62" s="85" t="s">
        <v>291</v>
      </c>
      <c r="E62" s="85" t="s">
        <v>226</v>
      </c>
      <c r="F62" s="52"/>
    </row>
    <row r="63" spans="1:6" ht="15.6">
      <c r="A63" s="52"/>
      <c r="B63" s="85" t="s">
        <v>227</v>
      </c>
      <c r="C63" s="85" t="s">
        <v>227</v>
      </c>
      <c r="D63" s="85" t="s">
        <v>292</v>
      </c>
      <c r="E63" s="85" t="s">
        <v>226</v>
      </c>
      <c r="F63" s="52"/>
    </row>
    <row r="64" spans="1:6" ht="15.6">
      <c r="A64" s="52"/>
      <c r="B64" s="85" t="s">
        <v>227</v>
      </c>
      <c r="C64" s="85" t="s">
        <v>227</v>
      </c>
      <c r="D64" s="85" t="s">
        <v>293</v>
      </c>
      <c r="E64" s="85" t="s">
        <v>226</v>
      </c>
      <c r="F64" s="52"/>
    </row>
    <row r="65" spans="1:6" ht="15.6">
      <c r="A65" s="52"/>
      <c r="B65" s="85" t="s">
        <v>227</v>
      </c>
      <c r="C65" s="85" t="s">
        <v>227</v>
      </c>
      <c r="D65" s="85" t="s">
        <v>294</v>
      </c>
      <c r="E65" s="85" t="s">
        <v>235</v>
      </c>
      <c r="F65" s="52"/>
    </row>
    <row r="66" spans="1:6" ht="15.6">
      <c r="A66" s="52"/>
      <c r="B66" s="85" t="s">
        <v>227</v>
      </c>
      <c r="C66" s="85" t="s">
        <v>227</v>
      </c>
      <c r="D66" s="85" t="s">
        <v>295</v>
      </c>
      <c r="E66" s="85" t="s">
        <v>226</v>
      </c>
      <c r="F66" s="52"/>
    </row>
    <row r="67" spans="1:6" ht="15.6">
      <c r="A67" s="52"/>
      <c r="B67" s="85" t="s">
        <v>227</v>
      </c>
      <c r="C67" s="85" t="s">
        <v>227</v>
      </c>
      <c r="D67" s="85" t="s">
        <v>296</v>
      </c>
      <c r="E67" s="85" t="s">
        <v>226</v>
      </c>
      <c r="F67" s="52"/>
    </row>
    <row r="68" spans="1:6" ht="15.6">
      <c r="A68" s="52"/>
      <c r="B68" s="85" t="s">
        <v>227</v>
      </c>
      <c r="C68" s="85" t="s">
        <v>227</v>
      </c>
      <c r="D68" s="85" t="s">
        <v>297</v>
      </c>
      <c r="E68" s="85" t="s">
        <v>298</v>
      </c>
      <c r="F68" s="52"/>
    </row>
    <row r="69" spans="1:6" ht="15.6">
      <c r="A69" s="52"/>
      <c r="B69" s="85" t="s">
        <v>227</v>
      </c>
      <c r="C69" s="85" t="s">
        <v>227</v>
      </c>
      <c r="D69" s="85" t="s">
        <v>299</v>
      </c>
      <c r="E69" s="85" t="s">
        <v>226</v>
      </c>
      <c r="F69" s="52"/>
    </row>
    <row r="70" spans="1:6" ht="15.6">
      <c r="A70" s="52"/>
      <c r="B70" s="85" t="s">
        <v>227</v>
      </c>
      <c r="C70" s="85" t="s">
        <v>227</v>
      </c>
      <c r="D70" s="85" t="s">
        <v>300</v>
      </c>
      <c r="E70" s="85" t="s">
        <v>237</v>
      </c>
      <c r="F70" s="52"/>
    </row>
    <row r="71" spans="1:6" ht="15.6">
      <c r="A71" s="52"/>
      <c r="B71" s="85" t="s">
        <v>227</v>
      </c>
      <c r="C71" s="85" t="s">
        <v>227</v>
      </c>
      <c r="D71" s="85" t="s">
        <v>301</v>
      </c>
      <c r="E71" s="85" t="s">
        <v>226</v>
      </c>
      <c r="F71" s="52"/>
    </row>
    <row r="72" spans="1:6" ht="15.6">
      <c r="A72" s="52"/>
      <c r="B72" s="85" t="s">
        <v>302</v>
      </c>
      <c r="C72" s="85" t="s">
        <v>226</v>
      </c>
      <c r="D72" s="85" t="s">
        <v>227</v>
      </c>
      <c r="E72" s="85" t="s">
        <v>227</v>
      </c>
      <c r="F72" s="52"/>
    </row>
    <row r="73" spans="1:6" ht="15.6">
      <c r="A73" s="52"/>
      <c r="B73" s="85" t="s">
        <v>227</v>
      </c>
      <c r="C73" s="85" t="s">
        <v>227</v>
      </c>
      <c r="D73" s="85" t="s">
        <v>303</v>
      </c>
      <c r="E73" s="85" t="s">
        <v>226</v>
      </c>
      <c r="F73" s="52"/>
    </row>
    <row r="74" spans="1:6" ht="15.6">
      <c r="A74" s="52"/>
      <c r="B74" s="85" t="s">
        <v>304</v>
      </c>
      <c r="C74" s="85" t="s">
        <v>226</v>
      </c>
      <c r="D74" s="85" t="s">
        <v>227</v>
      </c>
      <c r="E74" s="85" t="s">
        <v>227</v>
      </c>
      <c r="F74" s="52"/>
    </row>
    <row r="75" spans="1:6" ht="15.6">
      <c r="A75" s="52"/>
      <c r="B75" s="85" t="s">
        <v>227</v>
      </c>
      <c r="C75" s="85" t="s">
        <v>227</v>
      </c>
      <c r="D75" s="85" t="s">
        <v>305</v>
      </c>
      <c r="E75" s="85" t="s">
        <v>226</v>
      </c>
      <c r="F75" s="52"/>
    </row>
    <row r="76" spans="1:6" ht="15.6">
      <c r="A76" s="52"/>
      <c r="B76" s="85" t="s">
        <v>227</v>
      </c>
      <c r="C76" s="85" t="s">
        <v>227</v>
      </c>
      <c r="D76" s="85" t="s">
        <v>306</v>
      </c>
      <c r="E76" s="85" t="s">
        <v>226</v>
      </c>
      <c r="F76" s="52"/>
    </row>
    <row r="77" spans="1:6" ht="15.6">
      <c r="A77" s="52"/>
      <c r="B77" s="85" t="s">
        <v>307</v>
      </c>
      <c r="C77" s="85" t="s">
        <v>226</v>
      </c>
      <c r="D77" s="85" t="s">
        <v>227</v>
      </c>
      <c r="E77" s="85" t="s">
        <v>227</v>
      </c>
      <c r="F77" s="52"/>
    </row>
    <row r="78" spans="1:6" ht="15.6">
      <c r="A78" s="52"/>
      <c r="B78" s="85" t="s">
        <v>308</v>
      </c>
      <c r="C78" s="85" t="s">
        <v>226</v>
      </c>
      <c r="D78" s="85" t="s">
        <v>227</v>
      </c>
      <c r="E78" s="85" t="s">
        <v>227</v>
      </c>
      <c r="F78" s="52"/>
    </row>
    <row r="79" spans="1:6" ht="15.6">
      <c r="A79" s="52"/>
      <c r="B79" s="85" t="s">
        <v>309</v>
      </c>
      <c r="C79" s="85" t="s">
        <v>226</v>
      </c>
      <c r="D79" s="85" t="s">
        <v>227</v>
      </c>
      <c r="E79" s="85" t="s">
        <v>227</v>
      </c>
      <c r="F79" s="52"/>
    </row>
    <row r="80" spans="1:6" ht="15.6">
      <c r="A80" s="52"/>
      <c r="B80" s="85" t="s">
        <v>310</v>
      </c>
      <c r="C80" s="85" t="s">
        <v>226</v>
      </c>
      <c r="D80" s="85" t="s">
        <v>227</v>
      </c>
      <c r="E80" s="85" t="s">
        <v>227</v>
      </c>
      <c r="F80" s="52"/>
    </row>
    <row r="81" spans="1:6" ht="15.6">
      <c r="A81" s="52"/>
      <c r="B81" s="85" t="s">
        <v>311</v>
      </c>
      <c r="C81" s="85" t="s">
        <v>226</v>
      </c>
      <c r="D81" s="85" t="s">
        <v>227</v>
      </c>
      <c r="E81" s="85" t="s">
        <v>227</v>
      </c>
      <c r="F81" s="52"/>
    </row>
    <row r="82" spans="1:6" ht="15.6">
      <c r="A82" s="52"/>
      <c r="B82" s="85"/>
      <c r="C82" s="85"/>
      <c r="D82" s="85"/>
      <c r="E82" s="85"/>
      <c r="F82" s="52"/>
    </row>
    <row r="83" spans="1:6" ht="15.6">
      <c r="A83" s="52"/>
      <c r="B83" s="85" t="s">
        <v>312</v>
      </c>
      <c r="C83" s="85" t="s">
        <v>313</v>
      </c>
      <c r="D83" s="85" t="s">
        <v>227</v>
      </c>
      <c r="E83" s="85" t="s">
        <v>227</v>
      </c>
      <c r="F83" s="52"/>
    </row>
    <row r="84" spans="1:6" ht="15.6">
      <c r="A84" s="52"/>
      <c r="B84" s="85" t="s">
        <v>227</v>
      </c>
      <c r="C84" s="85" t="s">
        <v>227</v>
      </c>
      <c r="D84" s="85" t="s">
        <v>214</v>
      </c>
      <c r="E84" s="85" t="s">
        <v>226</v>
      </c>
      <c r="F84" s="52"/>
    </row>
    <row r="85" spans="1:6" ht="15.6">
      <c r="A85" s="52"/>
      <c r="B85" s="85" t="s">
        <v>227</v>
      </c>
      <c r="C85" s="85" t="s">
        <v>227</v>
      </c>
      <c r="D85" s="85" t="s">
        <v>228</v>
      </c>
      <c r="E85" s="85" t="s">
        <v>226</v>
      </c>
      <c r="F85" s="52"/>
    </row>
    <row r="86" spans="1:6" ht="15.6">
      <c r="A86" s="52"/>
      <c r="B86" s="85" t="s">
        <v>227</v>
      </c>
      <c r="C86" s="85" t="s">
        <v>227</v>
      </c>
      <c r="D86" s="85" t="s">
        <v>229</v>
      </c>
      <c r="E86" s="85" t="s">
        <v>226</v>
      </c>
      <c r="F86" s="52"/>
    </row>
    <row r="87" spans="1:6" ht="15.6">
      <c r="A87" s="52"/>
      <c r="B87" s="85" t="s">
        <v>227</v>
      </c>
      <c r="C87" s="85" t="s">
        <v>227</v>
      </c>
      <c r="D87" s="85" t="s">
        <v>230</v>
      </c>
      <c r="E87" s="85" t="s">
        <v>226</v>
      </c>
      <c r="F87" s="52"/>
    </row>
    <row r="88" spans="1:6" ht="15.6">
      <c r="A88" s="52"/>
      <c r="B88" s="85" t="s">
        <v>227</v>
      </c>
      <c r="C88" s="85" t="s">
        <v>227</v>
      </c>
      <c r="D88" s="85" t="s">
        <v>231</v>
      </c>
      <c r="E88" s="85" t="s">
        <v>226</v>
      </c>
      <c r="F88" s="52"/>
    </row>
    <row r="89" spans="1:6" ht="15.6">
      <c r="A89" s="52"/>
      <c r="B89" s="85" t="s">
        <v>227</v>
      </c>
      <c r="C89" s="85" t="s">
        <v>227</v>
      </c>
      <c r="D89" s="85" t="s">
        <v>314</v>
      </c>
      <c r="E89" s="85" t="s">
        <v>226</v>
      </c>
      <c r="F89" s="52"/>
    </row>
    <row r="90" spans="1:6" ht="15.6">
      <c r="A90" s="52"/>
      <c r="B90" s="85" t="s">
        <v>227</v>
      </c>
      <c r="C90" s="85" t="s">
        <v>227</v>
      </c>
      <c r="D90" s="85" t="s">
        <v>233</v>
      </c>
      <c r="E90" s="85" t="s">
        <v>226</v>
      </c>
      <c r="F90" s="52"/>
    </row>
    <row r="91" spans="1:6" ht="15.6">
      <c r="A91" s="52"/>
      <c r="B91" s="85" t="s">
        <v>227</v>
      </c>
      <c r="C91" s="85" t="s">
        <v>227</v>
      </c>
      <c r="D91" s="85" t="s">
        <v>234</v>
      </c>
      <c r="E91" s="85" t="s">
        <v>235</v>
      </c>
      <c r="F91" s="52"/>
    </row>
    <row r="92" spans="1:6" ht="15.6">
      <c r="A92" s="52"/>
      <c r="B92" s="85" t="s">
        <v>227</v>
      </c>
      <c r="C92" s="85" t="s">
        <v>227</v>
      </c>
      <c r="D92" s="85" t="s">
        <v>236</v>
      </c>
      <c r="E92" s="85" t="s">
        <v>315</v>
      </c>
      <c r="F92" s="52"/>
    </row>
    <row r="93" spans="1:6" ht="15.6">
      <c r="A93" s="52"/>
      <c r="B93" s="85" t="s">
        <v>227</v>
      </c>
      <c r="C93" s="85" t="s">
        <v>227</v>
      </c>
      <c r="D93" s="85" t="s">
        <v>316</v>
      </c>
      <c r="E93" s="85" t="s">
        <v>235</v>
      </c>
      <c r="F93" s="52"/>
    </row>
    <row r="94" spans="1:6" ht="15.6">
      <c r="A94" s="52"/>
      <c r="B94" s="85" t="s">
        <v>227</v>
      </c>
      <c r="C94" s="85" t="s">
        <v>227</v>
      </c>
      <c r="D94" s="85" t="s">
        <v>239</v>
      </c>
      <c r="E94" s="85" t="s">
        <v>226</v>
      </c>
      <c r="F94" s="52"/>
    </row>
    <row r="95" spans="1:6" ht="15.6">
      <c r="A95" s="52"/>
      <c r="B95" s="85" t="s">
        <v>227</v>
      </c>
      <c r="C95" s="85" t="s">
        <v>227</v>
      </c>
      <c r="D95" s="85" t="s">
        <v>240</v>
      </c>
      <c r="E95" s="85" t="s">
        <v>254</v>
      </c>
      <c r="F95" s="52"/>
    </row>
    <row r="96" spans="1:6" ht="15.6">
      <c r="A96" s="52"/>
      <c r="B96" s="85" t="s">
        <v>227</v>
      </c>
      <c r="C96" s="85" t="s">
        <v>227</v>
      </c>
      <c r="D96" s="85" t="s">
        <v>242</v>
      </c>
      <c r="E96" s="85" t="s">
        <v>226</v>
      </c>
      <c r="F96" s="52"/>
    </row>
    <row r="97" spans="1:6" ht="15.6">
      <c r="A97" s="52"/>
      <c r="B97" s="85" t="s">
        <v>227</v>
      </c>
      <c r="C97" s="85" t="s">
        <v>227</v>
      </c>
      <c r="D97" s="85" t="s">
        <v>243</v>
      </c>
      <c r="E97" s="85" t="s">
        <v>226</v>
      </c>
      <c r="F97" s="52"/>
    </row>
    <row r="98" spans="1:6" ht="15.6">
      <c r="A98" s="52"/>
      <c r="B98" s="85" t="s">
        <v>227</v>
      </c>
      <c r="C98" s="85" t="s">
        <v>227</v>
      </c>
      <c r="D98" s="85" t="s">
        <v>244</v>
      </c>
      <c r="E98" s="85" t="s">
        <v>235</v>
      </c>
      <c r="F98" s="52"/>
    </row>
    <row r="99" spans="1:6" ht="15.6">
      <c r="A99" s="52"/>
      <c r="B99" s="85" t="s">
        <v>227</v>
      </c>
      <c r="C99" s="85" t="s">
        <v>227</v>
      </c>
      <c r="D99" s="85" t="s">
        <v>317</v>
      </c>
      <c r="E99" s="85" t="s">
        <v>226</v>
      </c>
      <c r="F99" s="52"/>
    </row>
    <row r="100" spans="1:6" ht="15.6">
      <c r="A100" s="52"/>
      <c r="B100" s="85" t="s">
        <v>227</v>
      </c>
      <c r="C100" s="85" t="s">
        <v>227</v>
      </c>
      <c r="D100" s="85" t="s">
        <v>318</v>
      </c>
      <c r="E100" s="85" t="s">
        <v>235</v>
      </c>
      <c r="F100" s="52"/>
    </row>
    <row r="101" spans="1:6" ht="15.6">
      <c r="A101" s="52"/>
      <c r="B101" s="85" t="s">
        <v>227</v>
      </c>
      <c r="C101" s="85" t="s">
        <v>227</v>
      </c>
      <c r="D101" s="85" t="s">
        <v>246</v>
      </c>
      <c r="E101" s="85" t="s">
        <v>298</v>
      </c>
      <c r="F101" s="52"/>
    </row>
    <row r="102" spans="1:6" ht="15.6">
      <c r="A102" s="52"/>
      <c r="B102" s="85" t="s">
        <v>227</v>
      </c>
      <c r="C102" s="85" t="s">
        <v>227</v>
      </c>
      <c r="D102" s="85" t="s">
        <v>319</v>
      </c>
      <c r="E102" s="85" t="s">
        <v>226</v>
      </c>
      <c r="F102" s="52"/>
    </row>
    <row r="103" spans="1:6" ht="15.6">
      <c r="A103" s="52"/>
      <c r="B103" s="85" t="s">
        <v>227</v>
      </c>
      <c r="C103" s="85" t="s">
        <v>227</v>
      </c>
      <c r="D103" s="85" t="s">
        <v>320</v>
      </c>
      <c r="E103" s="85" t="s">
        <v>226</v>
      </c>
      <c r="F103" s="52"/>
    </row>
    <row r="104" spans="1:6" ht="15.6">
      <c r="A104" s="52"/>
      <c r="B104" s="85" t="s">
        <v>227</v>
      </c>
      <c r="C104" s="85" t="s">
        <v>227</v>
      </c>
      <c r="D104" s="85" t="s">
        <v>249</v>
      </c>
      <c r="E104" s="85" t="s">
        <v>235</v>
      </c>
      <c r="F104" s="52"/>
    </row>
    <row r="105" spans="1:6" ht="15.6">
      <c r="A105" s="52"/>
      <c r="B105" s="85" t="s">
        <v>227</v>
      </c>
      <c r="C105" s="85" t="s">
        <v>227</v>
      </c>
      <c r="D105" s="85" t="s">
        <v>251</v>
      </c>
      <c r="E105" s="85" t="s">
        <v>226</v>
      </c>
      <c r="F105" s="52"/>
    </row>
    <row r="106" spans="1:6" ht="15.6">
      <c r="A106" s="52"/>
      <c r="B106" s="85" t="s">
        <v>227</v>
      </c>
      <c r="C106" s="85" t="s">
        <v>227</v>
      </c>
      <c r="D106" s="85" t="s">
        <v>321</v>
      </c>
      <c r="E106" s="85" t="s">
        <v>226</v>
      </c>
      <c r="F106" s="52"/>
    </row>
    <row r="107" spans="1:6" ht="15.6">
      <c r="A107" s="52"/>
      <c r="B107" s="85" t="s">
        <v>227</v>
      </c>
      <c r="C107" s="85" t="s">
        <v>227</v>
      </c>
      <c r="D107" s="85" t="s">
        <v>322</v>
      </c>
      <c r="E107" s="85" t="s">
        <v>241</v>
      </c>
      <c r="F107" s="52"/>
    </row>
    <row r="108" spans="1:6" ht="15.6">
      <c r="A108" s="52"/>
      <c r="B108" s="85" t="s">
        <v>227</v>
      </c>
      <c r="C108" s="85" t="s">
        <v>227</v>
      </c>
      <c r="D108" s="85" t="s">
        <v>257</v>
      </c>
      <c r="E108" s="85" t="s">
        <v>226</v>
      </c>
      <c r="F108" s="52"/>
    </row>
    <row r="109" spans="1:6" ht="15.6">
      <c r="A109" s="52"/>
      <c r="B109" s="85" t="s">
        <v>227</v>
      </c>
      <c r="C109" s="85" t="s">
        <v>227</v>
      </c>
      <c r="D109" s="85" t="s">
        <v>258</v>
      </c>
      <c r="E109" s="85" t="s">
        <v>226</v>
      </c>
      <c r="F109" s="52"/>
    </row>
    <row r="110" spans="1:6" ht="15.6">
      <c r="A110" s="52"/>
      <c r="B110" s="85" t="s">
        <v>227</v>
      </c>
      <c r="C110" s="85" t="s">
        <v>227</v>
      </c>
      <c r="D110" s="85" t="s">
        <v>323</v>
      </c>
      <c r="E110" s="85" t="s">
        <v>226</v>
      </c>
      <c r="F110" s="52"/>
    </row>
    <row r="111" spans="1:6" ht="15.6">
      <c r="A111" s="52"/>
      <c r="B111" s="85" t="s">
        <v>227</v>
      </c>
      <c r="C111" s="85" t="s">
        <v>227</v>
      </c>
      <c r="D111" s="85" t="s">
        <v>324</v>
      </c>
      <c r="E111" s="85" t="s">
        <v>226</v>
      </c>
      <c r="F111" s="52"/>
    </row>
    <row r="112" spans="1:6" ht="15.6">
      <c r="A112" s="52"/>
      <c r="B112" s="85" t="s">
        <v>227</v>
      </c>
      <c r="C112" s="85" t="s">
        <v>227</v>
      </c>
      <c r="D112" s="85" t="s">
        <v>261</v>
      </c>
      <c r="E112" s="85" t="s">
        <v>226</v>
      </c>
      <c r="F112" s="52"/>
    </row>
    <row r="113" spans="1:6" ht="15.6">
      <c r="A113" s="52"/>
      <c r="B113" s="85" t="s">
        <v>227</v>
      </c>
      <c r="C113" s="85" t="s">
        <v>227</v>
      </c>
      <c r="D113" s="85" t="s">
        <v>262</v>
      </c>
      <c r="E113" s="85" t="s">
        <v>226</v>
      </c>
      <c r="F113" s="52"/>
    </row>
    <row r="114" spans="1:6" ht="15.6">
      <c r="A114" s="52"/>
      <c r="B114" s="85" t="s">
        <v>227</v>
      </c>
      <c r="C114" s="85" t="s">
        <v>227</v>
      </c>
      <c r="D114" s="85" t="s">
        <v>263</v>
      </c>
      <c r="E114" s="85" t="s">
        <v>264</v>
      </c>
      <c r="F114" s="52"/>
    </row>
    <row r="115" spans="1:6" ht="15.6">
      <c r="A115" s="52"/>
      <c r="B115" s="85" t="s">
        <v>227</v>
      </c>
      <c r="C115" s="85" t="s">
        <v>227</v>
      </c>
      <c r="D115" s="85" t="s">
        <v>265</v>
      </c>
      <c r="E115" s="85" t="s">
        <v>325</v>
      </c>
      <c r="F115" s="52"/>
    </row>
    <row r="116" spans="1:6" ht="15.6">
      <c r="A116" s="52"/>
      <c r="B116" s="85" t="s">
        <v>227</v>
      </c>
      <c r="C116" s="85" t="s">
        <v>227</v>
      </c>
      <c r="D116" s="85" t="s">
        <v>267</v>
      </c>
      <c r="E116" s="85" t="s">
        <v>226</v>
      </c>
      <c r="F116" s="52"/>
    </row>
    <row r="117" spans="1:6" ht="15.6">
      <c r="A117" s="52"/>
      <c r="B117" s="85" t="s">
        <v>227</v>
      </c>
      <c r="C117" s="85" t="s">
        <v>227</v>
      </c>
      <c r="D117" s="85" t="s">
        <v>268</v>
      </c>
      <c r="E117" s="85" t="s">
        <v>226</v>
      </c>
      <c r="F117" s="52"/>
    </row>
    <row r="118" spans="1:6" ht="15.6">
      <c r="A118" s="52"/>
      <c r="B118" s="85" t="s">
        <v>227</v>
      </c>
      <c r="C118" s="85" t="s">
        <v>227</v>
      </c>
      <c r="D118" s="85" t="s">
        <v>269</v>
      </c>
      <c r="E118" s="85" t="s">
        <v>226</v>
      </c>
      <c r="F118" s="52"/>
    </row>
    <row r="119" spans="1:6" ht="15.6">
      <c r="A119" s="52"/>
      <c r="B119" s="85" t="s">
        <v>227</v>
      </c>
      <c r="C119" s="85" t="s">
        <v>227</v>
      </c>
      <c r="D119" s="85" t="s">
        <v>270</v>
      </c>
      <c r="E119" s="85" t="s">
        <v>226</v>
      </c>
      <c r="F119" s="52"/>
    </row>
    <row r="120" spans="1:6" ht="15.6">
      <c r="A120" s="52"/>
      <c r="B120" s="85" t="s">
        <v>227</v>
      </c>
      <c r="C120" s="85" t="s">
        <v>227</v>
      </c>
      <c r="D120" s="85" t="s">
        <v>272</v>
      </c>
      <c r="E120" s="85" t="s">
        <v>226</v>
      </c>
      <c r="F120" s="52"/>
    </row>
    <row r="121" spans="1:6" ht="15.6">
      <c r="A121" s="52"/>
      <c r="B121" s="85" t="s">
        <v>227</v>
      </c>
      <c r="C121" s="85" t="s">
        <v>227</v>
      </c>
      <c r="D121" s="85" t="s">
        <v>326</v>
      </c>
      <c r="E121" s="85" t="s">
        <v>235</v>
      </c>
      <c r="F121" s="52"/>
    </row>
    <row r="122" spans="1:6" ht="15.6">
      <c r="A122" s="52"/>
      <c r="B122" s="85" t="s">
        <v>227</v>
      </c>
      <c r="C122" s="85" t="s">
        <v>227</v>
      </c>
      <c r="D122" s="85" t="s">
        <v>327</v>
      </c>
      <c r="E122" s="85" t="s">
        <v>226</v>
      </c>
      <c r="F122" s="52"/>
    </row>
    <row r="123" spans="1:6" ht="15.6">
      <c r="A123" s="52"/>
      <c r="B123" s="85" t="s">
        <v>227</v>
      </c>
      <c r="C123" s="85" t="s">
        <v>227</v>
      </c>
      <c r="D123" s="85" t="s">
        <v>328</v>
      </c>
      <c r="E123" s="85" t="s">
        <v>226</v>
      </c>
      <c r="F123" s="52"/>
    </row>
    <row r="124" spans="1:6" ht="15.6">
      <c r="A124" s="52"/>
      <c r="B124" s="85" t="s">
        <v>227</v>
      </c>
      <c r="C124" s="85" t="s">
        <v>227</v>
      </c>
      <c r="D124" s="85" t="s">
        <v>329</v>
      </c>
      <c r="E124" s="85" t="s">
        <v>235</v>
      </c>
      <c r="F124" s="52"/>
    </row>
    <row r="125" spans="1:6" ht="15.6">
      <c r="A125" s="52"/>
      <c r="B125" s="85" t="s">
        <v>227</v>
      </c>
      <c r="C125" s="85" t="s">
        <v>227</v>
      </c>
      <c r="D125" s="85" t="s">
        <v>330</v>
      </c>
      <c r="E125" s="85" t="s">
        <v>235</v>
      </c>
      <c r="F125" s="52"/>
    </row>
    <row r="126" spans="1:6" ht="15.6">
      <c r="A126" s="52"/>
      <c r="B126" s="85" t="s">
        <v>227</v>
      </c>
      <c r="C126" s="85" t="s">
        <v>227</v>
      </c>
      <c r="D126" s="85" t="s">
        <v>331</v>
      </c>
      <c r="E126" s="85" t="s">
        <v>226</v>
      </c>
      <c r="F126" s="52"/>
    </row>
    <row r="127" spans="1:6" ht="15.6">
      <c r="A127" s="52"/>
      <c r="B127" s="85" t="s">
        <v>227</v>
      </c>
      <c r="C127" s="85" t="s">
        <v>227</v>
      </c>
      <c r="D127" s="85" t="s">
        <v>283</v>
      </c>
      <c r="E127" s="85" t="s">
        <v>226</v>
      </c>
      <c r="F127" s="52"/>
    </row>
    <row r="128" spans="1:6" ht="15.6">
      <c r="A128" s="52"/>
      <c r="B128" s="85" t="s">
        <v>227</v>
      </c>
      <c r="C128" s="85" t="s">
        <v>227</v>
      </c>
      <c r="D128" s="85" t="s">
        <v>332</v>
      </c>
      <c r="E128" s="85" t="s">
        <v>226</v>
      </c>
      <c r="F128" s="52"/>
    </row>
    <row r="129" spans="1:6" ht="15.6">
      <c r="A129" s="52"/>
      <c r="B129" s="85" t="s">
        <v>227</v>
      </c>
      <c r="C129" s="85" t="s">
        <v>227</v>
      </c>
      <c r="D129" s="85" t="s">
        <v>333</v>
      </c>
      <c r="E129" s="85" t="s">
        <v>226</v>
      </c>
      <c r="F129" s="52"/>
    </row>
    <row r="130" spans="1:6" ht="15.6">
      <c r="A130" s="52"/>
      <c r="B130" s="85" t="s">
        <v>227</v>
      </c>
      <c r="C130" s="85" t="s">
        <v>227</v>
      </c>
      <c r="D130" s="85" t="s">
        <v>297</v>
      </c>
      <c r="E130" s="85" t="s">
        <v>298</v>
      </c>
      <c r="F130" s="52"/>
    </row>
    <row r="131" spans="1:6" ht="15.6">
      <c r="A131" s="52"/>
      <c r="B131" s="85" t="s">
        <v>227</v>
      </c>
      <c r="C131" s="85" t="s">
        <v>227</v>
      </c>
      <c r="D131" s="85" t="s">
        <v>286</v>
      </c>
      <c r="E131" s="85" t="s">
        <v>235</v>
      </c>
      <c r="F131" s="52"/>
    </row>
    <row r="132" spans="1:6" ht="15.6">
      <c r="A132" s="52"/>
      <c r="B132" s="85" t="s">
        <v>227</v>
      </c>
      <c r="C132" s="85" t="s">
        <v>227</v>
      </c>
      <c r="D132" s="85" t="s">
        <v>334</v>
      </c>
      <c r="E132" s="85" t="s">
        <v>235</v>
      </c>
      <c r="F132" s="52"/>
    </row>
    <row r="133" spans="1:6" ht="15.6">
      <c r="A133" s="52"/>
      <c r="B133" s="85" t="s">
        <v>227</v>
      </c>
      <c r="C133" s="85" t="s">
        <v>227</v>
      </c>
      <c r="D133" s="85" t="s">
        <v>335</v>
      </c>
      <c r="E133" s="85" t="s">
        <v>226</v>
      </c>
      <c r="F133" s="52"/>
    </row>
    <row r="134" spans="1:6" ht="15.6">
      <c r="A134" s="52"/>
      <c r="B134" s="85" t="s">
        <v>227</v>
      </c>
      <c r="C134" s="85" t="s">
        <v>227</v>
      </c>
      <c r="D134" s="85" t="s">
        <v>336</v>
      </c>
      <c r="E134" s="85" t="s">
        <v>226</v>
      </c>
      <c r="F134" s="52"/>
    </row>
    <row r="135" spans="1:6" ht="15.6">
      <c r="A135" s="52"/>
      <c r="B135" s="85" t="s">
        <v>227</v>
      </c>
      <c r="C135" s="85" t="s">
        <v>227</v>
      </c>
      <c r="D135" s="85" t="s">
        <v>337</v>
      </c>
      <c r="E135" s="85" t="s">
        <v>226</v>
      </c>
      <c r="F135" s="52"/>
    </row>
    <row r="136" spans="1:6" ht="15.6">
      <c r="A136" s="52"/>
      <c r="B136" s="85" t="s">
        <v>227</v>
      </c>
      <c r="C136" s="85" t="s">
        <v>227</v>
      </c>
      <c r="D136" s="85" t="s">
        <v>338</v>
      </c>
      <c r="E136" s="85" t="s">
        <v>226</v>
      </c>
      <c r="F136" s="52"/>
    </row>
    <row r="137" spans="1:6" ht="15.6">
      <c r="A137" s="52"/>
      <c r="B137" s="85" t="s">
        <v>227</v>
      </c>
      <c r="C137" s="85" t="s">
        <v>227</v>
      </c>
      <c r="D137" s="85" t="s">
        <v>292</v>
      </c>
      <c r="E137" s="85" t="s">
        <v>226</v>
      </c>
      <c r="F137" s="52"/>
    </row>
    <row r="138" spans="1:6" ht="15.6">
      <c r="A138" s="52"/>
      <c r="B138" s="85" t="s">
        <v>227</v>
      </c>
      <c r="C138" s="85" t="s">
        <v>227</v>
      </c>
      <c r="D138" s="85" t="s">
        <v>339</v>
      </c>
      <c r="E138" s="85" t="s">
        <v>226</v>
      </c>
      <c r="F138" s="52"/>
    </row>
    <row r="139" spans="1:6" ht="15.6">
      <c r="A139" s="52"/>
      <c r="B139" s="85" t="s">
        <v>227</v>
      </c>
      <c r="C139" s="85" t="s">
        <v>227</v>
      </c>
      <c r="D139" s="85" t="s">
        <v>275</v>
      </c>
      <c r="E139" s="85" t="s">
        <v>226</v>
      </c>
      <c r="F139" s="52"/>
    </row>
    <row r="140" spans="1:6" ht="15.6">
      <c r="A140" s="52"/>
      <c r="B140" s="85" t="s">
        <v>227</v>
      </c>
      <c r="C140" s="85" t="s">
        <v>227</v>
      </c>
      <c r="D140" s="85" t="s">
        <v>295</v>
      </c>
      <c r="E140" s="85" t="s">
        <v>226</v>
      </c>
      <c r="F140" s="52"/>
    </row>
    <row r="141" spans="1:6" ht="15.6">
      <c r="A141" s="52"/>
      <c r="B141" s="85" t="s">
        <v>227</v>
      </c>
      <c r="C141" s="85" t="s">
        <v>227</v>
      </c>
      <c r="D141" s="85" t="s">
        <v>296</v>
      </c>
      <c r="E141" s="85" t="s">
        <v>226</v>
      </c>
      <c r="F141" s="52"/>
    </row>
    <row r="142" spans="1:6" ht="15.6">
      <c r="A142" s="52"/>
      <c r="B142" s="85" t="s">
        <v>227</v>
      </c>
      <c r="C142" s="85" t="s">
        <v>227</v>
      </c>
      <c r="D142" s="85" t="s">
        <v>340</v>
      </c>
      <c r="E142" s="85" t="s">
        <v>226</v>
      </c>
      <c r="F142" s="52"/>
    </row>
    <row r="143" spans="1:6" ht="15.6">
      <c r="A143" s="52"/>
      <c r="B143" s="85" t="s">
        <v>227</v>
      </c>
      <c r="C143" s="85" t="s">
        <v>227</v>
      </c>
      <c r="D143" s="85" t="s">
        <v>341</v>
      </c>
      <c r="E143" s="85" t="s">
        <v>235</v>
      </c>
      <c r="F143" s="52"/>
    </row>
    <row r="144" spans="1:6" ht="15.6">
      <c r="A144" s="52"/>
      <c r="B144" s="85" t="s">
        <v>227</v>
      </c>
      <c r="C144" s="85" t="s">
        <v>227</v>
      </c>
      <c r="D144" s="85" t="s">
        <v>284</v>
      </c>
      <c r="E144" s="85" t="s">
        <v>226</v>
      </c>
      <c r="F144" s="52"/>
    </row>
    <row r="145" spans="1:6" ht="15.6">
      <c r="A145" s="52"/>
      <c r="B145" s="85" t="s">
        <v>227</v>
      </c>
      <c r="C145" s="85" t="s">
        <v>227</v>
      </c>
      <c r="D145" s="85" t="s">
        <v>342</v>
      </c>
      <c r="E145" s="85" t="s">
        <v>226</v>
      </c>
      <c r="F145" s="52"/>
    </row>
    <row r="146" spans="1:6" ht="15.6">
      <c r="A146" s="52"/>
      <c r="B146" s="85" t="s">
        <v>227</v>
      </c>
      <c r="C146" s="85" t="s">
        <v>227</v>
      </c>
      <c r="D146" s="85" t="s">
        <v>300</v>
      </c>
      <c r="E146" s="85" t="s">
        <v>254</v>
      </c>
      <c r="F146" s="52"/>
    </row>
    <row r="147" spans="1:6" ht="15.6">
      <c r="A147" s="52"/>
      <c r="B147" s="85" t="s">
        <v>227</v>
      </c>
      <c r="C147" s="85" t="s">
        <v>227</v>
      </c>
      <c r="D147" s="85" t="s">
        <v>343</v>
      </c>
      <c r="E147" s="85" t="s">
        <v>226</v>
      </c>
      <c r="F147" s="52"/>
    </row>
    <row r="148" spans="1:6" ht="15.6">
      <c r="A148" s="52"/>
      <c r="B148" s="85" t="s">
        <v>227</v>
      </c>
      <c r="C148" s="85" t="s">
        <v>227</v>
      </c>
      <c r="D148" s="85" t="s">
        <v>344</v>
      </c>
      <c r="E148" s="85" t="s">
        <v>226</v>
      </c>
      <c r="F148" s="52"/>
    </row>
    <row r="149" spans="1:6" ht="15.6">
      <c r="A149" s="52"/>
      <c r="B149" s="85" t="s">
        <v>227</v>
      </c>
      <c r="C149" s="85" t="s">
        <v>227</v>
      </c>
      <c r="D149" s="85" t="s">
        <v>278</v>
      </c>
      <c r="E149" s="85" t="s">
        <v>226</v>
      </c>
      <c r="F149" s="52"/>
    </row>
    <row r="150" spans="1:6" ht="15.6">
      <c r="A150" s="52"/>
      <c r="B150" s="85" t="s">
        <v>227</v>
      </c>
      <c r="C150" s="85" t="s">
        <v>227</v>
      </c>
      <c r="D150" s="85" t="s">
        <v>345</v>
      </c>
      <c r="E150" s="85" t="s">
        <v>226</v>
      </c>
      <c r="F150" s="52"/>
    </row>
    <row r="151" spans="1:6" ht="15.6">
      <c r="A151" s="52"/>
      <c r="B151" s="85" t="s">
        <v>227</v>
      </c>
      <c r="C151" s="85" t="s">
        <v>227</v>
      </c>
      <c r="D151" s="85" t="s">
        <v>274</v>
      </c>
      <c r="E151" s="85" t="s">
        <v>226</v>
      </c>
      <c r="F151" s="52"/>
    </row>
    <row r="152" spans="1:6" ht="15.6">
      <c r="A152" s="52"/>
      <c r="B152" s="85" t="s">
        <v>227</v>
      </c>
      <c r="C152" s="85" t="s">
        <v>227</v>
      </c>
      <c r="D152" s="85" t="s">
        <v>346</v>
      </c>
      <c r="E152" s="85" t="s">
        <v>226</v>
      </c>
      <c r="F152" s="52"/>
    </row>
    <row r="153" spans="1:6" ht="15.6">
      <c r="A153" s="52"/>
      <c r="B153" s="85" t="s">
        <v>227</v>
      </c>
      <c r="C153" s="85" t="s">
        <v>227</v>
      </c>
      <c r="D153" s="85" t="s">
        <v>347</v>
      </c>
      <c r="E153" s="85" t="s">
        <v>226</v>
      </c>
      <c r="F153" s="52"/>
    </row>
    <row r="154" spans="1:6" ht="15.6">
      <c r="A154" s="52"/>
      <c r="B154" s="85" t="s">
        <v>227</v>
      </c>
      <c r="C154" s="85" t="s">
        <v>227</v>
      </c>
      <c r="D154" s="85" t="s">
        <v>348</v>
      </c>
      <c r="E154" s="85" t="s">
        <v>226</v>
      </c>
      <c r="F154" s="52"/>
    </row>
    <row r="155" spans="1:6" ht="15.6">
      <c r="A155" s="52"/>
      <c r="B155" s="85" t="s">
        <v>227</v>
      </c>
      <c r="C155" s="85" t="s">
        <v>227</v>
      </c>
      <c r="D155" s="85" t="s">
        <v>276</v>
      </c>
      <c r="E155" s="85" t="s">
        <v>226</v>
      </c>
      <c r="F155" s="52"/>
    </row>
    <row r="156" spans="1:6" ht="15.6">
      <c r="A156" s="52"/>
      <c r="B156" s="85" t="s">
        <v>227</v>
      </c>
      <c r="C156" s="85" t="s">
        <v>227</v>
      </c>
      <c r="D156" s="85" t="s">
        <v>277</v>
      </c>
      <c r="E156" s="85" t="s">
        <v>226</v>
      </c>
      <c r="F156" s="52"/>
    </row>
    <row r="157" spans="1:6" ht="15.6">
      <c r="A157" s="52"/>
      <c r="B157" s="85" t="s">
        <v>227</v>
      </c>
      <c r="C157" s="85" t="s">
        <v>227</v>
      </c>
      <c r="D157" s="85" t="s">
        <v>349</v>
      </c>
      <c r="E157" s="85" t="s">
        <v>226</v>
      </c>
      <c r="F157" s="52"/>
    </row>
    <row r="158" spans="1:6" ht="15.6">
      <c r="A158" s="52"/>
      <c r="B158" s="85" t="s">
        <v>227</v>
      </c>
      <c r="C158" s="85" t="s">
        <v>227</v>
      </c>
      <c r="D158" s="85" t="s">
        <v>350</v>
      </c>
      <c r="E158" s="85" t="s">
        <v>226</v>
      </c>
      <c r="F158" s="52"/>
    </row>
    <row r="159" spans="1:6" ht="15.6">
      <c r="A159" s="52"/>
      <c r="B159" s="85" t="s">
        <v>302</v>
      </c>
      <c r="C159" s="85" t="s">
        <v>313</v>
      </c>
      <c r="D159" s="85" t="s">
        <v>227</v>
      </c>
      <c r="E159" s="85" t="s">
        <v>227</v>
      </c>
      <c r="F159" s="52"/>
    </row>
    <row r="160" spans="1:6" ht="15.6">
      <c r="A160" s="52"/>
      <c r="B160" s="85" t="s">
        <v>227</v>
      </c>
      <c r="C160" s="85" t="s">
        <v>227</v>
      </c>
      <c r="D160" s="85" t="s">
        <v>303</v>
      </c>
      <c r="E160" s="85" t="s">
        <v>226</v>
      </c>
      <c r="F160" s="52"/>
    </row>
    <row r="161" spans="1:6" ht="15.6">
      <c r="A161" s="52"/>
      <c r="B161" s="85" t="s">
        <v>351</v>
      </c>
      <c r="C161" s="85" t="s">
        <v>313</v>
      </c>
      <c r="D161" s="85" t="s">
        <v>227</v>
      </c>
      <c r="E161" s="85" t="s">
        <v>227</v>
      </c>
      <c r="F161" s="52"/>
    </row>
    <row r="162" spans="1:6" ht="15.6">
      <c r="A162" s="52"/>
      <c r="B162" s="85" t="s">
        <v>227</v>
      </c>
      <c r="C162" s="85" t="s">
        <v>227</v>
      </c>
      <c r="D162" s="85" t="s">
        <v>305</v>
      </c>
      <c r="E162" s="85" t="s">
        <v>226</v>
      </c>
      <c r="F162" s="52"/>
    </row>
    <row r="163" spans="1:6" ht="15.6">
      <c r="A163" s="52"/>
      <c r="B163" s="85" t="s">
        <v>227</v>
      </c>
      <c r="C163" s="85" t="s">
        <v>227</v>
      </c>
      <c r="D163" s="85" t="s">
        <v>306</v>
      </c>
      <c r="E163" s="85" t="s">
        <v>226</v>
      </c>
      <c r="F163" s="52"/>
    </row>
    <row r="164" spans="1:6" ht="15.6">
      <c r="A164" s="52"/>
      <c r="B164" s="85" t="s">
        <v>352</v>
      </c>
      <c r="C164" s="85" t="s">
        <v>313</v>
      </c>
      <c r="D164" s="85" t="s">
        <v>227</v>
      </c>
      <c r="E164" s="85" t="s">
        <v>227</v>
      </c>
      <c r="F164" s="52"/>
    </row>
    <row r="165" spans="1:6" ht="15.6">
      <c r="A165" s="52"/>
      <c r="B165" s="85" t="s">
        <v>353</v>
      </c>
      <c r="C165" s="85" t="s">
        <v>226</v>
      </c>
      <c r="D165" s="85" t="s">
        <v>227</v>
      </c>
      <c r="E165" s="85" t="s">
        <v>227</v>
      </c>
      <c r="F165" s="52"/>
    </row>
    <row r="166" spans="1:6" ht="15.6">
      <c r="A166" s="52"/>
      <c r="B166" s="85" t="s">
        <v>311</v>
      </c>
      <c r="C166" s="85" t="s">
        <v>313</v>
      </c>
      <c r="D166" s="85" t="s">
        <v>227</v>
      </c>
      <c r="E166" s="85" t="s">
        <v>227</v>
      </c>
      <c r="F166" s="52"/>
    </row>
    <row r="167" spans="1:6" ht="15.6">
      <c r="A167" s="52"/>
      <c r="B167" s="85" t="s">
        <v>354</v>
      </c>
      <c r="C167" s="85" t="s">
        <v>241</v>
      </c>
      <c r="D167" s="85" t="s">
        <v>227</v>
      </c>
      <c r="E167" s="85" t="s">
        <v>227</v>
      </c>
      <c r="F167" s="52"/>
    </row>
    <row r="168" spans="1:6" ht="15.6">
      <c r="A168" s="52"/>
      <c r="D168"/>
      <c r="E168"/>
      <c r="F168" s="52"/>
    </row>
    <row r="169" spans="1:6" ht="15.6">
      <c r="A169" s="52"/>
      <c r="D169"/>
      <c r="E169"/>
      <c r="F169" s="52"/>
    </row>
    <row r="170" spans="1:6" ht="15.6">
      <c r="A170" s="52"/>
      <c r="B170" s="59" t="s">
        <v>222</v>
      </c>
      <c r="C170" s="59" t="s">
        <v>21</v>
      </c>
      <c r="D170" s="59"/>
      <c r="E170" s="59"/>
      <c r="F170" s="52"/>
    </row>
    <row r="171" spans="1:6" ht="15.6">
      <c r="A171" s="52"/>
      <c r="B171" s="64" t="s">
        <v>355</v>
      </c>
      <c r="C171" s="5">
        <v>1</v>
      </c>
      <c r="D171" s="5"/>
      <c r="E171" s="5"/>
      <c r="F171" s="52"/>
    </row>
    <row r="172" spans="1:6" ht="15.6">
      <c r="A172" s="52"/>
      <c r="B172" s="64" t="s">
        <v>356</v>
      </c>
      <c r="C172" s="5">
        <v>3</v>
      </c>
      <c r="D172" s="5"/>
      <c r="E172" s="5"/>
      <c r="F172" s="52"/>
    </row>
    <row r="173" spans="1:6" ht="15.6">
      <c r="A173" s="52"/>
      <c r="B173" s="65"/>
      <c r="D173"/>
      <c r="E173"/>
      <c r="F173" s="52"/>
    </row>
    <row r="174" spans="1:6" ht="15.6">
      <c r="A174" s="52"/>
      <c r="B174" s="66"/>
      <c r="D174"/>
      <c r="E174"/>
      <c r="F174" s="52"/>
    </row>
    <row r="175" spans="1:6" ht="15.6">
      <c r="A175" s="52"/>
      <c r="B175" s="67" t="s">
        <v>357</v>
      </c>
      <c r="C175" s="576" t="s">
        <v>358</v>
      </c>
      <c r="D175"/>
      <c r="E175"/>
      <c r="F175" s="52"/>
    </row>
    <row r="176" spans="1:6" ht="15.6">
      <c r="A176" s="52"/>
      <c r="B176" s="67" t="s">
        <v>204</v>
      </c>
      <c r="C176" s="576"/>
      <c r="D176"/>
      <c r="E176"/>
      <c r="F176" s="52"/>
    </row>
    <row r="177" spans="1:6" ht="15.6">
      <c r="A177" s="52"/>
      <c r="B177" s="5" t="s">
        <v>359</v>
      </c>
      <c r="C177" s="68">
        <v>192</v>
      </c>
      <c r="D177"/>
      <c r="E177"/>
      <c r="F177" s="52"/>
    </row>
    <row r="178" spans="1:6" ht="15.6">
      <c r="A178" s="52"/>
      <c r="B178" s="5" t="s">
        <v>360</v>
      </c>
      <c r="C178" s="68">
        <v>192</v>
      </c>
      <c r="D178"/>
      <c r="E178"/>
      <c r="F178" s="52"/>
    </row>
    <row r="179" spans="1:6" ht="15.6">
      <c r="A179" s="52"/>
      <c r="B179" s="51"/>
      <c r="C179" s="51"/>
      <c r="D179" s="52"/>
      <c r="E179" s="52"/>
      <c r="F179" s="52"/>
    </row>
    <row r="180" spans="1:6" ht="15.6">
      <c r="A180" s="52"/>
      <c r="B180" s="51"/>
      <c r="C180" s="51"/>
      <c r="D180" s="52"/>
      <c r="E180" s="52"/>
      <c r="F180" s="52"/>
    </row>
    <row r="181" spans="1:6" ht="15.6">
      <c r="A181" s="52"/>
      <c r="B181" s="51"/>
      <c r="C181" s="51"/>
      <c r="D181" s="52"/>
      <c r="E181" s="52"/>
      <c r="F181" s="52"/>
    </row>
    <row r="182" spans="1:6" ht="15.6">
      <c r="A182" s="52"/>
      <c r="B182" s="51"/>
      <c r="C182" s="51"/>
      <c r="D182" s="52"/>
      <c r="E182" s="52"/>
      <c r="F182" s="52"/>
    </row>
    <row r="183" spans="1:6" ht="15.6">
      <c r="A183" s="52"/>
      <c r="B183" s="51"/>
      <c r="C183" s="51"/>
      <c r="D183" s="52"/>
      <c r="E183" s="52"/>
      <c r="F183" s="52"/>
    </row>
    <row r="184" spans="1:6" ht="15.6">
      <c r="A184" s="52"/>
      <c r="B184" s="51"/>
      <c r="C184" s="51"/>
      <c r="D184" s="52"/>
      <c r="E184" s="52"/>
      <c r="F184" s="52"/>
    </row>
    <row r="185" spans="1:6" ht="15.6">
      <c r="A185" s="52"/>
      <c r="B185" s="51"/>
      <c r="C185" s="51"/>
      <c r="D185" s="52"/>
      <c r="E185" s="52"/>
      <c r="F185" s="52"/>
    </row>
    <row r="186" spans="1:6" ht="15.6">
      <c r="A186" s="52"/>
      <c r="B186" s="51"/>
      <c r="C186" s="51"/>
      <c r="D186" s="52"/>
      <c r="E186" s="52"/>
      <c r="F186" s="52"/>
    </row>
    <row r="187" spans="1:6" ht="15.6">
      <c r="A187" s="52"/>
      <c r="B187" s="51"/>
      <c r="C187" s="51"/>
      <c r="D187" s="52"/>
      <c r="E187" s="52"/>
      <c r="F187" s="52"/>
    </row>
    <row r="188" spans="1:6" ht="15.6">
      <c r="A188" s="52"/>
      <c r="B188" s="51"/>
      <c r="C188" s="51"/>
      <c r="D188" s="52"/>
      <c r="E188" s="52"/>
      <c r="F188" s="52"/>
    </row>
    <row r="189" spans="1:6" ht="15.6">
      <c r="A189" s="52"/>
      <c r="B189" s="51"/>
      <c r="C189" s="51"/>
      <c r="D189" s="52"/>
      <c r="E189" s="52"/>
      <c r="F189" s="52"/>
    </row>
    <row r="190" spans="1:6" ht="15.6">
      <c r="A190" s="52"/>
      <c r="B190" s="51"/>
      <c r="C190" s="51"/>
      <c r="D190" s="52"/>
      <c r="E190" s="52"/>
      <c r="F190" s="52"/>
    </row>
    <row r="191" spans="1:6" ht="15.6">
      <c r="A191" s="52"/>
      <c r="B191" s="51"/>
      <c r="C191" s="51"/>
      <c r="D191" s="52"/>
      <c r="E191" s="52"/>
      <c r="F191" s="52"/>
    </row>
    <row r="192" spans="1:6" ht="15.6">
      <c r="A192" s="52"/>
      <c r="B192" s="51"/>
      <c r="C192" s="51"/>
      <c r="D192" s="52"/>
      <c r="E192" s="52"/>
      <c r="F192" s="52"/>
    </row>
    <row r="193" spans="1:6" ht="15.6">
      <c r="A193" s="52"/>
      <c r="B193" s="51"/>
      <c r="C193" s="51"/>
      <c r="D193" s="52"/>
      <c r="E193" s="52"/>
      <c r="F193" s="52"/>
    </row>
    <row r="194" spans="1:6" ht="15.6">
      <c r="A194" s="52"/>
      <c r="B194" s="51"/>
      <c r="C194" s="51"/>
      <c r="D194" s="52"/>
      <c r="E194" s="52"/>
      <c r="F194" s="52"/>
    </row>
    <row r="195" spans="1:6" ht="15.6">
      <c r="A195" s="52"/>
      <c r="B195" s="51"/>
      <c r="C195" s="51"/>
      <c r="D195" s="52"/>
      <c r="E195" s="52"/>
      <c r="F195" s="52"/>
    </row>
    <row r="196" spans="1:6" ht="15.6">
      <c r="A196" s="52"/>
      <c r="B196" s="51"/>
      <c r="C196" s="51"/>
      <c r="D196" s="52"/>
      <c r="E196" s="52"/>
      <c r="F196" s="52"/>
    </row>
    <row r="197" spans="1:6" ht="15.6">
      <c r="A197" s="52"/>
      <c r="B197" s="51"/>
      <c r="C197" s="51"/>
      <c r="D197" s="52"/>
      <c r="E197" s="52"/>
      <c r="F197" s="52"/>
    </row>
    <row r="198" spans="1:6" ht="15.6">
      <c r="A198" s="52"/>
      <c r="B198" s="51"/>
      <c r="C198" s="51"/>
      <c r="D198" s="52"/>
      <c r="E198" s="52"/>
      <c r="F198" s="52"/>
    </row>
    <row r="199" spans="1:6" ht="15.6">
      <c r="A199" s="52"/>
      <c r="B199" s="51"/>
      <c r="C199" s="51"/>
      <c r="D199" s="52"/>
      <c r="E199" s="52"/>
      <c r="F199" s="52"/>
    </row>
    <row r="200" spans="1:6" ht="15.6">
      <c r="A200" s="52"/>
      <c r="B200" s="51"/>
      <c r="C200" s="51"/>
      <c r="D200" s="52"/>
      <c r="E200" s="52"/>
      <c r="F200" s="52"/>
    </row>
    <row r="201" spans="1:6" ht="15.6">
      <c r="A201" s="52"/>
      <c r="B201" s="51"/>
      <c r="C201" s="51"/>
      <c r="D201" s="52"/>
      <c r="E201" s="52"/>
      <c r="F201" s="52"/>
    </row>
    <row r="202" spans="1:6" ht="15.6">
      <c r="A202" s="52"/>
      <c r="B202" s="51"/>
      <c r="C202" s="51"/>
      <c r="D202" s="52"/>
      <c r="E202" s="52"/>
      <c r="F202" s="52"/>
    </row>
    <row r="203" spans="1:6" ht="15.6">
      <c r="A203" s="52"/>
      <c r="B203" s="51"/>
      <c r="C203" s="51"/>
      <c r="D203" s="52"/>
      <c r="E203" s="52"/>
      <c r="F203" s="52"/>
    </row>
    <row r="204" spans="1:6" ht="15.6">
      <c r="A204" s="52"/>
      <c r="B204" s="51"/>
      <c r="C204" s="51"/>
      <c r="D204" s="52"/>
      <c r="E204" s="52"/>
      <c r="F204" s="52"/>
    </row>
    <row r="205" spans="1:6" ht="15.6">
      <c r="A205" s="52"/>
      <c r="B205" s="51"/>
      <c r="C205" s="51"/>
      <c r="D205" s="52"/>
      <c r="E205" s="52"/>
      <c r="F205" s="52"/>
    </row>
    <row r="206" spans="1:6" ht="15.6">
      <c r="A206" s="52"/>
      <c r="B206" s="51"/>
      <c r="C206" s="51"/>
      <c r="D206" s="52"/>
      <c r="E206" s="52"/>
      <c r="F206" s="52"/>
    </row>
    <row r="207" spans="1:6" ht="15.6">
      <c r="A207" s="52"/>
      <c r="B207" s="51"/>
      <c r="C207" s="51"/>
      <c r="D207" s="52"/>
      <c r="E207" s="52"/>
      <c r="F207" s="52"/>
    </row>
    <row r="208" spans="1:6" ht="15.6">
      <c r="A208" s="52"/>
      <c r="B208" s="51"/>
      <c r="C208" s="51"/>
      <c r="D208" s="52"/>
      <c r="E208" s="52"/>
      <c r="F208" s="52"/>
    </row>
    <row r="209" spans="1:6" ht="15.6">
      <c r="A209" s="52"/>
      <c r="B209" s="51"/>
      <c r="C209" s="51"/>
      <c r="D209" s="52"/>
      <c r="E209" s="52"/>
      <c r="F209" s="52"/>
    </row>
    <row r="210" spans="1:6" ht="15.6">
      <c r="A210" s="52"/>
      <c r="B210" s="51"/>
      <c r="C210" s="51"/>
      <c r="D210" s="52"/>
      <c r="E210" s="52"/>
      <c r="F210" s="52"/>
    </row>
    <row r="211" spans="1:6" ht="15.6">
      <c r="A211" s="52"/>
      <c r="B211" s="51"/>
      <c r="C211" s="51"/>
      <c r="D211" s="52"/>
      <c r="E211" s="52"/>
      <c r="F211" s="52"/>
    </row>
    <row r="212" spans="1:6" ht="15.6">
      <c r="A212" s="52"/>
      <c r="B212" s="51"/>
      <c r="C212" s="51"/>
      <c r="D212" s="52"/>
      <c r="E212" s="52"/>
      <c r="F212" s="52"/>
    </row>
    <row r="213" spans="1:6" ht="15.6">
      <c r="A213" s="52"/>
      <c r="B213" s="51"/>
      <c r="C213" s="51"/>
      <c r="D213" s="52"/>
      <c r="E213" s="52"/>
      <c r="F213" s="52"/>
    </row>
    <row r="214" spans="1:6" ht="15.6">
      <c r="A214" s="52"/>
      <c r="B214" s="51"/>
      <c r="C214" s="51"/>
      <c r="D214" s="52"/>
      <c r="E214" s="52"/>
      <c r="F214" s="52"/>
    </row>
    <row r="215" spans="1:6" ht="15.6">
      <c r="A215" s="52"/>
      <c r="B215" s="51"/>
      <c r="C215" s="51"/>
      <c r="D215" s="52"/>
      <c r="E215" s="52"/>
      <c r="F215" s="52"/>
    </row>
    <row r="216" spans="1:6" ht="15.6">
      <c r="A216" s="52"/>
      <c r="B216" s="51"/>
      <c r="C216" s="51"/>
      <c r="D216" s="52"/>
      <c r="E216" s="52"/>
      <c r="F216" s="52"/>
    </row>
    <row r="217" spans="1:6" ht="15.6">
      <c r="A217" s="52"/>
      <c r="B217" s="51"/>
      <c r="C217" s="51"/>
      <c r="D217" s="52"/>
      <c r="E217" s="52"/>
      <c r="F217" s="52"/>
    </row>
    <row r="218" spans="1:6" ht="15.6">
      <c r="A218" s="52"/>
      <c r="B218" s="51"/>
      <c r="C218" s="51"/>
      <c r="D218" s="52"/>
      <c r="E218" s="52"/>
      <c r="F218" s="52"/>
    </row>
    <row r="219" spans="1:6" ht="15.6">
      <c r="A219" s="52"/>
      <c r="B219" s="51"/>
      <c r="C219" s="51"/>
      <c r="D219" s="52"/>
      <c r="E219" s="52"/>
      <c r="F219" s="52"/>
    </row>
    <row r="220" spans="1:6" ht="15.6">
      <c r="A220" s="52"/>
      <c r="B220" s="51"/>
      <c r="C220" s="51"/>
      <c r="D220" s="52"/>
      <c r="E220" s="52"/>
      <c r="F220" s="52"/>
    </row>
    <row r="221" spans="1:6" ht="15.6">
      <c r="A221" s="52"/>
      <c r="B221" s="51"/>
      <c r="C221" s="51"/>
      <c r="D221" s="52"/>
      <c r="E221" s="52"/>
      <c r="F221" s="52"/>
    </row>
    <row r="222" spans="1:6" ht="15.6">
      <c r="A222" s="52"/>
      <c r="B222" s="51"/>
      <c r="C222" s="51"/>
      <c r="D222" s="52"/>
      <c r="E222" s="52"/>
      <c r="F222" s="52"/>
    </row>
    <row r="223" spans="1:6" ht="15.6">
      <c r="A223" s="52"/>
      <c r="B223" s="51"/>
      <c r="C223" s="51"/>
      <c r="D223" s="52"/>
      <c r="E223" s="52"/>
      <c r="F223" s="52"/>
    </row>
    <row r="224" spans="1:6" ht="15.6">
      <c r="A224" s="52"/>
      <c r="B224" s="51"/>
      <c r="C224" s="51"/>
      <c r="D224" s="52"/>
      <c r="E224" s="52"/>
      <c r="F224" s="52"/>
    </row>
    <row r="225" spans="1:6" ht="15.6">
      <c r="A225" s="52"/>
      <c r="B225" s="51"/>
      <c r="C225" s="51"/>
      <c r="D225" s="52"/>
      <c r="E225" s="52"/>
      <c r="F225" s="52"/>
    </row>
    <row r="226" spans="1:6" ht="15.6">
      <c r="A226" s="52"/>
      <c r="B226" s="51"/>
      <c r="C226" s="51"/>
      <c r="D226" s="52"/>
      <c r="E226" s="52"/>
      <c r="F226" s="52"/>
    </row>
    <row r="227" spans="1:6" ht="15.6">
      <c r="A227" s="52"/>
      <c r="B227" s="51"/>
      <c r="C227" s="51"/>
      <c r="D227" s="52"/>
      <c r="E227" s="52"/>
      <c r="F227" s="52"/>
    </row>
    <row r="228" spans="1:6" ht="15.6">
      <c r="A228" s="52"/>
      <c r="B228" s="51"/>
      <c r="C228" s="51"/>
      <c r="D228" s="52"/>
      <c r="E228" s="52"/>
      <c r="F228" s="52"/>
    </row>
    <row r="229" spans="1:6" ht="15.6">
      <c r="A229" s="52"/>
      <c r="B229" s="51"/>
      <c r="C229" s="51"/>
      <c r="D229" s="52"/>
      <c r="E229" s="52"/>
      <c r="F229" s="52"/>
    </row>
    <row r="230" spans="1:6" ht="15.6">
      <c r="A230" s="52"/>
      <c r="B230" s="51"/>
      <c r="C230" s="51"/>
      <c r="D230" s="52"/>
      <c r="E230" s="52"/>
      <c r="F230" s="52"/>
    </row>
    <row r="231" spans="1:6" ht="15.6">
      <c r="A231" s="52"/>
      <c r="B231" s="51"/>
      <c r="C231" s="51"/>
      <c r="D231" s="52"/>
      <c r="E231" s="52"/>
      <c r="F231" s="52"/>
    </row>
    <row r="232" spans="1:6" ht="15.6">
      <c r="A232" s="52"/>
      <c r="B232" s="51"/>
      <c r="C232" s="51"/>
      <c r="D232" s="52"/>
      <c r="E232" s="52"/>
      <c r="F232" s="52"/>
    </row>
    <row r="233" spans="1:6" ht="15.6">
      <c r="A233" s="52"/>
      <c r="B233" s="51"/>
      <c r="C233" s="51"/>
      <c r="D233" s="52"/>
      <c r="E233" s="52"/>
      <c r="F233" s="52"/>
    </row>
    <row r="234" spans="1:6" ht="15.6">
      <c r="A234" s="52"/>
      <c r="B234" s="51"/>
      <c r="C234" s="51"/>
      <c r="D234" s="52"/>
      <c r="E234" s="52"/>
      <c r="F234" s="52"/>
    </row>
    <row r="235" spans="1:6" ht="15.6">
      <c r="A235" s="52"/>
      <c r="B235" s="51"/>
      <c r="C235" s="51"/>
      <c r="D235" s="52"/>
      <c r="E235" s="52"/>
      <c r="F235" s="52"/>
    </row>
  </sheetData>
  <mergeCells count="1">
    <mergeCell ref="C175:C17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E51A4-E875-4A17-A199-7FC38BD1EA6F}">
  <dimension ref="A1:G221"/>
  <sheetViews>
    <sheetView topLeftCell="A4" zoomScale="70" zoomScaleNormal="70" workbookViewId="0">
      <selection activeCell="D4" sqref="D4"/>
    </sheetView>
  </sheetViews>
  <sheetFormatPr defaultRowHeight="14.4"/>
  <cols>
    <col min="1" max="1" width="113.21875" bestFit="1" customWidth="1"/>
    <col min="3" max="3" width="11" customWidth="1"/>
    <col min="4" max="5" width="20.21875" bestFit="1" customWidth="1"/>
    <col min="7" max="7" width="19.44140625" bestFit="1" customWidth="1"/>
  </cols>
  <sheetData>
    <row r="1" spans="1:5" ht="15.6">
      <c r="A1" s="145" t="s">
        <v>720</v>
      </c>
      <c r="B1" s="145"/>
      <c r="C1" s="146" t="s">
        <v>206</v>
      </c>
      <c r="D1" s="146" t="s">
        <v>704</v>
      </c>
      <c r="E1" s="146" t="s">
        <v>721</v>
      </c>
    </row>
    <row r="2" spans="1:5" ht="45">
      <c r="D2" s="147" t="s">
        <v>722</v>
      </c>
      <c r="E2" s="147" t="s">
        <v>723</v>
      </c>
    </row>
    <row r="3" spans="1:5" ht="15">
      <c r="D3" s="148"/>
      <c r="E3" s="148"/>
    </row>
    <row r="4" spans="1:5" ht="15.6">
      <c r="A4" s="149" t="s">
        <v>724</v>
      </c>
      <c r="B4" s="149"/>
      <c r="C4" s="150">
        <v>8</v>
      </c>
      <c r="D4" s="151">
        <f>E4/C4+85875</f>
        <v>6880868.6274255011</v>
      </c>
      <c r="E4" s="151">
        <v>54359949.019404009</v>
      </c>
    </row>
    <row r="5" spans="1:5" ht="15.6">
      <c r="A5" s="152" t="s">
        <v>214</v>
      </c>
      <c r="B5" s="152"/>
      <c r="C5" s="153">
        <v>8</v>
      </c>
      <c r="D5" s="154"/>
      <c r="E5" s="154"/>
    </row>
    <row r="6" spans="1:5" ht="15.6">
      <c r="A6" s="155" t="s">
        <v>228</v>
      </c>
      <c r="B6" s="155"/>
      <c r="C6" s="156">
        <v>8</v>
      </c>
      <c r="D6" s="157"/>
      <c r="E6" s="157"/>
    </row>
    <row r="7" spans="1:5" ht="15.6">
      <c r="A7" s="152" t="s">
        <v>229</v>
      </c>
      <c r="B7" s="152"/>
      <c r="C7" s="153">
        <v>8</v>
      </c>
      <c r="D7" s="154"/>
      <c r="E7" s="154"/>
    </row>
    <row r="8" spans="1:5" ht="15.6">
      <c r="A8" s="155" t="s">
        <v>230</v>
      </c>
      <c r="B8" s="155"/>
      <c r="C8" s="156">
        <v>8</v>
      </c>
      <c r="D8" s="157"/>
      <c r="E8" s="157"/>
    </row>
    <row r="9" spans="1:5" ht="15.6">
      <c r="A9" s="152" t="s">
        <v>231</v>
      </c>
      <c r="B9" s="152"/>
      <c r="C9" s="153">
        <v>8</v>
      </c>
      <c r="D9" s="154"/>
      <c r="E9" s="154"/>
    </row>
    <row r="10" spans="1:5" ht="15.6">
      <c r="A10" s="155" t="s">
        <v>232</v>
      </c>
      <c r="B10" s="155"/>
      <c r="C10" s="156">
        <v>8</v>
      </c>
      <c r="D10" s="157"/>
      <c r="E10" s="157"/>
    </row>
    <row r="11" spans="1:5" ht="15.6">
      <c r="A11" s="152" t="s">
        <v>233</v>
      </c>
      <c r="B11" s="152"/>
      <c r="C11" s="153">
        <v>8</v>
      </c>
      <c r="D11" s="154"/>
      <c r="E11" s="154"/>
    </row>
    <row r="12" spans="1:5" ht="15.6">
      <c r="A12" s="158" t="s">
        <v>234</v>
      </c>
      <c r="B12" s="158"/>
      <c r="C12" s="159">
        <v>16</v>
      </c>
      <c r="D12" s="157"/>
      <c r="E12" s="157"/>
    </row>
    <row r="13" spans="1:5" ht="15.6">
      <c r="A13" s="158" t="s">
        <v>236</v>
      </c>
      <c r="B13" s="158"/>
      <c r="C13" s="159">
        <v>192</v>
      </c>
      <c r="D13" s="154"/>
      <c r="E13" s="154"/>
    </row>
    <row r="14" spans="1:5" ht="15.6">
      <c r="A14" s="155" t="s">
        <v>725</v>
      </c>
      <c r="B14" s="155"/>
      <c r="C14" s="156">
        <v>8</v>
      </c>
      <c r="D14" s="157"/>
      <c r="E14" s="157"/>
    </row>
    <row r="15" spans="1:5" ht="15.6">
      <c r="A15" s="152" t="s">
        <v>726</v>
      </c>
      <c r="B15" s="152"/>
      <c r="C15" s="153">
        <v>8</v>
      </c>
      <c r="D15" s="154"/>
      <c r="E15" s="154"/>
    </row>
    <row r="16" spans="1:5" ht="15.6">
      <c r="A16" s="155" t="s">
        <v>727</v>
      </c>
      <c r="B16" s="155"/>
      <c r="C16" s="156">
        <v>8</v>
      </c>
      <c r="D16" s="157"/>
      <c r="E16" s="157"/>
    </row>
    <row r="17" spans="1:5" ht="15.6">
      <c r="A17" s="152" t="s">
        <v>239</v>
      </c>
      <c r="B17" s="152"/>
      <c r="C17" s="153">
        <v>8</v>
      </c>
      <c r="D17" s="154"/>
      <c r="E17" s="154"/>
    </row>
    <row r="18" spans="1:5" ht="15.6">
      <c r="A18" s="158" t="s">
        <v>728</v>
      </c>
      <c r="B18" s="158"/>
      <c r="C18" s="159">
        <v>64</v>
      </c>
      <c r="D18" s="157"/>
      <c r="E18" s="157"/>
    </row>
    <row r="19" spans="1:5" ht="15.6">
      <c r="A19" s="152" t="s">
        <v>242</v>
      </c>
      <c r="B19" s="152"/>
      <c r="C19" s="153">
        <v>8</v>
      </c>
      <c r="D19" s="154"/>
      <c r="E19" s="154"/>
    </row>
    <row r="20" spans="1:5" ht="15.6">
      <c r="A20" s="155" t="s">
        <v>243</v>
      </c>
      <c r="B20" s="155"/>
      <c r="C20" s="156">
        <v>8</v>
      </c>
      <c r="D20" s="157"/>
      <c r="E20" s="157"/>
    </row>
    <row r="21" spans="1:5" ht="15.6">
      <c r="A21" s="152" t="s">
        <v>244</v>
      </c>
      <c r="B21" s="152"/>
      <c r="C21" s="153">
        <v>16</v>
      </c>
      <c r="D21" s="154"/>
      <c r="E21" s="154"/>
    </row>
    <row r="22" spans="1:5" ht="15.6">
      <c r="A22" s="158" t="s">
        <v>317</v>
      </c>
      <c r="B22" s="158"/>
      <c r="C22" s="159">
        <v>8</v>
      </c>
      <c r="D22" s="157"/>
      <c r="E22" s="157"/>
    </row>
    <row r="23" spans="1:5" ht="15.6">
      <c r="A23" s="158" t="s">
        <v>318</v>
      </c>
      <c r="B23" s="158"/>
      <c r="C23" s="159">
        <v>16</v>
      </c>
      <c r="D23" s="154"/>
      <c r="E23" s="154"/>
    </row>
    <row r="24" spans="1:5" ht="15.6">
      <c r="A24" s="155" t="s">
        <v>246</v>
      </c>
      <c r="B24" s="155"/>
      <c r="C24" s="156">
        <v>32</v>
      </c>
      <c r="D24" s="157"/>
      <c r="E24" s="157"/>
    </row>
    <row r="25" spans="1:5" ht="15.6">
      <c r="A25" s="158" t="s">
        <v>729</v>
      </c>
      <c r="B25" s="158"/>
      <c r="C25" s="159">
        <v>16</v>
      </c>
      <c r="D25" s="154"/>
      <c r="E25" s="154"/>
    </row>
    <row r="26" spans="1:5" ht="15.6">
      <c r="A26" s="158" t="s">
        <v>730</v>
      </c>
      <c r="B26" s="158"/>
      <c r="C26" s="159">
        <v>16</v>
      </c>
      <c r="D26" s="157"/>
      <c r="E26" s="157"/>
    </row>
    <row r="27" spans="1:5" ht="15.6">
      <c r="A27" s="152" t="s">
        <v>251</v>
      </c>
      <c r="B27" s="152"/>
      <c r="C27" s="153">
        <v>8</v>
      </c>
      <c r="D27" s="154"/>
      <c r="E27" s="154"/>
    </row>
    <row r="28" spans="1:5" ht="15.6">
      <c r="A28" s="155" t="s">
        <v>321</v>
      </c>
      <c r="B28" s="155"/>
      <c r="C28" s="156">
        <v>8</v>
      </c>
      <c r="D28" s="157"/>
      <c r="E28" s="157"/>
    </row>
    <row r="29" spans="1:5" ht="15.6">
      <c r="A29" s="152" t="s">
        <v>322</v>
      </c>
      <c r="B29" s="152"/>
      <c r="C29" s="153">
        <v>48</v>
      </c>
      <c r="D29" s="154"/>
      <c r="E29" s="154"/>
    </row>
    <row r="30" spans="1:5" ht="15.6">
      <c r="A30" s="155" t="s">
        <v>257</v>
      </c>
      <c r="B30" s="155"/>
      <c r="C30" s="156">
        <v>8</v>
      </c>
      <c r="D30" s="157"/>
      <c r="E30" s="157"/>
    </row>
    <row r="31" spans="1:5" ht="15.6">
      <c r="A31" s="152" t="s">
        <v>258</v>
      </c>
      <c r="B31" s="152"/>
      <c r="C31" s="153">
        <v>8</v>
      </c>
      <c r="D31" s="154"/>
      <c r="E31" s="154"/>
    </row>
    <row r="32" spans="1:5" ht="15.6">
      <c r="A32" s="155" t="s">
        <v>323</v>
      </c>
      <c r="B32" s="155"/>
      <c r="C32" s="156">
        <v>8</v>
      </c>
      <c r="D32" s="157"/>
      <c r="E32" s="157"/>
    </row>
    <row r="33" spans="1:5" ht="15.6">
      <c r="A33" s="152" t="s">
        <v>324</v>
      </c>
      <c r="B33" s="152"/>
      <c r="C33" s="153">
        <v>8</v>
      </c>
      <c r="D33" s="154"/>
      <c r="E33" s="154"/>
    </row>
    <row r="34" spans="1:5" ht="15.6">
      <c r="A34" s="155" t="s">
        <v>261</v>
      </c>
      <c r="B34" s="155"/>
      <c r="C34" s="156">
        <v>8</v>
      </c>
      <c r="D34" s="157"/>
      <c r="E34" s="157"/>
    </row>
    <row r="35" spans="1:5" ht="15.6">
      <c r="A35" s="152" t="s">
        <v>262</v>
      </c>
      <c r="B35" s="152"/>
      <c r="C35" s="153">
        <v>8</v>
      </c>
      <c r="D35" s="154"/>
      <c r="E35" s="154"/>
    </row>
    <row r="36" spans="1:5" ht="15.6">
      <c r="A36" s="155" t="s">
        <v>263</v>
      </c>
      <c r="B36" s="155"/>
      <c r="C36" s="156">
        <v>384</v>
      </c>
      <c r="D36" s="157"/>
      <c r="E36" s="157"/>
    </row>
    <row r="37" spans="1:5" ht="15.6">
      <c r="A37" s="152" t="s">
        <v>265</v>
      </c>
      <c r="B37" s="152"/>
      <c r="C37" s="153">
        <v>448</v>
      </c>
      <c r="D37" s="154"/>
      <c r="E37" s="154"/>
    </row>
    <row r="38" spans="1:5" ht="15.6">
      <c r="A38" s="155" t="s">
        <v>267</v>
      </c>
      <c r="B38" s="155"/>
      <c r="C38" s="156">
        <v>8</v>
      </c>
      <c r="D38" s="157"/>
      <c r="E38" s="157"/>
    </row>
    <row r="39" spans="1:5" ht="15.6">
      <c r="A39" s="152" t="s">
        <v>268</v>
      </c>
      <c r="B39" s="152"/>
      <c r="C39" s="153">
        <v>8</v>
      </c>
      <c r="D39" s="154"/>
      <c r="E39" s="154"/>
    </row>
    <row r="40" spans="1:5" ht="15.6">
      <c r="A40" s="155" t="s">
        <v>269</v>
      </c>
      <c r="B40" s="155"/>
      <c r="C40" s="156">
        <v>8</v>
      </c>
      <c r="D40" s="157"/>
      <c r="E40" s="157"/>
    </row>
    <row r="41" spans="1:5" ht="15.6">
      <c r="A41" s="152" t="s">
        <v>270</v>
      </c>
      <c r="B41" s="152"/>
      <c r="C41" s="153">
        <v>8</v>
      </c>
      <c r="D41" s="154"/>
      <c r="E41" s="154"/>
    </row>
    <row r="42" spans="1:5" ht="15.6">
      <c r="A42" s="155" t="s">
        <v>272</v>
      </c>
      <c r="B42" s="155"/>
      <c r="C42" s="156">
        <v>8</v>
      </c>
      <c r="D42" s="157"/>
      <c r="E42" s="157"/>
    </row>
    <row r="43" spans="1:5" ht="15.6">
      <c r="A43" s="152" t="s">
        <v>731</v>
      </c>
      <c r="B43" s="152"/>
      <c r="C43" s="153">
        <v>16</v>
      </c>
      <c r="D43" s="154"/>
      <c r="E43" s="154"/>
    </row>
    <row r="44" spans="1:5" ht="15.6">
      <c r="A44" s="155" t="s">
        <v>732</v>
      </c>
      <c r="B44" s="155"/>
      <c r="C44" s="156">
        <v>8</v>
      </c>
      <c r="D44" s="157"/>
      <c r="E44" s="157"/>
    </row>
    <row r="45" spans="1:5" ht="15.6">
      <c r="A45" s="152" t="s">
        <v>326</v>
      </c>
      <c r="B45" s="152"/>
      <c r="C45" s="153">
        <v>16</v>
      </c>
      <c r="D45" s="154"/>
      <c r="E45" s="154"/>
    </row>
    <row r="46" spans="1:5" ht="15.6">
      <c r="A46" s="155" t="s">
        <v>733</v>
      </c>
      <c r="B46" s="155"/>
      <c r="C46" s="156">
        <v>8</v>
      </c>
      <c r="D46" s="157"/>
      <c r="E46" s="157"/>
    </row>
    <row r="47" spans="1:5" ht="15.6">
      <c r="A47" s="152" t="s">
        <v>734</v>
      </c>
      <c r="B47" s="152"/>
      <c r="C47" s="153">
        <v>8</v>
      </c>
      <c r="D47" s="154"/>
      <c r="E47" s="154"/>
    </row>
    <row r="48" spans="1:5" ht="15.6">
      <c r="A48" s="155" t="s">
        <v>328</v>
      </c>
      <c r="B48" s="155"/>
      <c r="C48" s="156">
        <v>8</v>
      </c>
      <c r="D48" s="157"/>
      <c r="E48" s="157"/>
    </row>
    <row r="49" spans="1:5" ht="15.6">
      <c r="A49" s="152" t="s">
        <v>330</v>
      </c>
      <c r="B49" s="152"/>
      <c r="C49" s="153">
        <v>16</v>
      </c>
      <c r="D49" s="154"/>
      <c r="E49" s="154"/>
    </row>
    <row r="50" spans="1:5" ht="15.6">
      <c r="A50" s="155" t="s">
        <v>283</v>
      </c>
      <c r="B50" s="155"/>
      <c r="C50" s="156">
        <v>8</v>
      </c>
      <c r="D50" s="157"/>
      <c r="E50" s="157"/>
    </row>
    <row r="51" spans="1:5" ht="15.6">
      <c r="A51" s="152" t="s">
        <v>735</v>
      </c>
      <c r="B51" s="152"/>
      <c r="C51" s="153">
        <v>8</v>
      </c>
      <c r="D51" s="154"/>
      <c r="E51" s="154"/>
    </row>
    <row r="52" spans="1:5" ht="15.6">
      <c r="A52" s="155" t="s">
        <v>297</v>
      </c>
      <c r="B52" s="155"/>
      <c r="C52" s="156">
        <v>64</v>
      </c>
      <c r="D52" s="157"/>
      <c r="E52" s="157"/>
    </row>
    <row r="53" spans="1:5" ht="15.6">
      <c r="A53" s="152" t="s">
        <v>286</v>
      </c>
      <c r="B53" s="152"/>
      <c r="C53" s="153">
        <v>16</v>
      </c>
      <c r="D53" s="154"/>
      <c r="E53" s="154"/>
    </row>
    <row r="54" spans="1:5" ht="15.6">
      <c r="A54" s="155" t="s">
        <v>334</v>
      </c>
      <c r="B54" s="155"/>
      <c r="C54" s="156">
        <v>16</v>
      </c>
      <c r="D54" s="157"/>
      <c r="E54" s="157"/>
    </row>
    <row r="55" spans="1:5" ht="15.6">
      <c r="A55" s="152" t="s">
        <v>736</v>
      </c>
      <c r="B55" s="152"/>
      <c r="C55" s="153">
        <v>8</v>
      </c>
      <c r="D55" s="154"/>
      <c r="E55" s="154"/>
    </row>
    <row r="56" spans="1:5" ht="15.6">
      <c r="A56" s="155" t="s">
        <v>336</v>
      </c>
      <c r="B56" s="155"/>
      <c r="C56" s="156">
        <v>8</v>
      </c>
      <c r="D56" s="157"/>
      <c r="E56" s="157"/>
    </row>
    <row r="57" spans="1:5" ht="15.6">
      <c r="A57" s="152" t="s">
        <v>337</v>
      </c>
      <c r="B57" s="152"/>
      <c r="C57" s="153">
        <v>8</v>
      </c>
      <c r="D57" s="154"/>
      <c r="E57" s="154"/>
    </row>
    <row r="58" spans="1:5" ht="15.6">
      <c r="A58" s="155" t="s">
        <v>737</v>
      </c>
      <c r="B58" s="155"/>
      <c r="C58" s="156">
        <v>8</v>
      </c>
      <c r="D58" s="157"/>
      <c r="E58" s="157"/>
    </row>
    <row r="59" spans="1:5" ht="15.6">
      <c r="A59" s="152" t="s">
        <v>338</v>
      </c>
      <c r="B59" s="152"/>
      <c r="C59" s="153">
        <v>8</v>
      </c>
      <c r="D59" s="154"/>
      <c r="E59" s="154"/>
    </row>
    <row r="60" spans="1:5" ht="15.6">
      <c r="A60" s="155" t="s">
        <v>292</v>
      </c>
      <c r="B60" s="155"/>
      <c r="C60" s="156">
        <v>8</v>
      </c>
      <c r="D60" s="157"/>
      <c r="E60" s="157"/>
    </row>
    <row r="61" spans="1:5" ht="15.6">
      <c r="A61" s="152" t="s">
        <v>339</v>
      </c>
      <c r="B61" s="152"/>
      <c r="C61" s="153">
        <v>8</v>
      </c>
      <c r="D61" s="154"/>
      <c r="E61" s="154"/>
    </row>
    <row r="62" spans="1:5" ht="15.6">
      <c r="A62" s="155" t="s">
        <v>295</v>
      </c>
      <c r="B62" s="155"/>
      <c r="C62" s="156">
        <v>8</v>
      </c>
      <c r="D62" s="157"/>
      <c r="E62" s="157"/>
    </row>
    <row r="63" spans="1:5" ht="15.6">
      <c r="A63" s="152" t="s">
        <v>296</v>
      </c>
      <c r="B63" s="152"/>
      <c r="C63" s="153">
        <v>8</v>
      </c>
      <c r="D63" s="154"/>
      <c r="E63" s="154"/>
    </row>
    <row r="64" spans="1:5" ht="15.6">
      <c r="A64" s="155" t="s">
        <v>738</v>
      </c>
      <c r="B64" s="155"/>
      <c r="C64" s="156">
        <v>8</v>
      </c>
      <c r="D64" s="157"/>
      <c r="E64" s="157"/>
    </row>
    <row r="65" spans="1:5" ht="15.6">
      <c r="A65" s="152" t="s">
        <v>284</v>
      </c>
      <c r="B65" s="152"/>
      <c r="C65" s="153">
        <v>8</v>
      </c>
      <c r="D65" s="154"/>
      <c r="E65" s="154"/>
    </row>
    <row r="66" spans="1:5" ht="15.6">
      <c r="A66" s="155" t="s">
        <v>739</v>
      </c>
      <c r="B66" s="155"/>
      <c r="C66" s="156">
        <v>8</v>
      </c>
      <c r="D66" s="157"/>
      <c r="E66" s="157"/>
    </row>
    <row r="67" spans="1:5" ht="15.6">
      <c r="A67" s="152" t="s">
        <v>342</v>
      </c>
      <c r="B67" s="152"/>
      <c r="C67" s="153">
        <v>8</v>
      </c>
      <c r="D67" s="154"/>
      <c r="E67" s="154"/>
    </row>
    <row r="68" spans="1:5" ht="15.6">
      <c r="A68" s="155" t="s">
        <v>300</v>
      </c>
      <c r="B68" s="155"/>
      <c r="C68" s="156">
        <v>64</v>
      </c>
      <c r="D68" s="157"/>
      <c r="E68" s="157"/>
    </row>
    <row r="69" spans="1:5" ht="15.6">
      <c r="A69" s="152" t="s">
        <v>343</v>
      </c>
      <c r="B69" s="152"/>
      <c r="C69" s="153">
        <v>8</v>
      </c>
      <c r="D69" s="154"/>
      <c r="E69" s="154"/>
    </row>
    <row r="70" spans="1:5" ht="15.6">
      <c r="A70" s="155" t="s">
        <v>344</v>
      </c>
      <c r="B70" s="155"/>
      <c r="C70" s="156">
        <v>8</v>
      </c>
      <c r="D70" s="157"/>
      <c r="E70" s="157"/>
    </row>
    <row r="71" spans="1:5" ht="15.6">
      <c r="A71" s="152" t="s">
        <v>278</v>
      </c>
      <c r="B71" s="152"/>
      <c r="C71" s="153">
        <v>8</v>
      </c>
      <c r="D71" s="154"/>
      <c r="E71" s="154"/>
    </row>
    <row r="72" spans="1:5" ht="15.6">
      <c r="A72" s="155" t="s">
        <v>345</v>
      </c>
      <c r="B72" s="155"/>
      <c r="C72" s="156">
        <v>8</v>
      </c>
      <c r="D72" s="157"/>
      <c r="E72" s="157"/>
    </row>
    <row r="73" spans="1:5" ht="15.6">
      <c r="A73" s="152" t="s">
        <v>274</v>
      </c>
      <c r="B73" s="152"/>
      <c r="C73" s="153">
        <v>8</v>
      </c>
      <c r="D73" s="154"/>
      <c r="E73" s="154"/>
    </row>
    <row r="74" spans="1:5" ht="15.6">
      <c r="A74" s="155" t="s">
        <v>346</v>
      </c>
      <c r="B74" s="155"/>
      <c r="C74" s="156">
        <v>8</v>
      </c>
      <c r="D74" s="157"/>
      <c r="E74" s="157"/>
    </row>
    <row r="75" spans="1:5" ht="15.6">
      <c r="A75" s="152" t="s">
        <v>740</v>
      </c>
      <c r="B75" s="152"/>
      <c r="C75" s="153">
        <v>8</v>
      </c>
      <c r="D75" s="154"/>
      <c r="E75" s="154"/>
    </row>
    <row r="76" spans="1:5" ht="15.6">
      <c r="A76" s="155" t="s">
        <v>347</v>
      </c>
      <c r="B76" s="155"/>
      <c r="C76" s="156">
        <v>8</v>
      </c>
      <c r="D76" s="157"/>
      <c r="E76" s="157"/>
    </row>
    <row r="77" spans="1:5" ht="15.6">
      <c r="A77" s="152" t="s">
        <v>348</v>
      </c>
      <c r="B77" s="152"/>
      <c r="C77" s="153">
        <v>8</v>
      </c>
      <c r="D77" s="154"/>
      <c r="E77" s="154"/>
    </row>
    <row r="78" spans="1:5" ht="15.6">
      <c r="A78" s="155" t="s">
        <v>276</v>
      </c>
      <c r="B78" s="155"/>
      <c r="C78" s="156">
        <v>8</v>
      </c>
      <c r="D78" s="157"/>
      <c r="E78" s="157"/>
    </row>
    <row r="79" spans="1:5" ht="15.6">
      <c r="A79" s="152" t="s">
        <v>277</v>
      </c>
      <c r="B79" s="152"/>
      <c r="C79" s="153">
        <v>8</v>
      </c>
      <c r="D79" s="154"/>
      <c r="E79" s="154"/>
    </row>
    <row r="80" spans="1:5" ht="15.6">
      <c r="A80" s="155" t="s">
        <v>350</v>
      </c>
      <c r="B80" s="155"/>
      <c r="C80" s="156">
        <v>8</v>
      </c>
      <c r="D80" s="157"/>
      <c r="E80" s="157"/>
    </row>
    <row r="81" spans="1:5" ht="15.6">
      <c r="A81" s="152" t="s">
        <v>741</v>
      </c>
      <c r="B81" s="152"/>
      <c r="C81" s="153">
        <v>8</v>
      </c>
      <c r="D81" s="154"/>
      <c r="E81" s="154"/>
    </row>
    <row r="82" spans="1:5" ht="15.6">
      <c r="A82" s="160" t="s">
        <v>742</v>
      </c>
      <c r="B82" s="155"/>
      <c r="C82" s="155"/>
      <c r="D82" s="155"/>
      <c r="E82" s="155"/>
    </row>
    <row r="83" spans="1:5" ht="15.6">
      <c r="A83" s="152" t="s">
        <v>320</v>
      </c>
      <c r="B83" s="152"/>
      <c r="C83" s="153">
        <v>8</v>
      </c>
      <c r="D83" s="154"/>
      <c r="E83" s="154"/>
    </row>
    <row r="84" spans="1:5" ht="15.6">
      <c r="A84" s="155"/>
      <c r="B84" s="155"/>
      <c r="C84" s="155"/>
      <c r="D84" s="155"/>
      <c r="E84" s="155"/>
    </row>
    <row r="85" spans="1:5" ht="15.6">
      <c r="A85" s="152" t="s">
        <v>351</v>
      </c>
      <c r="B85" s="152"/>
      <c r="C85" s="153">
        <v>8</v>
      </c>
      <c r="D85" s="154"/>
      <c r="E85" s="154"/>
    </row>
    <row r="86" spans="1:5" ht="15.6">
      <c r="A86" s="155" t="s">
        <v>305</v>
      </c>
      <c r="B86" s="155"/>
      <c r="C86" s="156">
        <v>8</v>
      </c>
      <c r="D86" s="157"/>
      <c r="E86" s="157"/>
    </row>
    <row r="87" spans="1:5" ht="15.6">
      <c r="A87" s="152" t="s">
        <v>306</v>
      </c>
      <c r="B87" s="152"/>
      <c r="C87" s="153">
        <v>8</v>
      </c>
      <c r="D87" s="154"/>
      <c r="E87" s="154"/>
    </row>
    <row r="88" spans="1:5" ht="15.6">
      <c r="A88" s="155"/>
      <c r="B88" s="155"/>
      <c r="C88" s="155"/>
      <c r="D88" s="155"/>
      <c r="E88" s="155"/>
    </row>
    <row r="89" spans="1:5" ht="15.6">
      <c r="A89" s="152" t="s">
        <v>743</v>
      </c>
      <c r="B89" s="152"/>
      <c r="C89" s="153">
        <v>8</v>
      </c>
      <c r="D89" s="154"/>
      <c r="E89" s="154"/>
    </row>
    <row r="90" spans="1:5" ht="15.6">
      <c r="A90" s="155" t="s">
        <v>744</v>
      </c>
      <c r="B90" s="155"/>
      <c r="C90" s="156">
        <v>8</v>
      </c>
      <c r="D90" s="157"/>
      <c r="E90" s="157"/>
    </row>
    <row r="91" spans="1:5" ht="15.6">
      <c r="A91" s="152" t="s">
        <v>745</v>
      </c>
      <c r="B91" s="152"/>
      <c r="C91" s="153">
        <v>8</v>
      </c>
      <c r="D91" s="154"/>
      <c r="E91" s="154"/>
    </row>
    <row r="92" spans="1:5" ht="15.6">
      <c r="A92" s="155" t="s">
        <v>741</v>
      </c>
      <c r="B92" s="155"/>
      <c r="C92" s="156">
        <v>8</v>
      </c>
      <c r="D92" s="157"/>
      <c r="E92" s="157"/>
    </row>
    <row r="93" spans="1:5" ht="15.6">
      <c r="A93" s="152"/>
      <c r="B93" s="152"/>
      <c r="C93" s="152"/>
      <c r="D93" s="152"/>
      <c r="E93" s="152"/>
    </row>
    <row r="94" spans="1:5" ht="15.6">
      <c r="A94" s="155" t="s">
        <v>302</v>
      </c>
      <c r="B94" s="155"/>
      <c r="C94" s="156">
        <v>8</v>
      </c>
      <c r="D94" s="157"/>
      <c r="E94" s="157"/>
    </row>
    <row r="95" spans="1:5" ht="15.6">
      <c r="A95" s="152" t="s">
        <v>303</v>
      </c>
      <c r="B95" s="152"/>
      <c r="C95" s="153">
        <v>8</v>
      </c>
      <c r="D95" s="154"/>
      <c r="E95" s="154"/>
    </row>
    <row r="96" spans="1:5" ht="15.6">
      <c r="A96" s="155"/>
      <c r="B96" s="155"/>
      <c r="C96" s="155"/>
      <c r="D96" s="155"/>
      <c r="E96" s="155"/>
    </row>
    <row r="97" spans="1:5" ht="15.6">
      <c r="A97" s="158" t="s">
        <v>352</v>
      </c>
      <c r="B97" s="158"/>
      <c r="C97" s="159">
        <v>8</v>
      </c>
      <c r="D97" s="154"/>
      <c r="E97" s="154"/>
    </row>
    <row r="98" spans="1:5" ht="15.6">
      <c r="A98" s="155"/>
      <c r="B98" s="155"/>
      <c r="C98" s="155"/>
      <c r="D98" s="155"/>
      <c r="E98" s="155"/>
    </row>
    <row r="99" spans="1:5" ht="15.6">
      <c r="A99" s="152" t="s">
        <v>746</v>
      </c>
      <c r="B99" s="152"/>
      <c r="C99" s="153">
        <v>8</v>
      </c>
      <c r="D99" s="154"/>
      <c r="E99" s="154"/>
    </row>
    <row r="100" spans="1:5" ht="15.6">
      <c r="A100" s="155"/>
      <c r="B100" s="155"/>
      <c r="C100" s="155"/>
      <c r="D100" s="155"/>
      <c r="E100" s="155"/>
    </row>
    <row r="101" spans="1:5" ht="15.6">
      <c r="A101" s="152" t="s">
        <v>309</v>
      </c>
      <c r="B101" s="152"/>
      <c r="C101" s="153">
        <v>8</v>
      </c>
      <c r="D101" s="154"/>
      <c r="E101" s="154"/>
    </row>
    <row r="102" spans="1:5" ht="15.6">
      <c r="A102" s="155"/>
      <c r="B102" s="155"/>
      <c r="C102" s="155"/>
      <c r="D102" s="155"/>
      <c r="E102" s="155"/>
    </row>
    <row r="103" spans="1:5" ht="15.6">
      <c r="A103" s="152" t="s">
        <v>310</v>
      </c>
      <c r="B103" s="152"/>
      <c r="C103" s="153">
        <v>1</v>
      </c>
      <c r="D103" s="154"/>
      <c r="E103" s="154"/>
    </row>
    <row r="104" spans="1:5" ht="15.6">
      <c r="A104" s="155"/>
      <c r="B104" s="155"/>
      <c r="C104" s="155"/>
      <c r="D104" s="155"/>
      <c r="E104" s="155"/>
    </row>
    <row r="105" spans="1:5" ht="15.6">
      <c r="A105" s="152" t="s">
        <v>747</v>
      </c>
      <c r="B105" s="152"/>
      <c r="C105" s="153">
        <v>5</v>
      </c>
      <c r="D105" s="154"/>
      <c r="E105" s="154"/>
    </row>
    <row r="106" spans="1:5" ht="15.6">
      <c r="A106" s="155"/>
      <c r="B106" s="155"/>
      <c r="C106" s="155"/>
      <c r="D106" s="155"/>
      <c r="E106" s="155"/>
    </row>
    <row r="107" spans="1:5" ht="15.6">
      <c r="A107" s="161" t="s">
        <v>748</v>
      </c>
      <c r="B107" s="152"/>
      <c r="C107" s="152"/>
      <c r="D107" s="152"/>
      <c r="E107" s="152"/>
    </row>
    <row r="108" spans="1:5" ht="15.6">
      <c r="A108" s="158" t="s">
        <v>311</v>
      </c>
      <c r="B108" s="158"/>
      <c r="C108" s="159">
        <v>8</v>
      </c>
      <c r="D108" s="157"/>
      <c r="E108" s="157"/>
    </row>
    <row r="110" spans="1:5" ht="15.6">
      <c r="A110" s="145" t="s">
        <v>720</v>
      </c>
      <c r="B110" s="145"/>
      <c r="C110" s="162" t="s">
        <v>206</v>
      </c>
      <c r="D110" s="163"/>
      <c r="E110" s="163"/>
    </row>
    <row r="111" spans="1:5" ht="15.6">
      <c r="A111" s="164" t="s">
        <v>749</v>
      </c>
      <c r="B111" s="165"/>
      <c r="C111" s="166">
        <v>384</v>
      </c>
      <c r="E111" s="577"/>
    </row>
    <row r="112" spans="1:5" ht="15.6">
      <c r="A112" s="164" t="s">
        <v>750</v>
      </c>
      <c r="B112" s="165"/>
      <c r="C112" s="166">
        <v>384</v>
      </c>
      <c r="E112" s="577"/>
    </row>
    <row r="113" spans="1:5" ht="15.6">
      <c r="A113" s="164" t="s">
        <v>751</v>
      </c>
      <c r="B113" s="165"/>
      <c r="C113" s="166">
        <v>736</v>
      </c>
      <c r="E113" s="577"/>
    </row>
    <row r="116" spans="1:5" ht="15.6">
      <c r="A116" s="145" t="s">
        <v>720</v>
      </c>
      <c r="B116" s="145"/>
      <c r="C116" s="146" t="s">
        <v>206</v>
      </c>
      <c r="D116" s="146" t="s">
        <v>704</v>
      </c>
      <c r="E116" s="146" t="s">
        <v>721</v>
      </c>
    </row>
    <row r="117" spans="1:5" ht="15.6">
      <c r="A117" s="149" t="s">
        <v>752</v>
      </c>
      <c r="B117" s="149"/>
      <c r="C117" s="150">
        <v>1</v>
      </c>
      <c r="D117" s="151">
        <f>E117/C117</f>
        <v>32768966.967519999</v>
      </c>
      <c r="E117" s="151">
        <v>32768966.967519999</v>
      </c>
    </row>
    <row r="118" spans="1:5" ht="15.6">
      <c r="A118" s="152" t="s">
        <v>753</v>
      </c>
      <c r="B118" s="152"/>
      <c r="C118" s="153">
        <v>1</v>
      </c>
      <c r="D118" s="154"/>
      <c r="E118" s="154"/>
    </row>
    <row r="119" spans="1:5" ht="15.6">
      <c r="A119" s="155" t="s">
        <v>754</v>
      </c>
      <c r="B119" s="155"/>
      <c r="C119" s="156">
        <v>1</v>
      </c>
      <c r="D119" s="157"/>
      <c r="E119" s="157"/>
    </row>
    <row r="120" spans="1:5" ht="15.6">
      <c r="A120" s="152" t="s">
        <v>755</v>
      </c>
      <c r="B120" s="152"/>
      <c r="C120" s="153">
        <v>2</v>
      </c>
      <c r="D120" s="154"/>
      <c r="E120" s="154"/>
    </row>
    <row r="121" spans="1:5" ht="15.6">
      <c r="A121" s="158" t="s">
        <v>756</v>
      </c>
      <c r="B121" s="158"/>
      <c r="C121" s="159">
        <v>12</v>
      </c>
      <c r="D121" s="157"/>
      <c r="E121" s="157"/>
    </row>
    <row r="122" spans="1:5" ht="15.6">
      <c r="A122" s="152" t="s">
        <v>757</v>
      </c>
      <c r="B122" s="152"/>
      <c r="C122" s="153">
        <v>2</v>
      </c>
      <c r="D122" s="154"/>
      <c r="E122" s="154"/>
    </row>
    <row r="123" spans="1:5" ht="15.6">
      <c r="A123" s="155" t="s">
        <v>758</v>
      </c>
      <c r="B123" s="155"/>
      <c r="C123" s="156">
        <v>2</v>
      </c>
      <c r="D123" s="157"/>
      <c r="E123" s="157"/>
    </row>
    <row r="124" spans="1:5" ht="15.6">
      <c r="A124" s="152" t="s">
        <v>759</v>
      </c>
      <c r="B124" s="152"/>
      <c r="C124" s="153">
        <v>2</v>
      </c>
      <c r="D124" s="154"/>
      <c r="E124" s="154"/>
    </row>
    <row r="125" spans="1:5" ht="15.6">
      <c r="A125" s="155" t="s">
        <v>760</v>
      </c>
      <c r="B125" s="155"/>
      <c r="C125" s="156">
        <v>4</v>
      </c>
      <c r="D125" s="157"/>
      <c r="E125" s="157"/>
    </row>
    <row r="126" spans="1:5" ht="15.6">
      <c r="A126" s="152" t="s">
        <v>761</v>
      </c>
      <c r="B126" s="152"/>
      <c r="C126" s="153">
        <v>4</v>
      </c>
      <c r="D126" s="154"/>
      <c r="E126" s="154"/>
    </row>
    <row r="127" spans="1:5" ht="15.6">
      <c r="A127" s="155" t="s">
        <v>762</v>
      </c>
      <c r="B127" s="155"/>
      <c r="C127" s="156">
        <v>2</v>
      </c>
      <c r="D127" s="157"/>
      <c r="E127" s="157"/>
    </row>
    <row r="128" spans="1:5" ht="15.6">
      <c r="A128" s="152" t="s">
        <v>763</v>
      </c>
      <c r="B128" s="152"/>
      <c r="C128" s="153">
        <v>1</v>
      </c>
      <c r="D128" s="154"/>
      <c r="E128" s="154"/>
    </row>
    <row r="129" spans="1:5" ht="15.6">
      <c r="A129" s="155" t="s">
        <v>354</v>
      </c>
      <c r="B129" s="155"/>
      <c r="C129" s="156">
        <v>2</v>
      </c>
      <c r="D129" s="157"/>
      <c r="E129" s="157"/>
    </row>
    <row r="130" spans="1:5" ht="15.6">
      <c r="A130" s="152" t="s">
        <v>764</v>
      </c>
      <c r="B130" s="152"/>
      <c r="C130" s="153">
        <v>1</v>
      </c>
      <c r="D130" s="154"/>
      <c r="E130" s="154"/>
    </row>
    <row r="131" spans="1:5" ht="15.6">
      <c r="A131" s="155" t="s">
        <v>231</v>
      </c>
      <c r="B131" s="155"/>
      <c r="C131" s="156">
        <v>1</v>
      </c>
      <c r="D131" s="157"/>
      <c r="E131" s="157"/>
    </row>
    <row r="132" spans="1:5" ht="15.6">
      <c r="A132" s="152" t="s">
        <v>765</v>
      </c>
      <c r="B132" s="152"/>
      <c r="C132" s="153">
        <v>1</v>
      </c>
      <c r="D132" s="154"/>
      <c r="E132" s="154"/>
    </row>
    <row r="133" spans="1:5" ht="15.6">
      <c r="A133" s="155" t="s">
        <v>766</v>
      </c>
      <c r="B133" s="155"/>
      <c r="C133" s="156">
        <v>1</v>
      </c>
      <c r="D133" s="157"/>
      <c r="E133" s="157"/>
    </row>
    <row r="134" spans="1:5" ht="15.6">
      <c r="A134" s="152" t="s">
        <v>767</v>
      </c>
      <c r="B134" s="152"/>
      <c r="C134" s="153">
        <v>2</v>
      </c>
      <c r="D134" s="154"/>
      <c r="E134" s="154"/>
    </row>
    <row r="135" spans="1:5" ht="15.6">
      <c r="A135" s="155" t="s">
        <v>768</v>
      </c>
      <c r="B135" s="155"/>
      <c r="C135" s="156">
        <v>2</v>
      </c>
      <c r="D135" s="157"/>
      <c r="E135" s="157"/>
    </row>
    <row r="136" spans="1:5" ht="15.6">
      <c r="A136" s="152" t="s">
        <v>769</v>
      </c>
      <c r="B136" s="152"/>
      <c r="C136" s="153">
        <v>1</v>
      </c>
      <c r="D136" s="154"/>
      <c r="E136" s="154"/>
    </row>
    <row r="137" spans="1:5" ht="15.6">
      <c r="A137" s="155" t="s">
        <v>770</v>
      </c>
      <c r="B137" s="155"/>
      <c r="C137" s="156">
        <v>1</v>
      </c>
      <c r="D137" s="157"/>
      <c r="E137" s="157"/>
    </row>
    <row r="138" spans="1:5" ht="15.6">
      <c r="A138" s="152" t="s">
        <v>771</v>
      </c>
      <c r="B138" s="152"/>
      <c r="C138" s="153">
        <v>1</v>
      </c>
      <c r="D138" s="154"/>
      <c r="E138" s="154"/>
    </row>
    <row r="139" spans="1:5" ht="15.6">
      <c r="A139" s="155" t="s">
        <v>772</v>
      </c>
      <c r="B139" s="155"/>
      <c r="C139" s="156">
        <v>1</v>
      </c>
      <c r="D139" s="157"/>
      <c r="E139" s="157"/>
    </row>
    <row r="140" spans="1:5" ht="15.6">
      <c r="A140" s="152" t="s">
        <v>773</v>
      </c>
      <c r="B140" s="152"/>
      <c r="C140" s="153">
        <v>1</v>
      </c>
      <c r="D140" s="154"/>
      <c r="E140" s="154"/>
    </row>
    <row r="141" spans="1:5" ht="15.6">
      <c r="A141" s="155" t="s">
        <v>774</v>
      </c>
      <c r="B141" s="155"/>
      <c r="C141" s="156">
        <v>1</v>
      </c>
      <c r="D141" s="157"/>
      <c r="E141" s="157"/>
    </row>
    <row r="142" spans="1:5" ht="15.6">
      <c r="A142" s="152" t="s">
        <v>775</v>
      </c>
      <c r="B142" s="152"/>
      <c r="C142" s="153">
        <v>1</v>
      </c>
      <c r="D142" s="154"/>
      <c r="E142" s="154"/>
    </row>
    <row r="143" spans="1:5" ht="15.6">
      <c r="A143" s="155" t="s">
        <v>776</v>
      </c>
      <c r="B143" s="155"/>
      <c r="C143" s="156">
        <v>1</v>
      </c>
      <c r="D143" s="157"/>
      <c r="E143" s="157"/>
    </row>
    <row r="144" spans="1:5" ht="15.6">
      <c r="A144" s="152" t="s">
        <v>777</v>
      </c>
      <c r="B144" s="152"/>
      <c r="C144" s="153">
        <v>1</v>
      </c>
      <c r="D144" s="154"/>
      <c r="E144" s="154"/>
    </row>
    <row r="145" spans="1:5" ht="15.6">
      <c r="A145" s="155" t="s">
        <v>277</v>
      </c>
      <c r="B145" s="155"/>
      <c r="C145" s="156">
        <v>1</v>
      </c>
      <c r="D145" s="157"/>
      <c r="E145" s="157"/>
    </row>
    <row r="146" spans="1:5" ht="15.6">
      <c r="A146" s="152" t="s">
        <v>778</v>
      </c>
      <c r="B146" s="152"/>
      <c r="C146" s="153">
        <v>1</v>
      </c>
      <c r="D146" s="154"/>
      <c r="E146" s="154"/>
    </row>
    <row r="147" spans="1:5" ht="15.6">
      <c r="A147" s="155" t="s">
        <v>779</v>
      </c>
      <c r="B147" s="155"/>
      <c r="C147" s="156">
        <v>1</v>
      </c>
      <c r="D147" s="157"/>
      <c r="E147" s="157"/>
    </row>
    <row r="148" spans="1:5" ht="15.6">
      <c r="A148" s="152" t="s">
        <v>780</v>
      </c>
      <c r="B148" s="152"/>
      <c r="C148" s="153">
        <v>2</v>
      </c>
      <c r="D148" s="154"/>
      <c r="E148" s="154"/>
    </row>
    <row r="149" spans="1:5" ht="15.6">
      <c r="A149" s="155"/>
      <c r="B149" s="155"/>
      <c r="C149" s="155"/>
      <c r="D149" s="155"/>
      <c r="E149" s="155"/>
    </row>
    <row r="150" spans="1:5" ht="15.6">
      <c r="A150" s="152" t="s">
        <v>781</v>
      </c>
      <c r="B150" s="152"/>
      <c r="C150" s="153">
        <v>1</v>
      </c>
      <c r="D150" s="154"/>
      <c r="E150" s="154"/>
    </row>
    <row r="151" spans="1:5" ht="15.6">
      <c r="A151" s="155" t="s">
        <v>782</v>
      </c>
      <c r="B151" s="155"/>
      <c r="C151" s="156">
        <v>7373</v>
      </c>
      <c r="D151" s="157"/>
      <c r="E151" s="157"/>
    </row>
    <row r="152" spans="1:5" ht="15.6">
      <c r="A152" s="152"/>
      <c r="B152" s="152"/>
      <c r="C152" s="152"/>
      <c r="D152" s="152"/>
      <c r="E152" s="152"/>
    </row>
    <row r="153" spans="1:5" ht="15.6">
      <c r="A153" s="155" t="s">
        <v>304</v>
      </c>
      <c r="B153" s="155"/>
      <c r="C153" s="156">
        <v>1</v>
      </c>
      <c r="D153" s="157"/>
      <c r="E153" s="157"/>
    </row>
    <row r="154" spans="1:5" ht="15.6">
      <c r="A154" s="152" t="s">
        <v>783</v>
      </c>
      <c r="B154" s="152"/>
      <c r="C154" s="153">
        <v>1</v>
      </c>
      <c r="D154" s="154"/>
      <c r="E154" s="154"/>
    </row>
    <row r="155" spans="1:5" ht="15.6">
      <c r="A155" s="155" t="s">
        <v>306</v>
      </c>
      <c r="B155" s="155"/>
      <c r="C155" s="156">
        <v>1</v>
      </c>
      <c r="D155" s="157"/>
      <c r="E155" s="157"/>
    </row>
    <row r="156" spans="1:5" ht="15.6">
      <c r="A156" s="152"/>
      <c r="B156" s="152"/>
      <c r="C156" s="152"/>
      <c r="D156" s="152"/>
      <c r="E156" s="152"/>
    </row>
    <row r="157" spans="1:5" ht="15.6">
      <c r="A157" s="155" t="s">
        <v>784</v>
      </c>
      <c r="B157" s="155"/>
      <c r="C157" s="156">
        <v>1</v>
      </c>
      <c r="D157" s="157"/>
      <c r="E157" s="157"/>
    </row>
    <row r="158" spans="1:5" ht="15.6">
      <c r="A158" s="152"/>
      <c r="B158" s="152"/>
      <c r="C158" s="152"/>
      <c r="D158" s="152"/>
      <c r="E158" s="152"/>
    </row>
    <row r="159" spans="1:5" ht="15.6">
      <c r="A159" s="155" t="s">
        <v>785</v>
      </c>
      <c r="B159" s="155"/>
      <c r="C159" s="156">
        <v>1</v>
      </c>
      <c r="D159" s="157"/>
      <c r="E159" s="157"/>
    </row>
    <row r="160" spans="1:5" ht="15.6">
      <c r="A160" s="152"/>
      <c r="B160" s="152"/>
      <c r="C160" s="152"/>
      <c r="D160" s="152"/>
      <c r="E160" s="152"/>
    </row>
    <row r="161" spans="1:7" ht="15.6">
      <c r="A161" s="155" t="s">
        <v>786</v>
      </c>
      <c r="B161" s="155"/>
      <c r="C161" s="156">
        <v>1</v>
      </c>
      <c r="D161" s="157"/>
      <c r="E161" s="157"/>
    </row>
    <row r="162" spans="1:7" ht="15.6">
      <c r="A162" s="152"/>
      <c r="B162" s="152"/>
      <c r="C162" s="152"/>
      <c r="D162" s="152"/>
      <c r="E162" s="152"/>
    </row>
    <row r="163" spans="1:7" ht="15.6">
      <c r="A163" s="155" t="s">
        <v>787</v>
      </c>
      <c r="B163" s="155"/>
      <c r="C163" s="156">
        <v>7373</v>
      </c>
      <c r="D163" s="157"/>
      <c r="E163" s="157"/>
    </row>
    <row r="167" spans="1:7" ht="15.6">
      <c r="A167" s="145" t="s">
        <v>222</v>
      </c>
      <c r="B167" s="145"/>
      <c r="C167" s="146" t="s">
        <v>21</v>
      </c>
      <c r="D167" s="146" t="s">
        <v>362</v>
      </c>
      <c r="E167" s="146" t="s">
        <v>363</v>
      </c>
    </row>
    <row r="168" spans="1:7" ht="15.6">
      <c r="A168" s="155" t="s">
        <v>356</v>
      </c>
      <c r="B168" s="155"/>
      <c r="C168" s="156">
        <v>8</v>
      </c>
      <c r="D168" s="157">
        <f>E168/C168</f>
        <v>1746648.7651227501</v>
      </c>
      <c r="E168" s="157">
        <v>13973190.120982001</v>
      </c>
    </row>
    <row r="169" spans="1:7" ht="15.6">
      <c r="A169" s="152" t="s">
        <v>788</v>
      </c>
      <c r="B169" s="152"/>
      <c r="C169" s="153">
        <v>1</v>
      </c>
      <c r="D169" s="167">
        <f>E169/C169</f>
        <v>2000000</v>
      </c>
      <c r="E169" s="168">
        <v>2000000</v>
      </c>
    </row>
    <row r="172" spans="1:7" ht="15.6">
      <c r="A172" s="145" t="s">
        <v>720</v>
      </c>
      <c r="B172" s="145"/>
      <c r="C172" s="146" t="s">
        <v>206</v>
      </c>
      <c r="D172" s="146" t="s">
        <v>704</v>
      </c>
      <c r="E172" s="146" t="s">
        <v>721</v>
      </c>
    </row>
    <row r="173" spans="1:7" ht="45">
      <c r="D173" s="147" t="s">
        <v>722</v>
      </c>
      <c r="E173" s="147" t="s">
        <v>723</v>
      </c>
    </row>
    <row r="174" spans="1:7" ht="15">
      <c r="D174" s="148"/>
      <c r="E174" s="148"/>
    </row>
    <row r="175" spans="1:7" ht="15.6">
      <c r="A175" s="496" t="s">
        <v>1346</v>
      </c>
      <c r="B175" s="496"/>
      <c r="C175" s="497">
        <v>1</v>
      </c>
      <c r="D175" s="498">
        <f>E175/C175</f>
        <v>19323942.373120002</v>
      </c>
      <c r="E175" s="498">
        <v>19323942.373120002</v>
      </c>
      <c r="G175" s="498">
        <v>19523942.373119999</v>
      </c>
    </row>
    <row r="176" spans="1:7" ht="15.6">
      <c r="A176" s="152" t="s">
        <v>753</v>
      </c>
      <c r="B176" s="152"/>
      <c r="C176" s="153">
        <v>1</v>
      </c>
      <c r="D176" s="154"/>
      <c r="E176" s="154"/>
    </row>
    <row r="177" spans="1:7" ht="15.6">
      <c r="A177" s="155" t="s">
        <v>754</v>
      </c>
      <c r="B177" s="155"/>
      <c r="C177" s="156">
        <v>1</v>
      </c>
      <c r="D177" s="157"/>
      <c r="E177" s="157"/>
    </row>
    <row r="178" spans="1:7" ht="15.6">
      <c r="A178" s="152" t="s">
        <v>755</v>
      </c>
      <c r="B178" s="152"/>
      <c r="C178" s="153">
        <v>2</v>
      </c>
      <c r="D178" s="154"/>
      <c r="E178" s="154"/>
    </row>
    <row r="179" spans="1:7" ht="15.6">
      <c r="A179" s="155" t="s">
        <v>1347</v>
      </c>
      <c r="B179" s="155"/>
      <c r="C179" s="156">
        <v>12</v>
      </c>
      <c r="D179" s="157"/>
      <c r="E179" s="157"/>
      <c r="G179">
        <f>30.7*12</f>
        <v>368.4</v>
      </c>
    </row>
    <row r="180" spans="1:7" ht="15.6">
      <c r="A180" s="152" t="s">
        <v>757</v>
      </c>
      <c r="B180" s="152"/>
      <c r="C180" s="153">
        <v>2</v>
      </c>
      <c r="D180" s="154"/>
      <c r="E180" s="154"/>
    </row>
    <row r="181" spans="1:7" ht="15.6">
      <c r="A181" s="155" t="s">
        <v>758</v>
      </c>
      <c r="B181" s="155"/>
      <c r="C181" s="156">
        <v>2</v>
      </c>
      <c r="D181" s="157"/>
      <c r="E181" s="157"/>
    </row>
    <row r="182" spans="1:7" ht="15.6">
      <c r="A182" s="152" t="s">
        <v>759</v>
      </c>
      <c r="B182" s="152"/>
      <c r="C182" s="153">
        <v>2</v>
      </c>
      <c r="D182" s="154"/>
      <c r="E182" s="154"/>
    </row>
    <row r="183" spans="1:7" ht="15.6">
      <c r="A183" s="155" t="s">
        <v>760</v>
      </c>
      <c r="B183" s="155"/>
      <c r="C183" s="156">
        <v>4</v>
      </c>
      <c r="D183" s="157"/>
      <c r="E183" s="157"/>
    </row>
    <row r="184" spans="1:7" ht="15.6">
      <c r="A184" s="152" t="s">
        <v>761</v>
      </c>
      <c r="B184" s="152"/>
      <c r="C184" s="153">
        <v>4</v>
      </c>
      <c r="D184" s="154"/>
      <c r="E184" s="154"/>
    </row>
    <row r="185" spans="1:7" ht="15.6">
      <c r="A185" s="155" t="s">
        <v>762</v>
      </c>
      <c r="B185" s="155"/>
      <c r="C185" s="156">
        <v>2</v>
      </c>
      <c r="D185" s="157"/>
      <c r="E185" s="157"/>
    </row>
    <row r="186" spans="1:7" ht="15.6">
      <c r="A186" s="152" t="s">
        <v>1348</v>
      </c>
      <c r="B186" s="152"/>
      <c r="C186" s="153">
        <v>8</v>
      </c>
      <c r="D186" s="154"/>
      <c r="E186" s="154"/>
    </row>
    <row r="187" spans="1:7" ht="15.6">
      <c r="A187" s="155" t="s">
        <v>763</v>
      </c>
      <c r="B187" s="155"/>
      <c r="C187" s="156">
        <v>1</v>
      </c>
      <c r="D187" s="157"/>
      <c r="E187" s="157"/>
    </row>
    <row r="188" spans="1:7" ht="15.6">
      <c r="A188" s="152" t="s">
        <v>354</v>
      </c>
      <c r="B188" s="152"/>
      <c r="C188" s="153">
        <v>2</v>
      </c>
      <c r="D188" s="154"/>
      <c r="E188" s="154"/>
    </row>
    <row r="189" spans="1:7" ht="15.6">
      <c r="A189" s="155" t="s">
        <v>764</v>
      </c>
      <c r="B189" s="155"/>
      <c r="C189" s="156">
        <v>1</v>
      </c>
      <c r="D189" s="157"/>
      <c r="E189" s="157"/>
    </row>
    <row r="190" spans="1:7" ht="15.6">
      <c r="A190" s="152" t="s">
        <v>231</v>
      </c>
      <c r="B190" s="152"/>
      <c r="C190" s="153">
        <v>1</v>
      </c>
      <c r="D190" s="154"/>
      <c r="E190" s="154"/>
    </row>
    <row r="191" spans="1:7" ht="15.6">
      <c r="A191" s="155" t="s">
        <v>765</v>
      </c>
      <c r="B191" s="155"/>
      <c r="C191" s="156">
        <v>1</v>
      </c>
      <c r="D191" s="157"/>
      <c r="E191" s="157"/>
    </row>
    <row r="192" spans="1:7" ht="15.6">
      <c r="A192" s="152" t="s">
        <v>766</v>
      </c>
      <c r="B192" s="152"/>
      <c r="C192" s="153">
        <v>1</v>
      </c>
      <c r="D192" s="154"/>
      <c r="E192" s="154"/>
    </row>
    <row r="193" spans="1:5" ht="15.6">
      <c r="A193" s="155" t="s">
        <v>767</v>
      </c>
      <c r="B193" s="155"/>
      <c r="C193" s="156">
        <v>2</v>
      </c>
      <c r="D193" s="157"/>
      <c r="E193" s="157"/>
    </row>
    <row r="194" spans="1:5" ht="15.6">
      <c r="A194" s="152" t="s">
        <v>768</v>
      </c>
      <c r="B194" s="152"/>
      <c r="C194" s="153">
        <v>2</v>
      </c>
      <c r="D194" s="154"/>
      <c r="E194" s="154"/>
    </row>
    <row r="195" spans="1:5" ht="15.6">
      <c r="A195" s="155" t="s">
        <v>769</v>
      </c>
      <c r="B195" s="155"/>
      <c r="C195" s="156">
        <v>1</v>
      </c>
      <c r="D195" s="157"/>
      <c r="E195" s="157"/>
    </row>
    <row r="196" spans="1:5" ht="15.6">
      <c r="A196" s="152" t="s">
        <v>770</v>
      </c>
      <c r="B196" s="152"/>
      <c r="C196" s="153">
        <v>1</v>
      </c>
      <c r="D196" s="154"/>
      <c r="E196" s="154"/>
    </row>
    <row r="197" spans="1:5" ht="15.6">
      <c r="A197" s="155" t="s">
        <v>1349</v>
      </c>
      <c r="B197" s="155"/>
      <c r="C197" s="156">
        <v>1</v>
      </c>
      <c r="D197" s="157"/>
      <c r="E197" s="157"/>
    </row>
    <row r="198" spans="1:5" ht="15.6">
      <c r="A198" s="152" t="s">
        <v>780</v>
      </c>
      <c r="B198" s="152"/>
      <c r="C198" s="153">
        <v>2</v>
      </c>
      <c r="D198" s="154"/>
      <c r="E198" s="154"/>
    </row>
    <row r="199" spans="1:5" ht="15.6">
      <c r="A199" s="155" t="s">
        <v>777</v>
      </c>
      <c r="B199" s="155"/>
      <c r="C199" s="156">
        <v>1</v>
      </c>
      <c r="D199" s="157"/>
      <c r="E199" s="157"/>
    </row>
    <row r="200" spans="1:5" ht="15.6">
      <c r="A200" s="152" t="s">
        <v>1350</v>
      </c>
      <c r="B200" s="152"/>
      <c r="C200" s="153">
        <v>1</v>
      </c>
      <c r="D200" s="154"/>
      <c r="E200" s="154"/>
    </row>
    <row r="201" spans="1:5" ht="15.6">
      <c r="A201" s="155" t="s">
        <v>773</v>
      </c>
      <c r="B201" s="155"/>
      <c r="C201" s="156">
        <v>1</v>
      </c>
      <c r="D201" s="157"/>
      <c r="E201" s="157"/>
    </row>
    <row r="202" spans="1:5" ht="15.6">
      <c r="A202" s="152" t="s">
        <v>775</v>
      </c>
      <c r="B202" s="152"/>
      <c r="C202" s="153">
        <v>1</v>
      </c>
      <c r="D202" s="154"/>
      <c r="E202" s="154"/>
    </row>
    <row r="203" spans="1:5" ht="15.6">
      <c r="A203" s="155" t="s">
        <v>779</v>
      </c>
      <c r="B203" s="155"/>
      <c r="C203" s="156">
        <v>1</v>
      </c>
      <c r="D203" s="157"/>
      <c r="E203" s="157"/>
    </row>
    <row r="204" spans="1:5" ht="15.6">
      <c r="A204" s="152" t="s">
        <v>774</v>
      </c>
      <c r="B204" s="152"/>
      <c r="C204" s="153">
        <v>1</v>
      </c>
      <c r="D204" s="154"/>
      <c r="E204" s="154"/>
    </row>
    <row r="205" spans="1:5" ht="15.6">
      <c r="A205" s="155" t="s">
        <v>1351</v>
      </c>
      <c r="B205" s="155"/>
      <c r="C205" s="156">
        <v>1</v>
      </c>
      <c r="D205" s="157"/>
      <c r="E205" s="157"/>
    </row>
    <row r="206" spans="1:5" ht="15.6">
      <c r="A206" s="152" t="s">
        <v>277</v>
      </c>
      <c r="B206" s="152"/>
      <c r="C206" s="153">
        <v>1</v>
      </c>
      <c r="D206" s="154"/>
      <c r="E206" s="154"/>
    </row>
    <row r="207" spans="1:5" ht="15.6">
      <c r="A207" s="155" t="s">
        <v>771</v>
      </c>
      <c r="B207" s="155"/>
      <c r="C207" s="156">
        <v>1</v>
      </c>
      <c r="D207" s="157"/>
      <c r="E207" s="157"/>
    </row>
    <row r="208" spans="1:5" ht="15.6">
      <c r="A208" s="152" t="s">
        <v>776</v>
      </c>
      <c r="B208" s="152"/>
      <c r="C208" s="153">
        <v>1</v>
      </c>
      <c r="D208" s="154"/>
      <c r="E208" s="154"/>
    </row>
    <row r="209" spans="1:5" ht="15.6">
      <c r="A209" s="155"/>
      <c r="B209" s="155"/>
      <c r="C209" s="155"/>
      <c r="D209" s="155"/>
      <c r="E209" s="155"/>
    </row>
    <row r="210" spans="1:5" ht="15.6">
      <c r="A210" s="152" t="s">
        <v>781</v>
      </c>
      <c r="B210" s="152"/>
      <c r="C210" s="153">
        <v>1</v>
      </c>
      <c r="D210" s="154"/>
      <c r="E210" s="154"/>
    </row>
    <row r="211" spans="1:5" ht="15.6">
      <c r="A211" s="155" t="s">
        <v>782</v>
      </c>
      <c r="B211" s="155"/>
      <c r="C211" s="156">
        <v>3686</v>
      </c>
      <c r="D211" s="157"/>
      <c r="E211" s="157"/>
    </row>
    <row r="212" spans="1:5" ht="15.6">
      <c r="A212" s="152"/>
      <c r="B212" s="152"/>
      <c r="C212" s="152"/>
      <c r="D212" s="152"/>
      <c r="E212" s="152"/>
    </row>
    <row r="213" spans="1:5" ht="15.6">
      <c r="A213" s="155" t="s">
        <v>351</v>
      </c>
      <c r="B213" s="155"/>
      <c r="C213" s="156">
        <v>1</v>
      </c>
      <c r="D213" s="157"/>
      <c r="E213" s="157"/>
    </row>
    <row r="214" spans="1:5" ht="15.6">
      <c r="A214" s="152" t="s">
        <v>306</v>
      </c>
      <c r="B214" s="152"/>
      <c r="C214" s="153">
        <v>1</v>
      </c>
      <c r="D214" s="154"/>
      <c r="E214" s="154"/>
    </row>
    <row r="215" spans="1:5" ht="15.6">
      <c r="A215" s="155" t="s">
        <v>305</v>
      </c>
      <c r="B215" s="155"/>
      <c r="C215" s="156">
        <v>1</v>
      </c>
      <c r="D215" s="157"/>
      <c r="E215" s="157"/>
    </row>
    <row r="216" spans="1:5" ht="15.6">
      <c r="A216" s="152"/>
      <c r="B216" s="152"/>
      <c r="C216" s="152"/>
      <c r="D216" s="152"/>
      <c r="E216" s="152"/>
    </row>
    <row r="217" spans="1:5" ht="15.6">
      <c r="A217" s="155" t="s">
        <v>784</v>
      </c>
      <c r="B217" s="155"/>
      <c r="C217" s="156">
        <v>1</v>
      </c>
      <c r="D217" s="157"/>
      <c r="E217" s="157"/>
    </row>
    <row r="218" spans="1:5" ht="15.6">
      <c r="A218" s="152"/>
      <c r="B218" s="152"/>
      <c r="C218" s="152"/>
      <c r="D218" s="152"/>
      <c r="E218" s="152"/>
    </row>
    <row r="219" spans="1:5" ht="15.6">
      <c r="A219" s="155" t="s">
        <v>786</v>
      </c>
      <c r="B219" s="155"/>
      <c r="C219" s="156">
        <v>1</v>
      </c>
      <c r="D219" s="157"/>
      <c r="E219" s="157"/>
    </row>
    <row r="220" spans="1:5" ht="15.6">
      <c r="A220" s="152"/>
      <c r="B220" s="152"/>
      <c r="C220" s="152"/>
      <c r="D220" s="152"/>
      <c r="E220" s="152"/>
    </row>
    <row r="221" spans="1:5" ht="15.6">
      <c r="A221" s="155" t="s">
        <v>787</v>
      </c>
      <c r="B221" s="155"/>
      <c r="C221" s="156">
        <v>3686</v>
      </c>
      <c r="D221" s="157"/>
      <c r="E221" s="157"/>
    </row>
  </sheetData>
  <mergeCells count="1">
    <mergeCell ref="E111:E11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985FD-FA9C-4CF2-A0B8-46D0B0CE25B6}">
  <sheetPr codeName="Sheet11"/>
  <dimension ref="A1:G177"/>
  <sheetViews>
    <sheetView topLeftCell="B22" workbookViewId="0">
      <selection activeCell="G170" sqref="G170"/>
    </sheetView>
  </sheetViews>
  <sheetFormatPr defaultRowHeight="14.4"/>
  <cols>
    <col min="1" max="1" width="55.21875" bestFit="1" customWidth="1"/>
    <col min="2" max="2" width="8.21875" bestFit="1" customWidth="1"/>
    <col min="3" max="3" width="82.21875" bestFit="1" customWidth="1"/>
    <col min="6" max="6" width="13.21875" bestFit="1" customWidth="1"/>
    <col min="7" max="7" width="14.77734375" bestFit="1" customWidth="1"/>
  </cols>
  <sheetData>
    <row r="1" spans="1:7">
      <c r="A1" s="84" t="s">
        <v>222</v>
      </c>
      <c r="B1" s="84" t="s">
        <v>21</v>
      </c>
      <c r="C1" s="84" t="s">
        <v>223</v>
      </c>
      <c r="D1" s="84" t="s">
        <v>224</v>
      </c>
      <c r="E1" s="84" t="s">
        <v>361</v>
      </c>
      <c r="F1" s="59" t="s">
        <v>362</v>
      </c>
      <c r="G1" s="59" t="s">
        <v>363</v>
      </c>
    </row>
    <row r="2" spans="1:7">
      <c r="A2" s="85" t="s">
        <v>225</v>
      </c>
      <c r="B2" s="85" t="s">
        <v>226</v>
      </c>
      <c r="C2" s="85" t="s">
        <v>227</v>
      </c>
      <c r="D2" s="85" t="s">
        <v>227</v>
      </c>
      <c r="E2" s="85" t="s">
        <v>227</v>
      </c>
      <c r="F2" s="60">
        <f>G2/B2</f>
        <v>5432892.2107499996</v>
      </c>
      <c r="G2" s="61">
        <v>5432892.2107499996</v>
      </c>
    </row>
    <row r="3" spans="1:7">
      <c r="A3" s="85" t="s">
        <v>227</v>
      </c>
      <c r="B3" s="85" t="s">
        <v>227</v>
      </c>
      <c r="C3" s="85" t="s">
        <v>213</v>
      </c>
      <c r="D3" s="85" t="s">
        <v>226</v>
      </c>
      <c r="E3" s="85" t="s">
        <v>227</v>
      </c>
      <c r="F3" s="5"/>
      <c r="G3" s="5"/>
    </row>
    <row r="4" spans="1:7">
      <c r="A4" s="85" t="s">
        <v>227</v>
      </c>
      <c r="B4" s="85" t="s">
        <v>227</v>
      </c>
      <c r="C4" s="85" t="s">
        <v>228</v>
      </c>
      <c r="D4" s="85" t="s">
        <v>226</v>
      </c>
      <c r="E4" s="85" t="s">
        <v>227</v>
      </c>
      <c r="F4" s="5"/>
      <c r="G4" s="5"/>
    </row>
    <row r="5" spans="1:7">
      <c r="A5" s="85" t="s">
        <v>227</v>
      </c>
      <c r="B5" s="85" t="s">
        <v>227</v>
      </c>
      <c r="C5" s="85" t="s">
        <v>229</v>
      </c>
      <c r="D5" s="85" t="s">
        <v>226</v>
      </c>
      <c r="E5" s="85" t="s">
        <v>227</v>
      </c>
      <c r="F5" s="5"/>
      <c r="G5" s="5"/>
    </row>
    <row r="6" spans="1:7">
      <c r="A6" s="85" t="s">
        <v>227</v>
      </c>
      <c r="B6" s="85" t="s">
        <v>227</v>
      </c>
      <c r="C6" s="85" t="s">
        <v>230</v>
      </c>
      <c r="D6" s="85" t="s">
        <v>226</v>
      </c>
      <c r="E6" s="85" t="s">
        <v>227</v>
      </c>
      <c r="F6" s="5"/>
      <c r="G6" s="5"/>
    </row>
    <row r="7" spans="1:7">
      <c r="A7" s="85" t="s">
        <v>227</v>
      </c>
      <c r="B7" s="85" t="s">
        <v>227</v>
      </c>
      <c r="C7" s="85" t="s">
        <v>231</v>
      </c>
      <c r="D7" s="85" t="s">
        <v>226</v>
      </c>
      <c r="E7" s="85" t="s">
        <v>227</v>
      </c>
      <c r="F7" s="5"/>
      <c r="G7" s="5"/>
    </row>
    <row r="8" spans="1:7">
      <c r="A8" s="85" t="s">
        <v>227</v>
      </c>
      <c r="B8" s="85" t="s">
        <v>227</v>
      </c>
      <c r="C8" s="85" t="s">
        <v>232</v>
      </c>
      <c r="D8" s="85" t="s">
        <v>226</v>
      </c>
      <c r="E8" s="85" t="s">
        <v>227</v>
      </c>
      <c r="F8" s="5"/>
      <c r="G8" s="5"/>
    </row>
    <row r="9" spans="1:7">
      <c r="A9" s="85" t="s">
        <v>227</v>
      </c>
      <c r="B9" s="85" t="s">
        <v>227</v>
      </c>
      <c r="C9" s="85" t="s">
        <v>233</v>
      </c>
      <c r="D9" s="85" t="s">
        <v>226</v>
      </c>
      <c r="E9" s="85" t="s">
        <v>227</v>
      </c>
      <c r="F9" s="5"/>
      <c r="G9" s="5"/>
    </row>
    <row r="10" spans="1:7">
      <c r="A10" s="85" t="s">
        <v>227</v>
      </c>
      <c r="B10" s="85" t="s">
        <v>227</v>
      </c>
      <c r="C10" s="85" t="s">
        <v>234</v>
      </c>
      <c r="D10" s="85" t="s">
        <v>235</v>
      </c>
      <c r="E10" s="85" t="s">
        <v>227</v>
      </c>
      <c r="F10" s="5"/>
      <c r="G10" s="5"/>
    </row>
    <row r="11" spans="1:7">
      <c r="A11" s="85" t="s">
        <v>227</v>
      </c>
      <c r="B11" s="85" t="s">
        <v>227</v>
      </c>
      <c r="C11" s="85" t="s">
        <v>236</v>
      </c>
      <c r="D11" s="85" t="s">
        <v>237</v>
      </c>
      <c r="E11" s="85" t="s">
        <v>227</v>
      </c>
      <c r="F11" s="5"/>
      <c r="G11" s="5"/>
    </row>
    <row r="12" spans="1:7">
      <c r="A12" s="85" t="s">
        <v>227</v>
      </c>
      <c r="B12" s="85" t="s">
        <v>227</v>
      </c>
      <c r="C12" s="85" t="s">
        <v>238</v>
      </c>
      <c r="D12" s="85" t="s">
        <v>226</v>
      </c>
      <c r="E12" s="85" t="s">
        <v>227</v>
      </c>
      <c r="F12" s="5"/>
      <c r="G12" s="5"/>
    </row>
    <row r="13" spans="1:7">
      <c r="A13" s="85" t="s">
        <v>227</v>
      </c>
      <c r="B13" s="85" t="s">
        <v>227</v>
      </c>
      <c r="C13" s="85" t="s">
        <v>239</v>
      </c>
      <c r="D13" s="85" t="s">
        <v>226</v>
      </c>
      <c r="E13" s="85" t="s">
        <v>227</v>
      </c>
      <c r="F13" s="5"/>
      <c r="G13" s="5"/>
    </row>
    <row r="14" spans="1:7">
      <c r="A14" s="85" t="s">
        <v>227</v>
      </c>
      <c r="B14" s="85" t="s">
        <v>227</v>
      </c>
      <c r="C14" s="85" t="s">
        <v>240</v>
      </c>
      <c r="D14" s="85" t="s">
        <v>241</v>
      </c>
      <c r="E14" s="85" t="s">
        <v>227</v>
      </c>
      <c r="F14" s="5"/>
      <c r="G14" s="5"/>
    </row>
    <row r="15" spans="1:7">
      <c r="A15" s="85" t="s">
        <v>227</v>
      </c>
      <c r="B15" s="85" t="s">
        <v>227</v>
      </c>
      <c r="C15" s="85" t="s">
        <v>242</v>
      </c>
      <c r="D15" s="85" t="s">
        <v>226</v>
      </c>
      <c r="E15" s="85" t="s">
        <v>227</v>
      </c>
      <c r="F15" s="5"/>
      <c r="G15" s="5"/>
    </row>
    <row r="16" spans="1:7">
      <c r="A16" s="85" t="s">
        <v>227</v>
      </c>
      <c r="B16" s="85" t="s">
        <v>227</v>
      </c>
      <c r="C16" s="85" t="s">
        <v>243</v>
      </c>
      <c r="D16" s="85" t="s">
        <v>226</v>
      </c>
      <c r="E16" s="85" t="s">
        <v>227</v>
      </c>
      <c r="F16" s="5"/>
      <c r="G16" s="5"/>
    </row>
    <row r="17" spans="1:7">
      <c r="A17" s="85" t="s">
        <v>227</v>
      </c>
      <c r="B17" s="85" t="s">
        <v>227</v>
      </c>
      <c r="C17" s="85" t="s">
        <v>244</v>
      </c>
      <c r="D17" s="85" t="s">
        <v>235</v>
      </c>
      <c r="E17" s="85" t="s">
        <v>227</v>
      </c>
      <c r="F17" s="5"/>
      <c r="G17" s="5"/>
    </row>
    <row r="18" spans="1:7">
      <c r="A18" s="85" t="s">
        <v>227</v>
      </c>
      <c r="B18" s="85" t="s">
        <v>227</v>
      </c>
      <c r="C18" s="85" t="s">
        <v>245</v>
      </c>
      <c r="D18" s="85" t="s">
        <v>226</v>
      </c>
      <c r="E18" s="85" t="s">
        <v>227</v>
      </c>
      <c r="F18" s="5"/>
      <c r="G18" s="5"/>
    </row>
    <row r="19" spans="1:7">
      <c r="A19" s="85" t="s">
        <v>227</v>
      </c>
      <c r="B19" s="85" t="s">
        <v>227</v>
      </c>
      <c r="C19" s="85" t="s">
        <v>246</v>
      </c>
      <c r="D19" s="85" t="s">
        <v>235</v>
      </c>
      <c r="E19" s="85" t="s">
        <v>227</v>
      </c>
      <c r="F19" s="5"/>
      <c r="G19" s="5"/>
    </row>
    <row r="20" spans="1:7">
      <c r="A20" s="85" t="s">
        <v>227</v>
      </c>
      <c r="B20" s="85" t="s">
        <v>227</v>
      </c>
      <c r="C20" s="85" t="s">
        <v>247</v>
      </c>
      <c r="D20" s="85" t="s">
        <v>226</v>
      </c>
      <c r="E20" s="85" t="s">
        <v>227</v>
      </c>
      <c r="F20" s="5"/>
      <c r="G20" s="5"/>
    </row>
    <row r="21" spans="1:7">
      <c r="A21" s="85" t="s">
        <v>227</v>
      </c>
      <c r="B21" s="85" t="s">
        <v>227</v>
      </c>
      <c r="C21" s="85" t="s">
        <v>248</v>
      </c>
      <c r="D21" s="85" t="s">
        <v>226</v>
      </c>
      <c r="E21" s="85" t="s">
        <v>227</v>
      </c>
      <c r="F21" s="5"/>
      <c r="G21" s="5"/>
    </row>
    <row r="22" spans="1:7">
      <c r="A22" s="85" t="s">
        <v>227</v>
      </c>
      <c r="B22" s="85" t="s">
        <v>227</v>
      </c>
      <c r="C22" s="85" t="s">
        <v>249</v>
      </c>
      <c r="D22" s="85" t="s">
        <v>235</v>
      </c>
      <c r="E22" s="85" t="s">
        <v>227</v>
      </c>
      <c r="F22" s="5"/>
      <c r="G22" s="5"/>
    </row>
    <row r="23" spans="1:7">
      <c r="A23" s="85" t="s">
        <v>227</v>
      </c>
      <c r="B23" s="85" t="s">
        <v>227</v>
      </c>
      <c r="C23" s="85" t="s">
        <v>250</v>
      </c>
      <c r="D23" s="85" t="s">
        <v>235</v>
      </c>
      <c r="E23" s="85" t="s">
        <v>227</v>
      </c>
      <c r="F23" s="5"/>
      <c r="G23" s="5"/>
    </row>
    <row r="24" spans="1:7">
      <c r="A24" s="85" t="s">
        <v>227</v>
      </c>
      <c r="B24" s="85" t="s">
        <v>227</v>
      </c>
      <c r="C24" s="85" t="s">
        <v>251</v>
      </c>
      <c r="D24" s="85" t="s">
        <v>226</v>
      </c>
      <c r="E24" s="85" t="s">
        <v>227</v>
      </c>
      <c r="F24" s="5"/>
      <c r="G24" s="5"/>
    </row>
    <row r="25" spans="1:7">
      <c r="A25" s="85" t="s">
        <v>227</v>
      </c>
      <c r="B25" s="85" t="s">
        <v>227</v>
      </c>
      <c r="C25" s="85" t="s">
        <v>252</v>
      </c>
      <c r="D25" s="85" t="s">
        <v>226</v>
      </c>
      <c r="E25" s="85" t="s">
        <v>227</v>
      </c>
      <c r="F25" s="5"/>
      <c r="G25" s="5"/>
    </row>
    <row r="26" spans="1:7">
      <c r="A26" s="85" t="s">
        <v>227</v>
      </c>
      <c r="B26" s="85" t="s">
        <v>227</v>
      </c>
      <c r="C26" s="85" t="s">
        <v>253</v>
      </c>
      <c r="D26" s="85" t="s">
        <v>254</v>
      </c>
      <c r="E26" s="85" t="s">
        <v>227</v>
      </c>
      <c r="F26" s="5"/>
      <c r="G26" s="5"/>
    </row>
    <row r="27" spans="1:7">
      <c r="A27" s="85" t="s">
        <v>227</v>
      </c>
      <c r="B27" s="85" t="s">
        <v>227</v>
      </c>
      <c r="C27" s="85" t="s">
        <v>255</v>
      </c>
      <c r="D27" s="85" t="s">
        <v>226</v>
      </c>
      <c r="E27" s="85" t="s">
        <v>227</v>
      </c>
      <c r="F27" s="5"/>
      <c r="G27" s="5"/>
    </row>
    <row r="28" spans="1:7">
      <c r="A28" s="85" t="s">
        <v>227</v>
      </c>
      <c r="B28" s="85" t="s">
        <v>227</v>
      </c>
      <c r="C28" s="85" t="s">
        <v>256</v>
      </c>
      <c r="D28" s="85" t="s">
        <v>226</v>
      </c>
      <c r="E28" s="85" t="s">
        <v>227</v>
      </c>
      <c r="F28" s="5"/>
      <c r="G28" s="5"/>
    </row>
    <row r="29" spans="1:7">
      <c r="A29" s="85" t="s">
        <v>227</v>
      </c>
      <c r="B29" s="85" t="s">
        <v>227</v>
      </c>
      <c r="C29" s="85" t="s">
        <v>257</v>
      </c>
      <c r="D29" s="85" t="s">
        <v>226</v>
      </c>
      <c r="E29" s="85" t="s">
        <v>227</v>
      </c>
      <c r="F29" s="5"/>
      <c r="G29" s="5"/>
    </row>
    <row r="30" spans="1:7">
      <c r="A30" s="85" t="s">
        <v>227</v>
      </c>
      <c r="B30" s="85" t="s">
        <v>227</v>
      </c>
      <c r="C30" s="85" t="s">
        <v>258</v>
      </c>
      <c r="D30" s="85" t="s">
        <v>226</v>
      </c>
      <c r="E30" s="85" t="s">
        <v>227</v>
      </c>
      <c r="F30" s="5"/>
      <c r="G30" s="5"/>
    </row>
    <row r="31" spans="1:7">
      <c r="A31" s="85" t="s">
        <v>227</v>
      </c>
      <c r="B31" s="85" t="s">
        <v>227</v>
      </c>
      <c r="C31" s="85" t="s">
        <v>259</v>
      </c>
      <c r="D31" s="85" t="s">
        <v>226</v>
      </c>
      <c r="E31" s="85" t="s">
        <v>227</v>
      </c>
      <c r="F31" s="5"/>
      <c r="G31" s="5"/>
    </row>
    <row r="32" spans="1:7">
      <c r="A32" s="85" t="s">
        <v>227</v>
      </c>
      <c r="B32" s="85" t="s">
        <v>227</v>
      </c>
      <c r="C32" s="85" t="s">
        <v>260</v>
      </c>
      <c r="D32" s="85" t="s">
        <v>226</v>
      </c>
      <c r="E32" s="85" t="s">
        <v>227</v>
      </c>
      <c r="F32" s="5"/>
      <c r="G32" s="5"/>
    </row>
    <row r="33" spans="1:7">
      <c r="A33" s="85" t="s">
        <v>227</v>
      </c>
      <c r="B33" s="85" t="s">
        <v>227</v>
      </c>
      <c r="C33" s="85" t="s">
        <v>261</v>
      </c>
      <c r="D33" s="85" t="s">
        <v>226</v>
      </c>
      <c r="E33" s="85" t="s">
        <v>227</v>
      </c>
      <c r="F33" s="5"/>
      <c r="G33" s="5"/>
    </row>
    <row r="34" spans="1:7">
      <c r="A34" s="85" t="s">
        <v>227</v>
      </c>
      <c r="B34" s="85" t="s">
        <v>227</v>
      </c>
      <c r="C34" s="85" t="s">
        <v>262</v>
      </c>
      <c r="D34" s="85" t="s">
        <v>226</v>
      </c>
      <c r="E34" s="85" t="s">
        <v>227</v>
      </c>
      <c r="F34" s="5"/>
      <c r="G34" s="5"/>
    </row>
    <row r="35" spans="1:7">
      <c r="A35" s="85" t="s">
        <v>227</v>
      </c>
      <c r="B35" s="85" t="s">
        <v>227</v>
      </c>
      <c r="C35" s="85" t="s">
        <v>263</v>
      </c>
      <c r="D35" s="85" t="s">
        <v>264</v>
      </c>
      <c r="E35" s="85" t="s">
        <v>227</v>
      </c>
      <c r="F35" s="5"/>
      <c r="G35" s="5"/>
    </row>
    <row r="36" spans="1:7">
      <c r="A36" s="85" t="s">
        <v>227</v>
      </c>
      <c r="B36" s="85" t="s">
        <v>227</v>
      </c>
      <c r="C36" s="85" t="s">
        <v>265</v>
      </c>
      <c r="D36" s="85" t="s">
        <v>266</v>
      </c>
      <c r="E36" s="85" t="s">
        <v>227</v>
      </c>
      <c r="F36" s="5"/>
      <c r="G36" s="5"/>
    </row>
    <row r="37" spans="1:7">
      <c r="A37" s="85" t="s">
        <v>227</v>
      </c>
      <c r="B37" s="85" t="s">
        <v>227</v>
      </c>
      <c r="C37" s="85" t="s">
        <v>267</v>
      </c>
      <c r="D37" s="85" t="s">
        <v>226</v>
      </c>
      <c r="E37" s="85" t="s">
        <v>227</v>
      </c>
      <c r="F37" s="5"/>
      <c r="G37" s="5"/>
    </row>
    <row r="38" spans="1:7">
      <c r="A38" s="85" t="s">
        <v>227</v>
      </c>
      <c r="B38" s="85" t="s">
        <v>227</v>
      </c>
      <c r="C38" s="85" t="s">
        <v>268</v>
      </c>
      <c r="D38" s="85" t="s">
        <v>226</v>
      </c>
      <c r="E38" s="85" t="s">
        <v>227</v>
      </c>
      <c r="F38" s="5"/>
      <c r="G38" s="5"/>
    </row>
    <row r="39" spans="1:7">
      <c r="A39" s="85" t="s">
        <v>227</v>
      </c>
      <c r="B39" s="85" t="s">
        <v>227</v>
      </c>
      <c r="C39" s="85" t="s">
        <v>269</v>
      </c>
      <c r="D39" s="85" t="s">
        <v>226</v>
      </c>
      <c r="E39" s="85" t="s">
        <v>227</v>
      </c>
      <c r="F39" s="5"/>
      <c r="G39" s="5"/>
    </row>
    <row r="40" spans="1:7">
      <c r="A40" s="85" t="s">
        <v>227</v>
      </c>
      <c r="B40" s="85" t="s">
        <v>227</v>
      </c>
      <c r="C40" s="85" t="s">
        <v>270</v>
      </c>
      <c r="D40" s="85" t="s">
        <v>226</v>
      </c>
      <c r="E40" s="85" t="s">
        <v>227</v>
      </c>
      <c r="F40" s="5"/>
      <c r="G40" s="5"/>
    </row>
    <row r="41" spans="1:7">
      <c r="A41" s="85" t="s">
        <v>227</v>
      </c>
      <c r="B41" s="85" t="s">
        <v>227</v>
      </c>
      <c r="C41" s="85" t="s">
        <v>271</v>
      </c>
      <c r="D41" s="85" t="s">
        <v>226</v>
      </c>
      <c r="E41" s="85" t="s">
        <v>227</v>
      </c>
      <c r="F41" s="5"/>
      <c r="G41" s="5"/>
    </row>
    <row r="42" spans="1:7">
      <c r="A42" s="85" t="s">
        <v>227</v>
      </c>
      <c r="B42" s="85" t="s">
        <v>227</v>
      </c>
      <c r="C42" s="85" t="s">
        <v>272</v>
      </c>
      <c r="D42" s="85" t="s">
        <v>226</v>
      </c>
      <c r="E42" s="85" t="s">
        <v>227</v>
      </c>
      <c r="F42" s="5"/>
      <c r="G42" s="5"/>
    </row>
    <row r="43" spans="1:7">
      <c r="A43" s="85" t="s">
        <v>227</v>
      </c>
      <c r="B43" s="85" t="s">
        <v>227</v>
      </c>
      <c r="C43" s="85" t="s">
        <v>273</v>
      </c>
      <c r="D43" s="85" t="s">
        <v>226</v>
      </c>
      <c r="E43" s="85" t="s">
        <v>227</v>
      </c>
      <c r="F43" s="5"/>
      <c r="G43" s="5"/>
    </row>
    <row r="44" spans="1:7">
      <c r="A44" s="85" t="s">
        <v>227</v>
      </c>
      <c r="B44" s="85" t="s">
        <v>227</v>
      </c>
      <c r="C44" s="85" t="s">
        <v>274</v>
      </c>
      <c r="D44" s="85" t="s">
        <v>226</v>
      </c>
      <c r="E44" s="85" t="s">
        <v>227</v>
      </c>
      <c r="F44" s="5"/>
      <c r="G44" s="5"/>
    </row>
    <row r="45" spans="1:7">
      <c r="A45" s="85" t="s">
        <v>227</v>
      </c>
      <c r="B45" s="85" t="s">
        <v>227</v>
      </c>
      <c r="C45" s="85" t="s">
        <v>275</v>
      </c>
      <c r="D45" s="85" t="s">
        <v>226</v>
      </c>
      <c r="E45" s="85" t="s">
        <v>227</v>
      </c>
      <c r="F45" s="5"/>
      <c r="G45" s="5"/>
    </row>
    <row r="46" spans="1:7">
      <c r="A46" s="85" t="s">
        <v>227</v>
      </c>
      <c r="B46" s="85" t="s">
        <v>227</v>
      </c>
      <c r="C46" s="85" t="s">
        <v>276</v>
      </c>
      <c r="D46" s="85" t="s">
        <v>226</v>
      </c>
      <c r="E46" s="85" t="s">
        <v>227</v>
      </c>
      <c r="F46" s="5"/>
      <c r="G46" s="5"/>
    </row>
    <row r="47" spans="1:7">
      <c r="A47" s="85" t="s">
        <v>227</v>
      </c>
      <c r="B47" s="85" t="s">
        <v>227</v>
      </c>
      <c r="C47" s="85" t="s">
        <v>277</v>
      </c>
      <c r="D47" s="85" t="s">
        <v>226</v>
      </c>
      <c r="E47" s="85" t="s">
        <v>227</v>
      </c>
      <c r="F47" s="5"/>
      <c r="G47" s="5"/>
    </row>
    <row r="48" spans="1:7">
      <c r="A48" s="85" t="s">
        <v>227</v>
      </c>
      <c r="B48" s="85" t="s">
        <v>227</v>
      </c>
      <c r="C48" s="85" t="s">
        <v>278</v>
      </c>
      <c r="D48" s="85" t="s">
        <v>226</v>
      </c>
      <c r="E48" s="85" t="s">
        <v>227</v>
      </c>
      <c r="F48" s="5"/>
      <c r="G48" s="5"/>
    </row>
    <row r="49" spans="1:7">
      <c r="A49" s="85" t="s">
        <v>227</v>
      </c>
      <c r="B49" s="85" t="s">
        <v>227</v>
      </c>
      <c r="C49" s="85" t="s">
        <v>279</v>
      </c>
      <c r="D49" s="85" t="s">
        <v>226</v>
      </c>
      <c r="E49" s="85" t="s">
        <v>227</v>
      </c>
      <c r="F49" s="5"/>
      <c r="G49" s="5"/>
    </row>
    <row r="50" spans="1:7">
      <c r="A50" s="85" t="s">
        <v>227</v>
      </c>
      <c r="B50" s="85" t="s">
        <v>227</v>
      </c>
      <c r="C50" s="85" t="s">
        <v>280</v>
      </c>
      <c r="D50" s="85" t="s">
        <v>226</v>
      </c>
      <c r="E50" s="85" t="s">
        <v>227</v>
      </c>
      <c r="F50" s="5"/>
      <c r="G50" s="5"/>
    </row>
    <row r="51" spans="1:7">
      <c r="A51" s="85" t="s">
        <v>227</v>
      </c>
      <c r="B51" s="85" t="s">
        <v>227</v>
      </c>
      <c r="C51" s="85" t="s">
        <v>281</v>
      </c>
      <c r="D51" s="85" t="s">
        <v>226</v>
      </c>
      <c r="E51" s="85" t="s">
        <v>227</v>
      </c>
      <c r="F51" s="5"/>
      <c r="G51" s="5"/>
    </row>
    <row r="52" spans="1:7">
      <c r="A52" s="85" t="s">
        <v>227</v>
      </c>
      <c r="B52" s="85" t="s">
        <v>227</v>
      </c>
      <c r="C52" s="85" t="s">
        <v>282</v>
      </c>
      <c r="D52" s="85" t="s">
        <v>226</v>
      </c>
      <c r="E52" s="85" t="s">
        <v>227</v>
      </c>
      <c r="F52" s="5"/>
      <c r="G52" s="5"/>
    </row>
    <row r="53" spans="1:7">
      <c r="A53" s="85" t="s">
        <v>227</v>
      </c>
      <c r="B53" s="85" t="s">
        <v>227</v>
      </c>
      <c r="C53" s="85" t="s">
        <v>283</v>
      </c>
      <c r="D53" s="85" t="s">
        <v>226</v>
      </c>
      <c r="E53" s="85" t="s">
        <v>227</v>
      </c>
      <c r="F53" s="5"/>
      <c r="G53" s="5"/>
    </row>
    <row r="54" spans="1:7">
      <c r="A54" s="85" t="s">
        <v>227</v>
      </c>
      <c r="B54" s="85" t="s">
        <v>227</v>
      </c>
      <c r="C54" s="85" t="s">
        <v>284</v>
      </c>
      <c r="D54" s="85" t="s">
        <v>226</v>
      </c>
      <c r="E54" s="85" t="s">
        <v>227</v>
      </c>
      <c r="F54" s="5"/>
      <c r="G54" s="5"/>
    </row>
    <row r="55" spans="1:7">
      <c r="A55" s="85" t="s">
        <v>227</v>
      </c>
      <c r="B55" s="85" t="s">
        <v>227</v>
      </c>
      <c r="C55" s="85" t="s">
        <v>285</v>
      </c>
      <c r="D55" s="85" t="s">
        <v>226</v>
      </c>
      <c r="E55" s="85" t="s">
        <v>227</v>
      </c>
      <c r="F55" s="5"/>
      <c r="G55" s="5"/>
    </row>
    <row r="56" spans="1:7">
      <c r="A56" s="85" t="s">
        <v>227</v>
      </c>
      <c r="B56" s="85" t="s">
        <v>227</v>
      </c>
      <c r="C56" s="85" t="s">
        <v>286</v>
      </c>
      <c r="D56" s="85" t="s">
        <v>235</v>
      </c>
      <c r="E56" s="85" t="s">
        <v>227</v>
      </c>
      <c r="F56" s="5"/>
      <c r="G56" s="5"/>
    </row>
    <row r="57" spans="1:7">
      <c r="A57" s="85" t="s">
        <v>227</v>
      </c>
      <c r="B57" s="85" t="s">
        <v>227</v>
      </c>
      <c r="C57" s="85" t="s">
        <v>287</v>
      </c>
      <c r="D57" s="85" t="s">
        <v>226</v>
      </c>
      <c r="E57" s="85" t="s">
        <v>227</v>
      </c>
      <c r="F57" s="5"/>
      <c r="G57" s="5"/>
    </row>
    <row r="58" spans="1:7">
      <c r="A58" s="85" t="s">
        <v>227</v>
      </c>
      <c r="B58" s="85" t="s">
        <v>227</v>
      </c>
      <c r="C58" s="85" t="s">
        <v>288</v>
      </c>
      <c r="D58" s="85" t="s">
        <v>226</v>
      </c>
      <c r="E58" s="85" t="s">
        <v>227</v>
      </c>
      <c r="F58" s="5"/>
      <c r="G58" s="5"/>
    </row>
    <row r="59" spans="1:7">
      <c r="A59" s="85" t="s">
        <v>227</v>
      </c>
      <c r="B59" s="85" t="s">
        <v>227</v>
      </c>
      <c r="C59" s="85" t="s">
        <v>289</v>
      </c>
      <c r="D59" s="85" t="s">
        <v>226</v>
      </c>
      <c r="E59" s="85" t="s">
        <v>227</v>
      </c>
      <c r="F59" s="5"/>
      <c r="G59" s="5"/>
    </row>
    <row r="60" spans="1:7">
      <c r="A60" s="85" t="s">
        <v>227</v>
      </c>
      <c r="B60" s="85" t="s">
        <v>227</v>
      </c>
      <c r="C60" s="85" t="s">
        <v>290</v>
      </c>
      <c r="D60" s="85" t="s">
        <v>226</v>
      </c>
      <c r="E60" s="85" t="s">
        <v>227</v>
      </c>
      <c r="F60" s="5"/>
      <c r="G60" s="5"/>
    </row>
    <row r="61" spans="1:7">
      <c r="A61" s="85" t="s">
        <v>227</v>
      </c>
      <c r="B61" s="85" t="s">
        <v>227</v>
      </c>
      <c r="C61" s="85" t="s">
        <v>291</v>
      </c>
      <c r="D61" s="85" t="s">
        <v>226</v>
      </c>
      <c r="E61" s="85" t="s">
        <v>227</v>
      </c>
      <c r="F61" s="5"/>
      <c r="G61" s="5"/>
    </row>
    <row r="62" spans="1:7">
      <c r="A62" s="85" t="s">
        <v>227</v>
      </c>
      <c r="B62" s="85" t="s">
        <v>227</v>
      </c>
      <c r="C62" s="85" t="s">
        <v>292</v>
      </c>
      <c r="D62" s="85" t="s">
        <v>226</v>
      </c>
      <c r="E62" s="85" t="s">
        <v>227</v>
      </c>
      <c r="F62" s="5"/>
      <c r="G62" s="5"/>
    </row>
    <row r="63" spans="1:7">
      <c r="A63" s="85" t="s">
        <v>227</v>
      </c>
      <c r="B63" s="85" t="s">
        <v>227</v>
      </c>
      <c r="C63" s="85" t="s">
        <v>293</v>
      </c>
      <c r="D63" s="85" t="s">
        <v>226</v>
      </c>
      <c r="E63" s="85" t="s">
        <v>227</v>
      </c>
      <c r="F63" s="5"/>
      <c r="G63" s="5"/>
    </row>
    <row r="64" spans="1:7">
      <c r="A64" s="85" t="s">
        <v>227</v>
      </c>
      <c r="B64" s="85" t="s">
        <v>227</v>
      </c>
      <c r="C64" s="85" t="s">
        <v>294</v>
      </c>
      <c r="D64" s="85" t="s">
        <v>235</v>
      </c>
      <c r="E64" s="85" t="s">
        <v>227</v>
      </c>
      <c r="F64" s="5"/>
      <c r="G64" s="5"/>
    </row>
    <row r="65" spans="1:7">
      <c r="A65" s="85" t="s">
        <v>227</v>
      </c>
      <c r="B65" s="85" t="s">
        <v>227</v>
      </c>
      <c r="C65" s="85" t="s">
        <v>295</v>
      </c>
      <c r="D65" s="85" t="s">
        <v>226</v>
      </c>
      <c r="E65" s="85" t="s">
        <v>227</v>
      </c>
      <c r="F65" s="5"/>
      <c r="G65" s="5"/>
    </row>
    <row r="66" spans="1:7">
      <c r="A66" s="85" t="s">
        <v>227</v>
      </c>
      <c r="B66" s="85" t="s">
        <v>227</v>
      </c>
      <c r="C66" s="85" t="s">
        <v>296</v>
      </c>
      <c r="D66" s="85" t="s">
        <v>226</v>
      </c>
      <c r="E66" s="85" t="s">
        <v>227</v>
      </c>
      <c r="F66" s="5"/>
      <c r="G66" s="5"/>
    </row>
    <row r="67" spans="1:7">
      <c r="A67" s="85" t="s">
        <v>227</v>
      </c>
      <c r="B67" s="85" t="s">
        <v>227</v>
      </c>
      <c r="C67" s="85" t="s">
        <v>297</v>
      </c>
      <c r="D67" s="85" t="s">
        <v>298</v>
      </c>
      <c r="E67" s="85" t="s">
        <v>227</v>
      </c>
      <c r="F67" s="5"/>
      <c r="G67" s="5"/>
    </row>
    <row r="68" spans="1:7">
      <c r="A68" s="85" t="s">
        <v>227</v>
      </c>
      <c r="B68" s="85" t="s">
        <v>227</v>
      </c>
      <c r="C68" s="85" t="s">
        <v>299</v>
      </c>
      <c r="D68" s="85" t="s">
        <v>226</v>
      </c>
      <c r="E68" s="85" t="s">
        <v>227</v>
      </c>
      <c r="F68" s="5"/>
      <c r="G68" s="5"/>
    </row>
    <row r="69" spans="1:7">
      <c r="A69" s="85" t="s">
        <v>227</v>
      </c>
      <c r="B69" s="85" t="s">
        <v>227</v>
      </c>
      <c r="C69" s="85" t="s">
        <v>300</v>
      </c>
      <c r="D69" s="85" t="s">
        <v>237</v>
      </c>
      <c r="E69" s="85" t="s">
        <v>227</v>
      </c>
      <c r="F69" s="5"/>
      <c r="G69" s="5"/>
    </row>
    <row r="70" spans="1:7">
      <c r="A70" s="85" t="s">
        <v>227</v>
      </c>
      <c r="B70" s="85" t="s">
        <v>227</v>
      </c>
      <c r="C70" s="85" t="s">
        <v>301</v>
      </c>
      <c r="D70" s="85" t="s">
        <v>226</v>
      </c>
      <c r="E70" s="85" t="s">
        <v>227</v>
      </c>
      <c r="F70" s="5"/>
      <c r="G70" s="5"/>
    </row>
    <row r="71" spans="1:7">
      <c r="A71" s="85" t="s">
        <v>302</v>
      </c>
      <c r="B71" s="85" t="s">
        <v>226</v>
      </c>
      <c r="C71" s="85" t="s">
        <v>227</v>
      </c>
      <c r="D71" s="85" t="s">
        <v>227</v>
      </c>
      <c r="E71" s="85" t="s">
        <v>226</v>
      </c>
      <c r="F71" s="5"/>
      <c r="G71" s="5"/>
    </row>
    <row r="72" spans="1:7">
      <c r="A72" s="85" t="s">
        <v>227</v>
      </c>
      <c r="B72" s="85" t="s">
        <v>227</v>
      </c>
      <c r="C72" s="85" t="s">
        <v>303</v>
      </c>
      <c r="D72" s="85" t="s">
        <v>226</v>
      </c>
      <c r="E72" s="85" t="s">
        <v>227</v>
      </c>
      <c r="F72" s="5"/>
      <c r="G72" s="5"/>
    </row>
    <row r="73" spans="1:7">
      <c r="A73" s="85" t="s">
        <v>304</v>
      </c>
      <c r="B73" s="85" t="s">
        <v>226</v>
      </c>
      <c r="C73" s="85" t="s">
        <v>227</v>
      </c>
      <c r="D73" s="85" t="s">
        <v>227</v>
      </c>
      <c r="E73" s="85" t="s">
        <v>226</v>
      </c>
      <c r="F73" s="5"/>
      <c r="G73" s="5"/>
    </row>
    <row r="74" spans="1:7">
      <c r="A74" s="85" t="s">
        <v>227</v>
      </c>
      <c r="B74" s="85" t="s">
        <v>227</v>
      </c>
      <c r="C74" s="85" t="s">
        <v>305</v>
      </c>
      <c r="D74" s="85" t="s">
        <v>226</v>
      </c>
      <c r="E74" s="85" t="s">
        <v>227</v>
      </c>
      <c r="F74" s="5"/>
      <c r="G74" s="5"/>
    </row>
    <row r="75" spans="1:7">
      <c r="A75" s="85" t="s">
        <v>227</v>
      </c>
      <c r="B75" s="85" t="s">
        <v>227</v>
      </c>
      <c r="C75" s="85" t="s">
        <v>306</v>
      </c>
      <c r="D75" s="85" t="s">
        <v>226</v>
      </c>
      <c r="E75" s="85" t="s">
        <v>227</v>
      </c>
      <c r="F75" s="5"/>
      <c r="G75" s="5"/>
    </row>
    <row r="76" spans="1:7">
      <c r="A76" s="85" t="s">
        <v>307</v>
      </c>
      <c r="B76" s="85" t="s">
        <v>226</v>
      </c>
      <c r="C76" s="85" t="s">
        <v>227</v>
      </c>
      <c r="D76" s="85" t="s">
        <v>227</v>
      </c>
      <c r="E76" s="85" t="s">
        <v>226</v>
      </c>
      <c r="F76" s="5"/>
      <c r="G76" s="5"/>
    </row>
    <row r="77" spans="1:7">
      <c r="A77" s="85" t="s">
        <v>308</v>
      </c>
      <c r="B77" s="85" t="s">
        <v>226</v>
      </c>
      <c r="C77" s="85" t="s">
        <v>227</v>
      </c>
      <c r="D77" s="85" t="s">
        <v>227</v>
      </c>
      <c r="E77" s="85" t="s">
        <v>226</v>
      </c>
      <c r="F77" s="5"/>
      <c r="G77" s="5"/>
    </row>
    <row r="78" spans="1:7">
      <c r="A78" s="85" t="s">
        <v>309</v>
      </c>
      <c r="B78" s="85" t="s">
        <v>226</v>
      </c>
      <c r="C78" s="85" t="s">
        <v>227</v>
      </c>
      <c r="D78" s="85" t="s">
        <v>227</v>
      </c>
      <c r="E78" s="85" t="s">
        <v>226</v>
      </c>
      <c r="F78" s="5"/>
      <c r="G78" s="5"/>
    </row>
    <row r="79" spans="1:7">
      <c r="A79" s="85" t="s">
        <v>310</v>
      </c>
      <c r="B79" s="85" t="s">
        <v>226</v>
      </c>
      <c r="C79" s="85" t="s">
        <v>227</v>
      </c>
      <c r="D79" s="85" t="s">
        <v>227</v>
      </c>
      <c r="E79" s="85" t="s">
        <v>227</v>
      </c>
      <c r="F79" s="5"/>
      <c r="G79" s="5"/>
    </row>
    <row r="80" spans="1:7">
      <c r="A80" s="85" t="s">
        <v>311</v>
      </c>
      <c r="B80" s="85" t="s">
        <v>226</v>
      </c>
      <c r="C80" s="85" t="s">
        <v>227</v>
      </c>
      <c r="D80" s="85" t="s">
        <v>227</v>
      </c>
      <c r="E80" s="85" t="s">
        <v>227</v>
      </c>
      <c r="F80" s="5"/>
      <c r="G80" s="5"/>
    </row>
    <row r="81" spans="1:7">
      <c r="A81" s="85"/>
      <c r="B81" s="85"/>
      <c r="C81" s="85"/>
      <c r="D81" s="85"/>
      <c r="E81" s="85"/>
      <c r="F81" s="5"/>
      <c r="G81" s="5"/>
    </row>
    <row r="82" spans="1:7">
      <c r="A82" s="85" t="s">
        <v>312</v>
      </c>
      <c r="B82" s="85" t="s">
        <v>313</v>
      </c>
      <c r="C82" s="85" t="s">
        <v>227</v>
      </c>
      <c r="D82" s="85" t="s">
        <v>227</v>
      </c>
      <c r="E82" s="85" t="s">
        <v>227</v>
      </c>
      <c r="F82" s="22">
        <f>G82/B82</f>
        <v>6146892.2107499996</v>
      </c>
      <c r="G82" s="61">
        <v>18440676.63225</v>
      </c>
    </row>
    <row r="83" spans="1:7">
      <c r="A83" s="85" t="s">
        <v>227</v>
      </c>
      <c r="B83" s="85" t="s">
        <v>227</v>
      </c>
      <c r="C83" s="85" t="s">
        <v>214</v>
      </c>
      <c r="D83" s="85" t="s">
        <v>226</v>
      </c>
      <c r="E83" s="85" t="s">
        <v>227</v>
      </c>
      <c r="F83" s="5"/>
      <c r="G83" s="5"/>
    </row>
    <row r="84" spans="1:7">
      <c r="A84" s="85" t="s">
        <v>227</v>
      </c>
      <c r="B84" s="85" t="s">
        <v>227</v>
      </c>
      <c r="C84" s="85" t="s">
        <v>228</v>
      </c>
      <c r="D84" s="85" t="s">
        <v>226</v>
      </c>
      <c r="E84" s="85" t="s">
        <v>227</v>
      </c>
      <c r="F84" s="5"/>
      <c r="G84" s="5"/>
    </row>
    <row r="85" spans="1:7">
      <c r="A85" s="85" t="s">
        <v>227</v>
      </c>
      <c r="B85" s="85" t="s">
        <v>227</v>
      </c>
      <c r="C85" s="85" t="s">
        <v>229</v>
      </c>
      <c r="D85" s="85" t="s">
        <v>226</v>
      </c>
      <c r="E85" s="85" t="s">
        <v>227</v>
      </c>
      <c r="F85" s="5"/>
      <c r="G85" s="5"/>
    </row>
    <row r="86" spans="1:7">
      <c r="A86" s="85" t="s">
        <v>227</v>
      </c>
      <c r="B86" s="85" t="s">
        <v>227</v>
      </c>
      <c r="C86" s="85" t="s">
        <v>230</v>
      </c>
      <c r="D86" s="85" t="s">
        <v>226</v>
      </c>
      <c r="E86" s="85" t="s">
        <v>227</v>
      </c>
      <c r="F86" s="5"/>
      <c r="G86" s="5"/>
    </row>
    <row r="87" spans="1:7">
      <c r="A87" s="85" t="s">
        <v>227</v>
      </c>
      <c r="B87" s="85" t="s">
        <v>227</v>
      </c>
      <c r="C87" s="85" t="s">
        <v>231</v>
      </c>
      <c r="D87" s="85" t="s">
        <v>226</v>
      </c>
      <c r="E87" s="85" t="s">
        <v>227</v>
      </c>
      <c r="F87" s="5"/>
      <c r="G87" s="5"/>
    </row>
    <row r="88" spans="1:7">
      <c r="A88" s="85" t="s">
        <v>227</v>
      </c>
      <c r="B88" s="85" t="s">
        <v>227</v>
      </c>
      <c r="C88" s="85" t="s">
        <v>314</v>
      </c>
      <c r="D88" s="85" t="s">
        <v>226</v>
      </c>
      <c r="E88" s="85" t="s">
        <v>227</v>
      </c>
      <c r="F88" s="5"/>
      <c r="G88" s="5"/>
    </row>
    <row r="89" spans="1:7">
      <c r="A89" s="85" t="s">
        <v>227</v>
      </c>
      <c r="B89" s="85" t="s">
        <v>227</v>
      </c>
      <c r="C89" s="85" t="s">
        <v>233</v>
      </c>
      <c r="D89" s="85" t="s">
        <v>226</v>
      </c>
      <c r="E89" s="85" t="s">
        <v>227</v>
      </c>
      <c r="F89" s="5"/>
      <c r="G89" s="5"/>
    </row>
    <row r="90" spans="1:7">
      <c r="A90" s="85" t="s">
        <v>227</v>
      </c>
      <c r="B90" s="85" t="s">
        <v>227</v>
      </c>
      <c r="C90" s="85" t="s">
        <v>234</v>
      </c>
      <c r="D90" s="85" t="s">
        <v>235</v>
      </c>
      <c r="E90" s="85" t="s">
        <v>227</v>
      </c>
      <c r="F90" s="5"/>
      <c r="G90" s="5"/>
    </row>
    <row r="91" spans="1:7">
      <c r="A91" s="85" t="s">
        <v>227</v>
      </c>
      <c r="B91" s="85" t="s">
        <v>227</v>
      </c>
      <c r="C91" s="85" t="s">
        <v>236</v>
      </c>
      <c r="D91" s="85" t="s">
        <v>315</v>
      </c>
      <c r="E91" s="85" t="s">
        <v>227</v>
      </c>
      <c r="F91" s="5"/>
      <c r="G91" s="5"/>
    </row>
    <row r="92" spans="1:7">
      <c r="A92" s="85" t="s">
        <v>227</v>
      </c>
      <c r="B92" s="85" t="s">
        <v>227</v>
      </c>
      <c r="C92" s="85" t="s">
        <v>316</v>
      </c>
      <c r="D92" s="85" t="s">
        <v>235</v>
      </c>
      <c r="E92" s="85" t="s">
        <v>227</v>
      </c>
      <c r="F92" s="5"/>
      <c r="G92" s="5"/>
    </row>
    <row r="93" spans="1:7">
      <c r="A93" s="85" t="s">
        <v>227</v>
      </c>
      <c r="B93" s="85" t="s">
        <v>227</v>
      </c>
      <c r="C93" s="85" t="s">
        <v>239</v>
      </c>
      <c r="D93" s="85" t="s">
        <v>226</v>
      </c>
      <c r="E93" s="85" t="s">
        <v>227</v>
      </c>
      <c r="F93" s="5"/>
      <c r="G93" s="5"/>
    </row>
    <row r="94" spans="1:7">
      <c r="A94" s="85" t="s">
        <v>227</v>
      </c>
      <c r="B94" s="85" t="s">
        <v>227</v>
      </c>
      <c r="C94" s="85" t="s">
        <v>240</v>
      </c>
      <c r="D94" s="85" t="s">
        <v>254</v>
      </c>
      <c r="E94" s="85" t="s">
        <v>227</v>
      </c>
      <c r="F94" s="5"/>
      <c r="G94" s="5"/>
    </row>
    <row r="95" spans="1:7">
      <c r="A95" s="85" t="s">
        <v>227</v>
      </c>
      <c r="B95" s="85" t="s">
        <v>227</v>
      </c>
      <c r="C95" s="85" t="s">
        <v>242</v>
      </c>
      <c r="D95" s="85" t="s">
        <v>226</v>
      </c>
      <c r="E95" s="85" t="s">
        <v>227</v>
      </c>
      <c r="F95" s="5"/>
      <c r="G95" s="5"/>
    </row>
    <row r="96" spans="1:7">
      <c r="A96" s="85" t="s">
        <v>227</v>
      </c>
      <c r="B96" s="85" t="s">
        <v>227</v>
      </c>
      <c r="C96" s="85" t="s">
        <v>243</v>
      </c>
      <c r="D96" s="85" t="s">
        <v>226</v>
      </c>
      <c r="E96" s="85" t="s">
        <v>227</v>
      </c>
      <c r="F96" s="5"/>
      <c r="G96" s="5"/>
    </row>
    <row r="97" spans="1:7">
      <c r="A97" s="85" t="s">
        <v>227</v>
      </c>
      <c r="B97" s="85" t="s">
        <v>227</v>
      </c>
      <c r="C97" s="85" t="s">
        <v>244</v>
      </c>
      <c r="D97" s="85" t="s">
        <v>235</v>
      </c>
      <c r="E97" s="85" t="s">
        <v>227</v>
      </c>
      <c r="F97" s="5"/>
      <c r="G97" s="5"/>
    </row>
    <row r="98" spans="1:7">
      <c r="A98" s="85" t="s">
        <v>227</v>
      </c>
      <c r="B98" s="85" t="s">
        <v>227</v>
      </c>
      <c r="C98" s="85" t="s">
        <v>317</v>
      </c>
      <c r="D98" s="85" t="s">
        <v>226</v>
      </c>
      <c r="E98" s="85" t="s">
        <v>227</v>
      </c>
      <c r="F98" s="5"/>
      <c r="G98" s="5"/>
    </row>
    <row r="99" spans="1:7">
      <c r="A99" s="85" t="s">
        <v>227</v>
      </c>
      <c r="B99" s="85" t="s">
        <v>227</v>
      </c>
      <c r="C99" s="85" t="s">
        <v>318</v>
      </c>
      <c r="D99" s="85" t="s">
        <v>235</v>
      </c>
      <c r="E99" s="85" t="s">
        <v>227</v>
      </c>
      <c r="F99" s="5"/>
      <c r="G99" s="5"/>
    </row>
    <row r="100" spans="1:7">
      <c r="A100" s="85" t="s">
        <v>227</v>
      </c>
      <c r="B100" s="85" t="s">
        <v>227</v>
      </c>
      <c r="C100" s="85" t="s">
        <v>246</v>
      </c>
      <c r="D100" s="85" t="s">
        <v>298</v>
      </c>
      <c r="E100" s="85" t="s">
        <v>227</v>
      </c>
      <c r="F100" s="5"/>
      <c r="G100" s="5"/>
    </row>
    <row r="101" spans="1:7">
      <c r="A101" s="85" t="s">
        <v>227</v>
      </c>
      <c r="B101" s="85" t="s">
        <v>227</v>
      </c>
      <c r="C101" s="85" t="s">
        <v>319</v>
      </c>
      <c r="D101" s="85" t="s">
        <v>226</v>
      </c>
      <c r="E101" s="85" t="s">
        <v>227</v>
      </c>
      <c r="F101" s="5"/>
      <c r="G101" s="5"/>
    </row>
    <row r="102" spans="1:7">
      <c r="A102" s="85" t="s">
        <v>227</v>
      </c>
      <c r="B102" s="85" t="s">
        <v>227</v>
      </c>
      <c r="C102" s="85" t="s">
        <v>320</v>
      </c>
      <c r="D102" s="85" t="s">
        <v>226</v>
      </c>
      <c r="E102" s="85" t="s">
        <v>227</v>
      </c>
      <c r="F102" s="5"/>
      <c r="G102" s="5"/>
    </row>
    <row r="103" spans="1:7">
      <c r="A103" s="85" t="s">
        <v>227</v>
      </c>
      <c r="B103" s="85" t="s">
        <v>227</v>
      </c>
      <c r="C103" s="85" t="s">
        <v>249</v>
      </c>
      <c r="D103" s="85" t="s">
        <v>235</v>
      </c>
      <c r="E103" s="85" t="s">
        <v>227</v>
      </c>
      <c r="F103" s="5"/>
      <c r="G103" s="5"/>
    </row>
    <row r="104" spans="1:7">
      <c r="A104" s="85" t="s">
        <v>227</v>
      </c>
      <c r="B104" s="85" t="s">
        <v>227</v>
      </c>
      <c r="C104" s="85" t="s">
        <v>251</v>
      </c>
      <c r="D104" s="85" t="s">
        <v>226</v>
      </c>
      <c r="E104" s="85" t="s">
        <v>227</v>
      </c>
      <c r="F104" s="5"/>
      <c r="G104" s="5"/>
    </row>
    <row r="105" spans="1:7">
      <c r="A105" s="85" t="s">
        <v>227</v>
      </c>
      <c r="B105" s="85" t="s">
        <v>227</v>
      </c>
      <c r="C105" s="85" t="s">
        <v>321</v>
      </c>
      <c r="D105" s="85" t="s">
        <v>226</v>
      </c>
      <c r="E105" s="85" t="s">
        <v>227</v>
      </c>
      <c r="F105" s="5"/>
      <c r="G105" s="5"/>
    </row>
    <row r="106" spans="1:7">
      <c r="A106" s="85" t="s">
        <v>227</v>
      </c>
      <c r="B106" s="85" t="s">
        <v>227</v>
      </c>
      <c r="C106" s="85" t="s">
        <v>322</v>
      </c>
      <c r="D106" s="85" t="s">
        <v>241</v>
      </c>
      <c r="E106" s="85" t="s">
        <v>227</v>
      </c>
      <c r="F106" s="5"/>
      <c r="G106" s="5"/>
    </row>
    <row r="107" spans="1:7">
      <c r="A107" s="85" t="s">
        <v>227</v>
      </c>
      <c r="B107" s="85" t="s">
        <v>227</v>
      </c>
      <c r="C107" s="85" t="s">
        <v>257</v>
      </c>
      <c r="D107" s="85" t="s">
        <v>226</v>
      </c>
      <c r="E107" s="85" t="s">
        <v>227</v>
      </c>
      <c r="F107" s="5"/>
      <c r="G107" s="5"/>
    </row>
    <row r="108" spans="1:7">
      <c r="A108" s="85" t="s">
        <v>227</v>
      </c>
      <c r="B108" s="85" t="s">
        <v>227</v>
      </c>
      <c r="C108" s="85" t="s">
        <v>258</v>
      </c>
      <c r="D108" s="85" t="s">
        <v>226</v>
      </c>
      <c r="E108" s="85" t="s">
        <v>227</v>
      </c>
      <c r="F108" s="5"/>
      <c r="G108" s="5"/>
    </row>
    <row r="109" spans="1:7">
      <c r="A109" s="85" t="s">
        <v>227</v>
      </c>
      <c r="B109" s="85" t="s">
        <v>227</v>
      </c>
      <c r="C109" s="85" t="s">
        <v>323</v>
      </c>
      <c r="D109" s="85" t="s">
        <v>226</v>
      </c>
      <c r="E109" s="85" t="s">
        <v>227</v>
      </c>
      <c r="F109" s="5"/>
      <c r="G109" s="5"/>
    </row>
    <row r="110" spans="1:7">
      <c r="A110" s="85" t="s">
        <v>227</v>
      </c>
      <c r="B110" s="85" t="s">
        <v>227</v>
      </c>
      <c r="C110" s="85" t="s">
        <v>324</v>
      </c>
      <c r="D110" s="85" t="s">
        <v>226</v>
      </c>
      <c r="E110" s="85" t="s">
        <v>227</v>
      </c>
      <c r="F110" s="5"/>
      <c r="G110" s="5"/>
    </row>
    <row r="111" spans="1:7">
      <c r="A111" s="85" t="s">
        <v>227</v>
      </c>
      <c r="B111" s="85" t="s">
        <v>227</v>
      </c>
      <c r="C111" s="85" t="s">
        <v>261</v>
      </c>
      <c r="D111" s="85" t="s">
        <v>226</v>
      </c>
      <c r="E111" s="85" t="s">
        <v>227</v>
      </c>
      <c r="F111" s="5"/>
      <c r="G111" s="5"/>
    </row>
    <row r="112" spans="1:7">
      <c r="A112" s="85" t="s">
        <v>227</v>
      </c>
      <c r="B112" s="85" t="s">
        <v>227</v>
      </c>
      <c r="C112" s="85" t="s">
        <v>262</v>
      </c>
      <c r="D112" s="85" t="s">
        <v>226</v>
      </c>
      <c r="E112" s="85" t="s">
        <v>227</v>
      </c>
      <c r="F112" s="5"/>
      <c r="G112" s="5"/>
    </row>
    <row r="113" spans="1:7">
      <c r="A113" s="85" t="s">
        <v>227</v>
      </c>
      <c r="B113" s="85" t="s">
        <v>227</v>
      </c>
      <c r="C113" s="85" t="s">
        <v>263</v>
      </c>
      <c r="D113" s="85" t="s">
        <v>264</v>
      </c>
      <c r="E113" s="85" t="s">
        <v>227</v>
      </c>
      <c r="F113" s="5"/>
      <c r="G113" s="5"/>
    </row>
    <row r="114" spans="1:7">
      <c r="A114" s="85" t="s">
        <v>227</v>
      </c>
      <c r="B114" s="85" t="s">
        <v>227</v>
      </c>
      <c r="C114" s="85" t="s">
        <v>265</v>
      </c>
      <c r="D114" s="85" t="s">
        <v>325</v>
      </c>
      <c r="E114" s="85" t="s">
        <v>227</v>
      </c>
      <c r="F114" s="5"/>
      <c r="G114" s="5"/>
    </row>
    <row r="115" spans="1:7">
      <c r="A115" s="85" t="s">
        <v>227</v>
      </c>
      <c r="B115" s="85" t="s">
        <v>227</v>
      </c>
      <c r="C115" s="85" t="s">
        <v>267</v>
      </c>
      <c r="D115" s="85" t="s">
        <v>226</v>
      </c>
      <c r="E115" s="85" t="s">
        <v>227</v>
      </c>
      <c r="F115" s="5"/>
      <c r="G115" s="5"/>
    </row>
    <row r="116" spans="1:7">
      <c r="A116" s="85" t="s">
        <v>227</v>
      </c>
      <c r="B116" s="85" t="s">
        <v>227</v>
      </c>
      <c r="C116" s="85" t="s">
        <v>268</v>
      </c>
      <c r="D116" s="85" t="s">
        <v>226</v>
      </c>
      <c r="E116" s="85" t="s">
        <v>227</v>
      </c>
      <c r="F116" s="5"/>
      <c r="G116" s="5"/>
    </row>
    <row r="117" spans="1:7">
      <c r="A117" s="85" t="s">
        <v>227</v>
      </c>
      <c r="B117" s="85" t="s">
        <v>227</v>
      </c>
      <c r="C117" s="85" t="s">
        <v>269</v>
      </c>
      <c r="D117" s="85" t="s">
        <v>226</v>
      </c>
      <c r="E117" s="85" t="s">
        <v>227</v>
      </c>
      <c r="F117" s="5"/>
      <c r="G117" s="5"/>
    </row>
    <row r="118" spans="1:7">
      <c r="A118" s="85" t="s">
        <v>227</v>
      </c>
      <c r="B118" s="85" t="s">
        <v>227</v>
      </c>
      <c r="C118" s="85" t="s">
        <v>270</v>
      </c>
      <c r="D118" s="85" t="s">
        <v>226</v>
      </c>
      <c r="E118" s="85" t="s">
        <v>227</v>
      </c>
      <c r="F118" s="5"/>
      <c r="G118" s="5"/>
    </row>
    <row r="119" spans="1:7">
      <c r="A119" s="85" t="s">
        <v>227</v>
      </c>
      <c r="B119" s="85" t="s">
        <v>227</v>
      </c>
      <c r="C119" s="85" t="s">
        <v>272</v>
      </c>
      <c r="D119" s="85" t="s">
        <v>226</v>
      </c>
      <c r="E119" s="85" t="s">
        <v>227</v>
      </c>
      <c r="F119" s="5"/>
      <c r="G119" s="5"/>
    </row>
    <row r="120" spans="1:7">
      <c r="A120" s="85" t="s">
        <v>227</v>
      </c>
      <c r="B120" s="85" t="s">
        <v>227</v>
      </c>
      <c r="C120" s="85" t="s">
        <v>326</v>
      </c>
      <c r="D120" s="85" t="s">
        <v>235</v>
      </c>
      <c r="E120" s="85" t="s">
        <v>227</v>
      </c>
      <c r="F120" s="5"/>
      <c r="G120" s="5"/>
    </row>
    <row r="121" spans="1:7">
      <c r="A121" s="85" t="s">
        <v>227</v>
      </c>
      <c r="B121" s="85" t="s">
        <v>227</v>
      </c>
      <c r="C121" s="85" t="s">
        <v>327</v>
      </c>
      <c r="D121" s="85" t="s">
        <v>226</v>
      </c>
      <c r="E121" s="85" t="s">
        <v>227</v>
      </c>
      <c r="F121" s="5"/>
      <c r="G121" s="5"/>
    </row>
    <row r="122" spans="1:7">
      <c r="A122" s="85" t="s">
        <v>227</v>
      </c>
      <c r="B122" s="85" t="s">
        <v>227</v>
      </c>
      <c r="C122" s="85" t="s">
        <v>328</v>
      </c>
      <c r="D122" s="85" t="s">
        <v>226</v>
      </c>
      <c r="E122" s="85" t="s">
        <v>227</v>
      </c>
      <c r="F122" s="5"/>
      <c r="G122" s="5"/>
    </row>
    <row r="123" spans="1:7">
      <c r="A123" s="85" t="s">
        <v>227</v>
      </c>
      <c r="B123" s="85" t="s">
        <v>227</v>
      </c>
      <c r="C123" s="85" t="s">
        <v>329</v>
      </c>
      <c r="D123" s="85" t="s">
        <v>235</v>
      </c>
      <c r="E123" s="85" t="s">
        <v>227</v>
      </c>
      <c r="F123" s="5"/>
      <c r="G123" s="5"/>
    </row>
    <row r="124" spans="1:7">
      <c r="A124" s="85" t="s">
        <v>227</v>
      </c>
      <c r="B124" s="85" t="s">
        <v>227</v>
      </c>
      <c r="C124" s="85" t="s">
        <v>330</v>
      </c>
      <c r="D124" s="85" t="s">
        <v>235</v>
      </c>
      <c r="E124" s="85" t="s">
        <v>227</v>
      </c>
      <c r="F124" s="5"/>
      <c r="G124" s="5"/>
    </row>
    <row r="125" spans="1:7">
      <c r="A125" s="85" t="s">
        <v>227</v>
      </c>
      <c r="B125" s="85" t="s">
        <v>227</v>
      </c>
      <c r="C125" s="85" t="s">
        <v>331</v>
      </c>
      <c r="D125" s="85" t="s">
        <v>226</v>
      </c>
      <c r="E125" s="85" t="s">
        <v>227</v>
      </c>
      <c r="F125" s="5"/>
      <c r="G125" s="5"/>
    </row>
    <row r="126" spans="1:7">
      <c r="A126" s="85" t="s">
        <v>227</v>
      </c>
      <c r="B126" s="85" t="s">
        <v>227</v>
      </c>
      <c r="C126" s="85" t="s">
        <v>283</v>
      </c>
      <c r="D126" s="85" t="s">
        <v>226</v>
      </c>
      <c r="E126" s="85" t="s">
        <v>227</v>
      </c>
      <c r="F126" s="5"/>
      <c r="G126" s="5"/>
    </row>
    <row r="127" spans="1:7">
      <c r="A127" s="85" t="s">
        <v>227</v>
      </c>
      <c r="B127" s="85" t="s">
        <v>227</v>
      </c>
      <c r="C127" s="85" t="s">
        <v>332</v>
      </c>
      <c r="D127" s="85" t="s">
        <v>226</v>
      </c>
      <c r="E127" s="85" t="s">
        <v>227</v>
      </c>
      <c r="F127" s="5"/>
      <c r="G127" s="5"/>
    </row>
    <row r="128" spans="1:7">
      <c r="A128" s="85" t="s">
        <v>227</v>
      </c>
      <c r="B128" s="85" t="s">
        <v>227</v>
      </c>
      <c r="C128" s="85" t="s">
        <v>333</v>
      </c>
      <c r="D128" s="85" t="s">
        <v>226</v>
      </c>
      <c r="E128" s="85" t="s">
        <v>227</v>
      </c>
      <c r="F128" s="5"/>
      <c r="G128" s="5"/>
    </row>
    <row r="129" spans="1:7">
      <c r="A129" s="85" t="s">
        <v>227</v>
      </c>
      <c r="B129" s="85" t="s">
        <v>227</v>
      </c>
      <c r="C129" s="85" t="s">
        <v>297</v>
      </c>
      <c r="D129" s="85" t="s">
        <v>298</v>
      </c>
      <c r="E129" s="85" t="s">
        <v>227</v>
      </c>
      <c r="F129" s="5"/>
      <c r="G129" s="5"/>
    </row>
    <row r="130" spans="1:7">
      <c r="A130" s="85" t="s">
        <v>227</v>
      </c>
      <c r="B130" s="85" t="s">
        <v>227</v>
      </c>
      <c r="C130" s="85" t="s">
        <v>286</v>
      </c>
      <c r="D130" s="85" t="s">
        <v>235</v>
      </c>
      <c r="E130" s="85" t="s">
        <v>227</v>
      </c>
      <c r="F130" s="5"/>
      <c r="G130" s="5"/>
    </row>
    <row r="131" spans="1:7">
      <c r="A131" s="85" t="s">
        <v>227</v>
      </c>
      <c r="B131" s="85" t="s">
        <v>227</v>
      </c>
      <c r="C131" s="85" t="s">
        <v>334</v>
      </c>
      <c r="D131" s="85" t="s">
        <v>235</v>
      </c>
      <c r="E131" s="85" t="s">
        <v>227</v>
      </c>
      <c r="F131" s="5"/>
      <c r="G131" s="5"/>
    </row>
    <row r="132" spans="1:7">
      <c r="A132" s="85" t="s">
        <v>227</v>
      </c>
      <c r="B132" s="85" t="s">
        <v>227</v>
      </c>
      <c r="C132" s="85" t="s">
        <v>335</v>
      </c>
      <c r="D132" s="85" t="s">
        <v>226</v>
      </c>
      <c r="E132" s="85" t="s">
        <v>227</v>
      </c>
      <c r="F132" s="5"/>
      <c r="G132" s="5"/>
    </row>
    <row r="133" spans="1:7">
      <c r="A133" s="85" t="s">
        <v>227</v>
      </c>
      <c r="B133" s="85" t="s">
        <v>227</v>
      </c>
      <c r="C133" s="85" t="s">
        <v>336</v>
      </c>
      <c r="D133" s="85" t="s">
        <v>226</v>
      </c>
      <c r="E133" s="85" t="s">
        <v>227</v>
      </c>
      <c r="F133" s="5"/>
      <c r="G133" s="5"/>
    </row>
    <row r="134" spans="1:7">
      <c r="A134" s="85" t="s">
        <v>227</v>
      </c>
      <c r="B134" s="85" t="s">
        <v>227</v>
      </c>
      <c r="C134" s="85" t="s">
        <v>337</v>
      </c>
      <c r="D134" s="85" t="s">
        <v>226</v>
      </c>
      <c r="E134" s="85" t="s">
        <v>227</v>
      </c>
      <c r="F134" s="5"/>
      <c r="G134" s="5"/>
    </row>
    <row r="135" spans="1:7">
      <c r="A135" s="85" t="s">
        <v>227</v>
      </c>
      <c r="B135" s="85" t="s">
        <v>227</v>
      </c>
      <c r="C135" s="85" t="s">
        <v>338</v>
      </c>
      <c r="D135" s="85" t="s">
        <v>226</v>
      </c>
      <c r="E135" s="85" t="s">
        <v>227</v>
      </c>
      <c r="F135" s="5"/>
      <c r="G135" s="5"/>
    </row>
    <row r="136" spans="1:7">
      <c r="A136" s="85" t="s">
        <v>227</v>
      </c>
      <c r="B136" s="85" t="s">
        <v>227</v>
      </c>
      <c r="C136" s="85" t="s">
        <v>292</v>
      </c>
      <c r="D136" s="85" t="s">
        <v>226</v>
      </c>
      <c r="E136" s="85" t="s">
        <v>227</v>
      </c>
      <c r="F136" s="5"/>
      <c r="G136" s="5"/>
    </row>
    <row r="137" spans="1:7">
      <c r="A137" s="85" t="s">
        <v>227</v>
      </c>
      <c r="B137" s="85" t="s">
        <v>227</v>
      </c>
      <c r="C137" s="85" t="s">
        <v>339</v>
      </c>
      <c r="D137" s="85" t="s">
        <v>226</v>
      </c>
      <c r="E137" s="85" t="s">
        <v>227</v>
      </c>
      <c r="F137" s="5"/>
      <c r="G137" s="5"/>
    </row>
    <row r="138" spans="1:7">
      <c r="A138" s="85" t="s">
        <v>227</v>
      </c>
      <c r="B138" s="85" t="s">
        <v>227</v>
      </c>
      <c r="C138" s="85" t="s">
        <v>275</v>
      </c>
      <c r="D138" s="85" t="s">
        <v>226</v>
      </c>
      <c r="E138" s="85" t="s">
        <v>227</v>
      </c>
      <c r="F138" s="5"/>
      <c r="G138" s="5"/>
    </row>
    <row r="139" spans="1:7">
      <c r="A139" s="85" t="s">
        <v>227</v>
      </c>
      <c r="B139" s="85" t="s">
        <v>227</v>
      </c>
      <c r="C139" s="85" t="s">
        <v>295</v>
      </c>
      <c r="D139" s="85" t="s">
        <v>226</v>
      </c>
      <c r="E139" s="85" t="s">
        <v>227</v>
      </c>
      <c r="F139" s="5"/>
      <c r="G139" s="5"/>
    </row>
    <row r="140" spans="1:7">
      <c r="A140" s="85" t="s">
        <v>227</v>
      </c>
      <c r="B140" s="85" t="s">
        <v>227</v>
      </c>
      <c r="C140" s="85" t="s">
        <v>296</v>
      </c>
      <c r="D140" s="85" t="s">
        <v>226</v>
      </c>
      <c r="E140" s="85" t="s">
        <v>227</v>
      </c>
      <c r="F140" s="5"/>
      <c r="G140" s="5"/>
    </row>
    <row r="141" spans="1:7">
      <c r="A141" s="85" t="s">
        <v>227</v>
      </c>
      <c r="B141" s="85" t="s">
        <v>227</v>
      </c>
      <c r="C141" s="85" t="s">
        <v>340</v>
      </c>
      <c r="D141" s="85" t="s">
        <v>226</v>
      </c>
      <c r="E141" s="85" t="s">
        <v>227</v>
      </c>
      <c r="F141" s="5"/>
      <c r="G141" s="5"/>
    </row>
    <row r="142" spans="1:7">
      <c r="A142" s="85" t="s">
        <v>227</v>
      </c>
      <c r="B142" s="85" t="s">
        <v>227</v>
      </c>
      <c r="C142" s="85" t="s">
        <v>341</v>
      </c>
      <c r="D142" s="85" t="s">
        <v>235</v>
      </c>
      <c r="E142" s="85" t="s">
        <v>227</v>
      </c>
      <c r="F142" s="5"/>
      <c r="G142" s="5"/>
    </row>
    <row r="143" spans="1:7">
      <c r="A143" s="85" t="s">
        <v>227</v>
      </c>
      <c r="B143" s="85" t="s">
        <v>227</v>
      </c>
      <c r="C143" s="85" t="s">
        <v>284</v>
      </c>
      <c r="D143" s="85" t="s">
        <v>226</v>
      </c>
      <c r="E143" s="85" t="s">
        <v>227</v>
      </c>
      <c r="F143" s="5"/>
      <c r="G143" s="5"/>
    </row>
    <row r="144" spans="1:7">
      <c r="A144" s="85" t="s">
        <v>227</v>
      </c>
      <c r="B144" s="85" t="s">
        <v>227</v>
      </c>
      <c r="C144" s="85" t="s">
        <v>342</v>
      </c>
      <c r="D144" s="85" t="s">
        <v>226</v>
      </c>
      <c r="E144" s="85" t="s">
        <v>227</v>
      </c>
      <c r="F144" s="5"/>
      <c r="G144" s="5"/>
    </row>
    <row r="145" spans="1:7">
      <c r="A145" s="85" t="s">
        <v>227</v>
      </c>
      <c r="B145" s="85" t="s">
        <v>227</v>
      </c>
      <c r="C145" s="85" t="s">
        <v>300</v>
      </c>
      <c r="D145" s="85" t="s">
        <v>254</v>
      </c>
      <c r="E145" s="85" t="s">
        <v>227</v>
      </c>
      <c r="F145" s="5"/>
      <c r="G145" s="5"/>
    </row>
    <row r="146" spans="1:7">
      <c r="A146" s="85" t="s">
        <v>227</v>
      </c>
      <c r="B146" s="85" t="s">
        <v>227</v>
      </c>
      <c r="C146" s="85" t="s">
        <v>343</v>
      </c>
      <c r="D146" s="85" t="s">
        <v>226</v>
      </c>
      <c r="E146" s="85" t="s">
        <v>227</v>
      </c>
      <c r="F146" s="5"/>
      <c r="G146" s="5"/>
    </row>
    <row r="147" spans="1:7">
      <c r="A147" s="85" t="s">
        <v>227</v>
      </c>
      <c r="B147" s="85" t="s">
        <v>227</v>
      </c>
      <c r="C147" s="85" t="s">
        <v>344</v>
      </c>
      <c r="D147" s="85" t="s">
        <v>226</v>
      </c>
      <c r="E147" s="85" t="s">
        <v>227</v>
      </c>
      <c r="F147" s="5"/>
      <c r="G147" s="5"/>
    </row>
    <row r="148" spans="1:7">
      <c r="A148" s="85" t="s">
        <v>227</v>
      </c>
      <c r="B148" s="85" t="s">
        <v>227</v>
      </c>
      <c r="C148" s="85" t="s">
        <v>278</v>
      </c>
      <c r="D148" s="85" t="s">
        <v>226</v>
      </c>
      <c r="E148" s="85" t="s">
        <v>227</v>
      </c>
      <c r="F148" s="5"/>
      <c r="G148" s="5"/>
    </row>
    <row r="149" spans="1:7">
      <c r="A149" s="85" t="s">
        <v>227</v>
      </c>
      <c r="B149" s="85" t="s">
        <v>227</v>
      </c>
      <c r="C149" s="85" t="s">
        <v>345</v>
      </c>
      <c r="D149" s="85" t="s">
        <v>226</v>
      </c>
      <c r="E149" s="85" t="s">
        <v>227</v>
      </c>
      <c r="F149" s="5"/>
      <c r="G149" s="5"/>
    </row>
    <row r="150" spans="1:7">
      <c r="A150" s="85" t="s">
        <v>227</v>
      </c>
      <c r="B150" s="85" t="s">
        <v>227</v>
      </c>
      <c r="C150" s="85" t="s">
        <v>274</v>
      </c>
      <c r="D150" s="85" t="s">
        <v>226</v>
      </c>
      <c r="E150" s="85" t="s">
        <v>227</v>
      </c>
      <c r="F150" s="5"/>
      <c r="G150" s="5"/>
    </row>
    <row r="151" spans="1:7">
      <c r="A151" s="85" t="s">
        <v>227</v>
      </c>
      <c r="B151" s="85" t="s">
        <v>227</v>
      </c>
      <c r="C151" s="85" t="s">
        <v>346</v>
      </c>
      <c r="D151" s="85" t="s">
        <v>226</v>
      </c>
      <c r="E151" s="85" t="s">
        <v>227</v>
      </c>
      <c r="F151" s="5"/>
      <c r="G151" s="5"/>
    </row>
    <row r="152" spans="1:7">
      <c r="A152" s="85" t="s">
        <v>227</v>
      </c>
      <c r="B152" s="85" t="s">
        <v>227</v>
      </c>
      <c r="C152" s="85" t="s">
        <v>347</v>
      </c>
      <c r="D152" s="85" t="s">
        <v>226</v>
      </c>
      <c r="E152" s="85" t="s">
        <v>227</v>
      </c>
      <c r="F152" s="5"/>
      <c r="G152" s="5"/>
    </row>
    <row r="153" spans="1:7">
      <c r="A153" s="85" t="s">
        <v>227</v>
      </c>
      <c r="B153" s="85" t="s">
        <v>227</v>
      </c>
      <c r="C153" s="85" t="s">
        <v>348</v>
      </c>
      <c r="D153" s="85" t="s">
        <v>226</v>
      </c>
      <c r="E153" s="85" t="s">
        <v>227</v>
      </c>
      <c r="F153" s="5"/>
      <c r="G153" s="5"/>
    </row>
    <row r="154" spans="1:7">
      <c r="A154" s="85" t="s">
        <v>227</v>
      </c>
      <c r="B154" s="85" t="s">
        <v>227</v>
      </c>
      <c r="C154" s="85" t="s">
        <v>276</v>
      </c>
      <c r="D154" s="85" t="s">
        <v>226</v>
      </c>
      <c r="E154" s="85" t="s">
        <v>227</v>
      </c>
      <c r="F154" s="5"/>
      <c r="G154" s="5"/>
    </row>
    <row r="155" spans="1:7">
      <c r="A155" s="85" t="s">
        <v>227</v>
      </c>
      <c r="B155" s="85" t="s">
        <v>227</v>
      </c>
      <c r="C155" s="85" t="s">
        <v>277</v>
      </c>
      <c r="D155" s="85" t="s">
        <v>226</v>
      </c>
      <c r="E155" s="85" t="s">
        <v>227</v>
      </c>
      <c r="F155" s="5"/>
      <c r="G155" s="5"/>
    </row>
    <row r="156" spans="1:7">
      <c r="A156" s="85" t="s">
        <v>227</v>
      </c>
      <c r="B156" s="85" t="s">
        <v>227</v>
      </c>
      <c r="C156" s="85" t="s">
        <v>349</v>
      </c>
      <c r="D156" s="85" t="s">
        <v>226</v>
      </c>
      <c r="E156" s="85" t="s">
        <v>227</v>
      </c>
      <c r="F156" s="5"/>
      <c r="G156" s="5"/>
    </row>
    <row r="157" spans="1:7">
      <c r="A157" s="85" t="s">
        <v>227</v>
      </c>
      <c r="B157" s="85" t="s">
        <v>227</v>
      </c>
      <c r="C157" s="85" t="s">
        <v>350</v>
      </c>
      <c r="D157" s="85" t="s">
        <v>226</v>
      </c>
      <c r="E157" s="85" t="s">
        <v>227</v>
      </c>
      <c r="F157" s="5"/>
      <c r="G157" s="5"/>
    </row>
    <row r="158" spans="1:7">
      <c r="A158" s="85" t="s">
        <v>302</v>
      </c>
      <c r="B158" s="85" t="s">
        <v>313</v>
      </c>
      <c r="C158" s="85" t="s">
        <v>227</v>
      </c>
      <c r="D158" s="85" t="s">
        <v>227</v>
      </c>
      <c r="E158" s="85" t="s">
        <v>364</v>
      </c>
      <c r="F158" s="5"/>
      <c r="G158" s="5"/>
    </row>
    <row r="159" spans="1:7">
      <c r="A159" s="85" t="s">
        <v>227</v>
      </c>
      <c r="B159" s="85" t="s">
        <v>227</v>
      </c>
      <c r="C159" s="85" t="s">
        <v>303</v>
      </c>
      <c r="D159" s="85" t="s">
        <v>226</v>
      </c>
      <c r="E159" s="85" t="s">
        <v>227</v>
      </c>
      <c r="F159" s="5"/>
      <c r="G159" s="5"/>
    </row>
    <row r="160" spans="1:7">
      <c r="A160" s="85" t="s">
        <v>351</v>
      </c>
      <c r="B160" s="85" t="s">
        <v>313</v>
      </c>
      <c r="C160" s="85" t="s">
        <v>227</v>
      </c>
      <c r="D160" s="85" t="s">
        <v>227</v>
      </c>
      <c r="E160" s="85" t="s">
        <v>364</v>
      </c>
      <c r="F160" s="5"/>
      <c r="G160" s="5"/>
    </row>
    <row r="161" spans="1:7">
      <c r="A161" s="85" t="s">
        <v>227</v>
      </c>
      <c r="B161" s="85" t="s">
        <v>227</v>
      </c>
      <c r="C161" s="85" t="s">
        <v>305</v>
      </c>
      <c r="D161" s="85" t="s">
        <v>226</v>
      </c>
      <c r="E161" s="85" t="s">
        <v>227</v>
      </c>
      <c r="F161" s="5"/>
      <c r="G161" s="5"/>
    </row>
    <row r="162" spans="1:7">
      <c r="A162" s="85" t="s">
        <v>227</v>
      </c>
      <c r="B162" s="85" t="s">
        <v>227</v>
      </c>
      <c r="C162" s="85" t="s">
        <v>306</v>
      </c>
      <c r="D162" s="85" t="s">
        <v>226</v>
      </c>
      <c r="E162" s="85" t="s">
        <v>227</v>
      </c>
      <c r="F162" s="5"/>
      <c r="G162" s="5"/>
    </row>
    <row r="163" spans="1:7">
      <c r="A163" s="85" t="s">
        <v>352</v>
      </c>
      <c r="B163" s="85" t="s">
        <v>313</v>
      </c>
      <c r="C163" s="85" t="s">
        <v>227</v>
      </c>
      <c r="D163" s="85" t="s">
        <v>227</v>
      </c>
      <c r="E163" s="85" t="s">
        <v>364</v>
      </c>
      <c r="F163" s="5"/>
      <c r="G163" s="5"/>
    </row>
    <row r="164" spans="1:7">
      <c r="A164" s="85" t="s">
        <v>353</v>
      </c>
      <c r="B164" s="85" t="s">
        <v>226</v>
      </c>
      <c r="C164" s="85" t="s">
        <v>227</v>
      </c>
      <c r="D164" s="85" t="s">
        <v>227</v>
      </c>
      <c r="E164" s="85" t="s">
        <v>227</v>
      </c>
      <c r="F164" s="5"/>
      <c r="G164" s="5"/>
    </row>
    <row r="165" spans="1:7">
      <c r="A165" s="85" t="s">
        <v>311</v>
      </c>
      <c r="B165" s="85" t="s">
        <v>313</v>
      </c>
      <c r="C165" s="85" t="s">
        <v>227</v>
      </c>
      <c r="D165" s="85" t="s">
        <v>227</v>
      </c>
      <c r="E165" s="85" t="s">
        <v>227</v>
      </c>
      <c r="F165" s="5"/>
      <c r="G165" s="5"/>
    </row>
    <row r="166" spans="1:7">
      <c r="A166" s="85" t="s">
        <v>354</v>
      </c>
      <c r="B166" s="85" t="s">
        <v>241</v>
      </c>
      <c r="C166" s="85" t="s">
        <v>227</v>
      </c>
      <c r="D166" s="85" t="s">
        <v>227</v>
      </c>
      <c r="E166" s="85" t="s">
        <v>227</v>
      </c>
      <c r="F166" s="5"/>
      <c r="G166" s="62"/>
    </row>
    <row r="167" spans="1:7">
      <c r="F167" s="56" t="s">
        <v>365</v>
      </c>
      <c r="G167" s="63">
        <f>G2+G82</f>
        <v>23873568.842999998</v>
      </c>
    </row>
    <row r="168" spans="1:7">
      <c r="G168" s="63"/>
    </row>
    <row r="169" spans="1:7">
      <c r="A169" s="59" t="s">
        <v>222</v>
      </c>
      <c r="B169" s="59" t="s">
        <v>21</v>
      </c>
      <c r="C169" s="59"/>
      <c r="D169" s="59"/>
      <c r="E169" s="59"/>
      <c r="F169" s="59" t="s">
        <v>362</v>
      </c>
      <c r="G169" s="59" t="s">
        <v>363</v>
      </c>
    </row>
    <row r="170" spans="1:7">
      <c r="A170" s="64" t="s">
        <v>355</v>
      </c>
      <c r="B170" s="5">
        <v>1</v>
      </c>
      <c r="C170" s="5"/>
      <c r="D170" s="5"/>
      <c r="E170" s="5"/>
      <c r="F170" s="22">
        <f>G170/B170</f>
        <v>2796192.2107500001</v>
      </c>
      <c r="G170" s="22">
        <v>2796192.2107500001</v>
      </c>
    </row>
    <row r="171" spans="1:7">
      <c r="A171" s="64" t="s">
        <v>356</v>
      </c>
      <c r="B171" s="5">
        <v>3</v>
      </c>
      <c r="C171" s="5"/>
      <c r="D171" s="5"/>
      <c r="E171" s="5"/>
      <c r="F171" s="22">
        <f>G171/B171</f>
        <v>2914716.2107500006</v>
      </c>
      <c r="G171" s="22">
        <v>8744148.6322500017</v>
      </c>
    </row>
    <row r="172" spans="1:7">
      <c r="A172" s="65"/>
      <c r="F172" s="56" t="s">
        <v>365</v>
      </c>
      <c r="G172" s="63">
        <f>SUM(G170:G171)</f>
        <v>11540340.843000002</v>
      </c>
    </row>
    <row r="173" spans="1:7">
      <c r="A173" s="66"/>
      <c r="G173" s="60"/>
    </row>
    <row r="174" spans="1:7">
      <c r="A174" s="67" t="s">
        <v>357</v>
      </c>
      <c r="B174" s="576" t="s">
        <v>358</v>
      </c>
    </row>
    <row r="175" spans="1:7">
      <c r="A175" s="67" t="s">
        <v>204</v>
      </c>
      <c r="B175" s="576"/>
      <c r="F175" s="60"/>
    </row>
    <row r="176" spans="1:7">
      <c r="A176" s="5" t="s">
        <v>359</v>
      </c>
      <c r="B176" s="68">
        <v>192</v>
      </c>
    </row>
    <row r="177" spans="1:2">
      <c r="A177" s="5" t="s">
        <v>360</v>
      </c>
      <c r="B177" s="68">
        <v>192</v>
      </c>
    </row>
  </sheetData>
  <mergeCells count="1">
    <mergeCell ref="B174:B17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B7BBA-D98F-45C4-88E6-C91AF0F53BD8}">
  <dimension ref="B1:H29"/>
  <sheetViews>
    <sheetView workbookViewId="0">
      <selection activeCell="E4" sqref="E4"/>
    </sheetView>
  </sheetViews>
  <sheetFormatPr defaultColWidth="27.21875" defaultRowHeight="14.4"/>
  <cols>
    <col min="1" max="16384" width="27.21875" style="1"/>
  </cols>
  <sheetData>
    <row r="1" spans="2:8" ht="15" thickBot="1"/>
    <row r="2" spans="2:8" ht="15" thickBot="1">
      <c r="B2" s="177" t="s">
        <v>797</v>
      </c>
      <c r="C2" s="178" t="s">
        <v>798</v>
      </c>
      <c r="D2" s="178" t="s">
        <v>799</v>
      </c>
      <c r="E2" s="178" t="s">
        <v>800</v>
      </c>
      <c r="F2" s="178" t="s">
        <v>801</v>
      </c>
      <c r="G2" s="178" t="s">
        <v>802</v>
      </c>
    </row>
    <row r="3" spans="2:8" ht="28.2" thickBot="1">
      <c r="B3" s="179" t="s">
        <v>803</v>
      </c>
      <c r="C3" s="180" t="s">
        <v>804</v>
      </c>
      <c r="D3" s="180" t="s">
        <v>632</v>
      </c>
      <c r="E3" s="190">
        <v>613005.25</v>
      </c>
      <c r="F3" s="191">
        <v>769209</v>
      </c>
      <c r="G3" s="180" t="s">
        <v>805</v>
      </c>
    </row>
    <row r="4" spans="2:8" ht="42" thickBot="1">
      <c r="B4" s="179" t="s">
        <v>803</v>
      </c>
      <c r="C4" s="180" t="s">
        <v>806</v>
      </c>
      <c r="D4" s="180" t="s">
        <v>633</v>
      </c>
      <c r="E4" s="190">
        <v>519184.5</v>
      </c>
      <c r="F4" s="191">
        <v>651483</v>
      </c>
      <c r="G4" s="180" t="s">
        <v>805</v>
      </c>
    </row>
    <row r="5" spans="2:8" ht="42" thickBot="1">
      <c r="B5" s="179" t="s">
        <v>803</v>
      </c>
      <c r="C5" s="180" t="s">
        <v>807</v>
      </c>
      <c r="D5" s="180" t="s">
        <v>219</v>
      </c>
      <c r="E5" s="190">
        <v>154801.75</v>
      </c>
      <c r="F5" s="191">
        <v>194250</v>
      </c>
      <c r="G5" s="180" t="s">
        <v>805</v>
      </c>
    </row>
    <row r="6" spans="2:8" ht="15" thickBot="1"/>
    <row r="7" spans="2:8" ht="15" thickBot="1">
      <c r="B7" s="181" t="s">
        <v>798</v>
      </c>
      <c r="C7" s="182" t="s">
        <v>799</v>
      </c>
      <c r="D7" s="182" t="s">
        <v>800</v>
      </c>
      <c r="E7" s="182" t="s">
        <v>801</v>
      </c>
      <c r="F7" s="182" t="s">
        <v>808</v>
      </c>
      <c r="G7" s="182" t="s">
        <v>809</v>
      </c>
      <c r="H7" s="182" t="s">
        <v>810</v>
      </c>
    </row>
    <row r="8" spans="2:8" ht="28.2" thickBot="1">
      <c r="B8" s="183" t="s">
        <v>811</v>
      </c>
      <c r="C8" s="184" t="s">
        <v>812</v>
      </c>
      <c r="D8" s="192">
        <v>78148.63</v>
      </c>
      <c r="E8" s="193">
        <v>98063</v>
      </c>
      <c r="F8" s="184" t="s">
        <v>813</v>
      </c>
      <c r="G8" s="184" t="s">
        <v>814</v>
      </c>
      <c r="H8" s="184" t="s">
        <v>815</v>
      </c>
    </row>
    <row r="9" spans="2:8" ht="28.2" thickBot="1">
      <c r="B9" s="183" t="s">
        <v>816</v>
      </c>
      <c r="C9" s="184" t="s">
        <v>817</v>
      </c>
      <c r="D9" s="192">
        <v>437855.25</v>
      </c>
      <c r="E9" s="193">
        <v>549428</v>
      </c>
      <c r="F9" s="184" t="s">
        <v>813</v>
      </c>
      <c r="G9" s="184" t="s">
        <v>814</v>
      </c>
      <c r="H9" s="184" t="s">
        <v>815</v>
      </c>
    </row>
    <row r="10" spans="2:8" ht="15" thickBot="1"/>
    <row r="11" spans="2:8" ht="15" thickBot="1">
      <c r="B11" s="185" t="s">
        <v>818</v>
      </c>
      <c r="C11" s="186" t="s">
        <v>819</v>
      </c>
      <c r="D11" s="186" t="s">
        <v>800</v>
      </c>
      <c r="E11" s="186" t="s">
        <v>820</v>
      </c>
      <c r="F11" s="186" t="s">
        <v>821</v>
      </c>
    </row>
    <row r="12" spans="2:8" ht="28.2" thickBot="1">
      <c r="B12" s="183" t="s">
        <v>822</v>
      </c>
      <c r="C12" s="184" t="s">
        <v>823</v>
      </c>
      <c r="D12" s="192">
        <v>331753.25</v>
      </c>
      <c r="E12" s="193">
        <v>378589</v>
      </c>
      <c r="F12" s="184" t="s">
        <v>824</v>
      </c>
    </row>
    <row r="13" spans="2:8" ht="28.2" thickBot="1">
      <c r="B13" s="183" t="s">
        <v>825</v>
      </c>
      <c r="C13" s="184" t="s">
        <v>826</v>
      </c>
      <c r="D13" s="192">
        <v>3499.03</v>
      </c>
      <c r="E13" s="193">
        <v>3993</v>
      </c>
      <c r="F13" s="184" t="s">
        <v>824</v>
      </c>
    </row>
    <row r="14" spans="2:8" ht="28.2" thickBot="1">
      <c r="B14" s="183" t="s">
        <v>825</v>
      </c>
      <c r="C14" s="184" t="s">
        <v>827</v>
      </c>
      <c r="D14" s="192">
        <v>4466.45</v>
      </c>
      <c r="E14" s="193">
        <v>5097</v>
      </c>
      <c r="F14" s="184" t="s">
        <v>824</v>
      </c>
    </row>
    <row r="15" spans="2:8" ht="15" thickBot="1">
      <c r="B15" s="183" t="s">
        <v>828</v>
      </c>
      <c r="C15" s="184" t="s">
        <v>829</v>
      </c>
      <c r="D15" s="192">
        <v>58071.65</v>
      </c>
      <c r="E15" s="193">
        <v>66270</v>
      </c>
      <c r="F15" s="184" t="s">
        <v>824</v>
      </c>
    </row>
    <row r="16" spans="2:8" ht="28.2" thickBot="1">
      <c r="B16" s="183" t="s">
        <v>830</v>
      </c>
      <c r="C16" s="184" t="s">
        <v>831</v>
      </c>
      <c r="D16" s="192">
        <v>5583.72</v>
      </c>
      <c r="E16" s="193">
        <v>6372</v>
      </c>
      <c r="F16" s="184" t="s">
        <v>824</v>
      </c>
    </row>
    <row r="17" spans="2:7" ht="28.2" thickBot="1">
      <c r="B17" s="183" t="s">
        <v>830</v>
      </c>
      <c r="C17" s="184" t="s">
        <v>832</v>
      </c>
      <c r="D17" s="192">
        <v>7221.5</v>
      </c>
      <c r="E17" s="193">
        <v>8241</v>
      </c>
      <c r="F17" s="184" t="s">
        <v>824</v>
      </c>
    </row>
    <row r="18" spans="2:7" ht="15" thickBot="1"/>
    <row r="19" spans="2:7" ht="15" thickBot="1">
      <c r="B19" s="169" t="s">
        <v>833</v>
      </c>
      <c r="C19" s="170" t="s">
        <v>21</v>
      </c>
      <c r="D19" s="170" t="s">
        <v>19</v>
      </c>
    </row>
    <row r="20" spans="2:7" ht="28.2" thickBot="1">
      <c r="B20" s="171" t="s">
        <v>834</v>
      </c>
      <c r="C20" s="172">
        <v>1</v>
      </c>
      <c r="D20" s="172" t="s">
        <v>835</v>
      </c>
    </row>
    <row r="21" spans="2:7" ht="15" thickBot="1">
      <c r="B21" s="171" t="s">
        <v>836</v>
      </c>
      <c r="C21" s="172">
        <v>500</v>
      </c>
      <c r="D21" s="172" t="s">
        <v>835</v>
      </c>
    </row>
    <row r="22" spans="2:7" ht="28.2" thickBot="1">
      <c r="B22" s="171" t="s">
        <v>837</v>
      </c>
      <c r="C22" s="172">
        <v>500</v>
      </c>
      <c r="D22" s="172" t="s">
        <v>835</v>
      </c>
    </row>
    <row r="23" spans="2:7" ht="28.2" thickBot="1">
      <c r="B23" s="171" t="s">
        <v>838</v>
      </c>
      <c r="C23" s="172">
        <v>1</v>
      </c>
      <c r="D23" s="172" t="s">
        <v>839</v>
      </c>
    </row>
    <row r="24" spans="2:7" ht="28.2" thickBot="1">
      <c r="B24" s="171" t="s">
        <v>840</v>
      </c>
      <c r="C24" s="172">
        <v>500</v>
      </c>
      <c r="D24" s="172" t="s">
        <v>841</v>
      </c>
    </row>
    <row r="25" spans="2:7" ht="15" thickBot="1"/>
    <row r="26" spans="2:7">
      <c r="B26" s="578" t="s">
        <v>842</v>
      </c>
      <c r="C26" s="578" t="s">
        <v>818</v>
      </c>
      <c r="D26" s="578" t="s">
        <v>843</v>
      </c>
      <c r="E26" s="173" t="s">
        <v>844</v>
      </c>
      <c r="F26" s="173" t="s">
        <v>800</v>
      </c>
      <c r="G26" s="175" t="s">
        <v>846</v>
      </c>
    </row>
    <row r="27" spans="2:7" ht="15" thickBot="1">
      <c r="B27" s="579"/>
      <c r="C27" s="579"/>
      <c r="D27" s="579"/>
      <c r="E27" s="174" t="s">
        <v>845</v>
      </c>
      <c r="F27" s="174" t="s">
        <v>845</v>
      </c>
      <c r="G27" s="176" t="s">
        <v>845</v>
      </c>
    </row>
    <row r="28" spans="2:7" ht="23.4" thickBot="1">
      <c r="B28" s="187" t="s">
        <v>847</v>
      </c>
      <c r="C28" s="188" t="s">
        <v>848</v>
      </c>
      <c r="D28" s="189" t="s">
        <v>849</v>
      </c>
      <c r="E28" s="194">
        <v>1980</v>
      </c>
      <c r="F28" s="194">
        <v>1584</v>
      </c>
      <c r="G28" s="195">
        <v>1584</v>
      </c>
    </row>
    <row r="29" spans="2:7" ht="23.4" thickBot="1">
      <c r="B29" s="187" t="s">
        <v>850</v>
      </c>
      <c r="C29" s="188" t="s">
        <v>851</v>
      </c>
      <c r="D29" s="189"/>
      <c r="E29" s="194">
        <v>4980</v>
      </c>
      <c r="F29" s="194">
        <v>3984</v>
      </c>
      <c r="G29" s="195">
        <v>3984</v>
      </c>
    </row>
  </sheetData>
  <mergeCells count="3">
    <mergeCell ref="B26:B27"/>
    <mergeCell ref="C26:C27"/>
    <mergeCell ref="D26:D27"/>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C63A7-CCCE-4341-BAA7-9EAC1F1F74F0}">
  <dimension ref="B1:G10"/>
  <sheetViews>
    <sheetView workbookViewId="0">
      <selection activeCell="D10" sqref="D10"/>
    </sheetView>
  </sheetViews>
  <sheetFormatPr defaultColWidth="35.44140625" defaultRowHeight="14.4"/>
  <cols>
    <col min="2" max="2" width="8.5546875" bestFit="1" customWidth="1"/>
    <col min="3" max="3" width="34.77734375" bestFit="1" customWidth="1"/>
    <col min="4" max="4" width="7.21875" bestFit="1" customWidth="1"/>
    <col min="5" max="5" width="8.77734375" bestFit="1" customWidth="1"/>
    <col min="6" max="6" width="13.44140625" bestFit="1" customWidth="1"/>
    <col min="7" max="7" width="14.21875" bestFit="1" customWidth="1"/>
  </cols>
  <sheetData>
    <row r="1" spans="2:7" ht="15" thickBot="1"/>
    <row r="2" spans="2:7" ht="31.8" thickBot="1">
      <c r="B2" s="196" t="s">
        <v>852</v>
      </c>
      <c r="C2" s="197" t="s">
        <v>132</v>
      </c>
      <c r="D2" s="197" t="s">
        <v>853</v>
      </c>
      <c r="E2" s="197" t="s">
        <v>206</v>
      </c>
      <c r="F2" s="197" t="s">
        <v>854</v>
      </c>
      <c r="G2" s="197" t="s">
        <v>363</v>
      </c>
    </row>
    <row r="3" spans="2:7" ht="42" thickBot="1">
      <c r="B3" s="198" t="s">
        <v>855</v>
      </c>
      <c r="C3" s="199" t="s">
        <v>856</v>
      </c>
      <c r="D3" s="199" t="s">
        <v>857</v>
      </c>
      <c r="E3" s="200">
        <v>10</v>
      </c>
      <c r="F3" s="201">
        <v>72672.600000000006</v>
      </c>
      <c r="G3" s="202" t="s">
        <v>858</v>
      </c>
    </row>
    <row r="4" spans="2:7" ht="42" thickBot="1">
      <c r="B4" s="198" t="s">
        <v>859</v>
      </c>
      <c r="C4" s="199" t="s">
        <v>860</v>
      </c>
      <c r="D4" s="199" t="s">
        <v>857</v>
      </c>
      <c r="E4" s="200">
        <v>10</v>
      </c>
      <c r="F4" s="201">
        <v>60560.5</v>
      </c>
      <c r="G4" s="202" t="s">
        <v>861</v>
      </c>
    </row>
    <row r="5" spans="2:7" ht="55.8" thickBot="1">
      <c r="B5" s="198" t="s">
        <v>862</v>
      </c>
      <c r="C5" s="199" t="s">
        <v>863</v>
      </c>
      <c r="D5" s="199" t="s">
        <v>857</v>
      </c>
      <c r="E5" s="200">
        <v>4</v>
      </c>
      <c r="F5" s="201">
        <v>27987.96</v>
      </c>
      <c r="G5" s="202" t="s">
        <v>864</v>
      </c>
    </row>
    <row r="8" spans="2:7">
      <c r="C8" s="236" t="s">
        <v>932</v>
      </c>
      <c r="D8">
        <v>80182.102000000014</v>
      </c>
      <c r="E8" s="314"/>
    </row>
    <row r="9" spans="2:7">
      <c r="C9" s="236" t="s">
        <v>933</v>
      </c>
      <c r="D9">
        <v>66818.418333333335</v>
      </c>
      <c r="E9" s="314"/>
    </row>
    <row r="10" spans="2:7">
      <c r="C10" s="236" t="s">
        <v>934</v>
      </c>
      <c r="D10">
        <v>30880.049199999998</v>
      </c>
      <c r="E10" s="314"/>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0C5FA-CAB8-4D14-A57A-5CB35B29F661}">
  <dimension ref="B2:F8"/>
  <sheetViews>
    <sheetView workbookViewId="0">
      <selection activeCell="E4" sqref="E4"/>
    </sheetView>
  </sheetViews>
  <sheetFormatPr defaultRowHeight="14.4"/>
  <cols>
    <col min="3" max="3" width="19.77734375" customWidth="1"/>
    <col min="6" max="6" width="21.21875" customWidth="1"/>
  </cols>
  <sheetData>
    <row r="2" spans="2:6" ht="57.6">
      <c r="B2" s="45" t="s">
        <v>570</v>
      </c>
      <c r="C2" s="45" t="s">
        <v>878</v>
      </c>
      <c r="D2" s="45" t="s">
        <v>21</v>
      </c>
      <c r="E2" s="45" t="s">
        <v>879</v>
      </c>
      <c r="F2" s="45" t="s">
        <v>880</v>
      </c>
    </row>
    <row r="3" spans="2:6" ht="28.8">
      <c r="B3" s="18">
        <v>1</v>
      </c>
      <c r="C3" s="18" t="s">
        <v>795</v>
      </c>
      <c r="D3" s="18">
        <v>20</v>
      </c>
      <c r="E3" s="18">
        <v>32000</v>
      </c>
      <c r="F3" s="18">
        <f>E3*D3</f>
        <v>640000</v>
      </c>
    </row>
    <row r="4" spans="2:6" ht="28.8">
      <c r="B4" s="18">
        <v>2</v>
      </c>
      <c r="C4" s="18" t="s">
        <v>796</v>
      </c>
      <c r="D4" s="18">
        <v>300</v>
      </c>
      <c r="E4" s="18">
        <v>900</v>
      </c>
      <c r="F4" s="18" t="s">
        <v>881</v>
      </c>
    </row>
    <row r="5" spans="2:6" ht="28.8">
      <c r="B5" s="18">
        <v>3</v>
      </c>
      <c r="C5" s="18" t="s">
        <v>882</v>
      </c>
      <c r="D5" s="18">
        <v>60</v>
      </c>
      <c r="E5" s="18">
        <v>5000</v>
      </c>
      <c r="F5" s="18" t="s">
        <v>883</v>
      </c>
    </row>
    <row r="6" spans="2:6">
      <c r="B6" s="18">
        <v>4</v>
      </c>
      <c r="C6" s="18" t="s">
        <v>884</v>
      </c>
      <c r="D6" s="18" t="s">
        <v>584</v>
      </c>
      <c r="E6" s="18" t="s">
        <v>584</v>
      </c>
      <c r="F6" s="18" t="s">
        <v>883</v>
      </c>
    </row>
    <row r="7" spans="2:6" ht="28.8">
      <c r="B7" s="18"/>
      <c r="C7" s="18" t="s">
        <v>885</v>
      </c>
      <c r="D7" s="18" t="s">
        <v>814</v>
      </c>
      <c r="E7" s="18" t="s">
        <v>584</v>
      </c>
      <c r="F7" s="18" t="s">
        <v>886</v>
      </c>
    </row>
    <row r="8" spans="2:6">
      <c r="B8" s="527" t="s">
        <v>887</v>
      </c>
      <c r="C8" s="527"/>
      <c r="D8" s="527"/>
      <c r="E8" s="527"/>
      <c r="F8" s="218">
        <v>1670000</v>
      </c>
    </row>
  </sheetData>
  <mergeCells count="1">
    <mergeCell ref="B8:E8"/>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26C03-4A08-436B-A0D1-792931D0ACB7}">
  <dimension ref="A1:J170"/>
  <sheetViews>
    <sheetView topLeftCell="A161" zoomScaleNormal="100" workbookViewId="0">
      <selection activeCell="F46" sqref="F46"/>
    </sheetView>
  </sheetViews>
  <sheetFormatPr defaultColWidth="27.21875" defaultRowHeight="14.4"/>
  <cols>
    <col min="1" max="2" width="27.21875" style="1"/>
    <col min="3" max="3" width="51.21875" style="1" bestFit="1" customWidth="1"/>
    <col min="4" max="16384" width="27.21875" style="1"/>
  </cols>
  <sheetData>
    <row r="1" spans="1:8" ht="15" thickBot="1">
      <c r="A1" s="587" t="s">
        <v>1122</v>
      </c>
      <c r="B1" s="587"/>
      <c r="C1" s="587"/>
    </row>
    <row r="2" spans="1:8" ht="15" thickBot="1">
      <c r="B2" s="177" t="s">
        <v>797</v>
      </c>
      <c r="C2" s="178" t="s">
        <v>798</v>
      </c>
      <c r="D2" s="178" t="s">
        <v>799</v>
      </c>
      <c r="E2" s="178" t="s">
        <v>800</v>
      </c>
      <c r="F2" s="178" t="s">
        <v>801</v>
      </c>
      <c r="G2" s="178" t="s">
        <v>802</v>
      </c>
    </row>
    <row r="3" spans="1:8" ht="28.2" thickBot="1">
      <c r="B3" s="179" t="s">
        <v>803</v>
      </c>
      <c r="C3" s="180" t="s">
        <v>804</v>
      </c>
      <c r="D3" s="180" t="s">
        <v>632</v>
      </c>
      <c r="E3" s="190">
        <v>613005.25</v>
      </c>
      <c r="F3" s="191">
        <v>769209</v>
      </c>
      <c r="G3" s="180" t="s">
        <v>805</v>
      </c>
    </row>
    <row r="4" spans="1:8" ht="42" thickBot="1">
      <c r="B4" s="179" t="s">
        <v>803</v>
      </c>
      <c r="C4" s="180" t="s">
        <v>806</v>
      </c>
      <c r="D4" s="180" t="s">
        <v>633</v>
      </c>
      <c r="E4" s="190">
        <v>519184.5</v>
      </c>
      <c r="F4" s="191">
        <v>651483</v>
      </c>
      <c r="G4" s="180" t="s">
        <v>805</v>
      </c>
    </row>
    <row r="5" spans="1:8" ht="42" thickBot="1">
      <c r="B5" s="179" t="s">
        <v>803</v>
      </c>
      <c r="C5" s="180" t="s">
        <v>807</v>
      </c>
      <c r="D5" s="180" t="s">
        <v>219</v>
      </c>
      <c r="E5" s="190">
        <v>154801.75</v>
      </c>
      <c r="F5" s="191">
        <v>194250</v>
      </c>
      <c r="G5" s="180" t="s">
        <v>805</v>
      </c>
    </row>
    <row r="6" spans="1:8" ht="15" thickBot="1"/>
    <row r="7" spans="1:8" ht="15" thickBot="1">
      <c r="B7" s="181" t="s">
        <v>798</v>
      </c>
      <c r="C7" s="182" t="s">
        <v>799</v>
      </c>
      <c r="D7" s="182" t="s">
        <v>800</v>
      </c>
      <c r="E7" s="182" t="s">
        <v>801</v>
      </c>
      <c r="F7" s="182" t="s">
        <v>808</v>
      </c>
      <c r="G7" s="182" t="s">
        <v>809</v>
      </c>
      <c r="H7" s="182" t="s">
        <v>810</v>
      </c>
    </row>
    <row r="8" spans="1:8" ht="15" thickBot="1">
      <c r="B8" s="183" t="s">
        <v>811</v>
      </c>
      <c r="C8" s="184" t="s">
        <v>812</v>
      </c>
      <c r="D8" s="192">
        <v>78148.63</v>
      </c>
      <c r="E8" s="193">
        <v>98063</v>
      </c>
      <c r="F8" s="184" t="s">
        <v>813</v>
      </c>
      <c r="G8" s="184" t="s">
        <v>814</v>
      </c>
      <c r="H8" s="184" t="s">
        <v>815</v>
      </c>
    </row>
    <row r="9" spans="1:8" ht="15" thickBot="1">
      <c r="B9" s="183" t="s">
        <v>816</v>
      </c>
      <c r="C9" s="184" t="s">
        <v>817</v>
      </c>
      <c r="D9" s="192">
        <v>437855.25</v>
      </c>
      <c r="E9" s="193">
        <v>549428</v>
      </c>
      <c r="F9" s="184" t="s">
        <v>813</v>
      </c>
      <c r="G9" s="184" t="s">
        <v>814</v>
      </c>
      <c r="H9" s="184" t="s">
        <v>815</v>
      </c>
    </row>
    <row r="10" spans="1:8" ht="15" thickBot="1"/>
    <row r="11" spans="1:8" ht="15" thickBot="1">
      <c r="B11" s="185" t="s">
        <v>818</v>
      </c>
      <c r="C11" s="186" t="s">
        <v>819</v>
      </c>
      <c r="D11" s="186" t="s">
        <v>800</v>
      </c>
      <c r="E11" s="186" t="s">
        <v>820</v>
      </c>
      <c r="F11" s="186" t="s">
        <v>821</v>
      </c>
    </row>
    <row r="12" spans="1:8" ht="15" thickBot="1">
      <c r="B12" s="183" t="s">
        <v>822</v>
      </c>
      <c r="C12" s="184" t="s">
        <v>823</v>
      </c>
      <c r="D12" s="192">
        <v>331753.25</v>
      </c>
      <c r="E12" s="193">
        <v>378589</v>
      </c>
      <c r="F12" s="184" t="s">
        <v>824</v>
      </c>
    </row>
    <row r="13" spans="1:8" ht="15" thickBot="1">
      <c r="B13" s="183" t="s">
        <v>825</v>
      </c>
      <c r="C13" s="184" t="s">
        <v>826</v>
      </c>
      <c r="D13" s="192">
        <v>3499.03</v>
      </c>
      <c r="E13" s="193">
        <v>3993</v>
      </c>
      <c r="F13" s="184" t="s">
        <v>824</v>
      </c>
    </row>
    <row r="14" spans="1:8" ht="15" thickBot="1">
      <c r="B14" s="183" t="s">
        <v>825</v>
      </c>
      <c r="C14" s="184" t="s">
        <v>827</v>
      </c>
      <c r="D14" s="192">
        <v>4466.45</v>
      </c>
      <c r="E14" s="193">
        <v>5097</v>
      </c>
      <c r="F14" s="184" t="s">
        <v>824</v>
      </c>
    </row>
    <row r="15" spans="1:8" ht="15" thickBot="1">
      <c r="B15" s="183" t="s">
        <v>828</v>
      </c>
      <c r="C15" s="184" t="s">
        <v>829</v>
      </c>
      <c r="D15" s="192">
        <v>58071.65</v>
      </c>
      <c r="E15" s="193">
        <v>66270</v>
      </c>
      <c r="F15" s="184" t="s">
        <v>824</v>
      </c>
    </row>
    <row r="16" spans="1:8" ht="15" thickBot="1">
      <c r="B16" s="183" t="s">
        <v>830</v>
      </c>
      <c r="C16" s="184" t="s">
        <v>831</v>
      </c>
      <c r="D16" s="192">
        <v>5583.72</v>
      </c>
      <c r="E16" s="193">
        <v>6372</v>
      </c>
      <c r="F16" s="184" t="s">
        <v>824</v>
      </c>
    </row>
    <row r="17" spans="1:7" ht="15" thickBot="1">
      <c r="B17" s="183" t="s">
        <v>830</v>
      </c>
      <c r="C17" s="184" t="s">
        <v>832</v>
      </c>
      <c r="D17" s="192">
        <v>7221.5</v>
      </c>
      <c r="E17" s="193">
        <v>8241</v>
      </c>
      <c r="F17" s="184" t="s">
        <v>824</v>
      </c>
    </row>
    <row r="18" spans="1:7" ht="15" thickBot="1"/>
    <row r="19" spans="1:7" ht="15" thickBot="1">
      <c r="B19" s="169" t="s">
        <v>833</v>
      </c>
      <c r="C19" s="170" t="s">
        <v>21</v>
      </c>
      <c r="D19" s="170" t="s">
        <v>19</v>
      </c>
    </row>
    <row r="20" spans="1:7" ht="28.2" thickBot="1">
      <c r="B20" s="171" t="s">
        <v>834</v>
      </c>
      <c r="C20" s="172">
        <v>1</v>
      </c>
      <c r="D20" s="172" t="s">
        <v>835</v>
      </c>
    </row>
    <row r="21" spans="1:7" ht="15" thickBot="1">
      <c r="B21" s="171" t="s">
        <v>836</v>
      </c>
      <c r="C21" s="172">
        <v>500</v>
      </c>
      <c r="D21" s="172" t="s">
        <v>835</v>
      </c>
    </row>
    <row r="22" spans="1:7" ht="28.2" thickBot="1">
      <c r="B22" s="171" t="s">
        <v>837</v>
      </c>
      <c r="C22" s="172">
        <v>500</v>
      </c>
      <c r="D22" s="172" t="s">
        <v>835</v>
      </c>
    </row>
    <row r="23" spans="1:7" ht="28.2" thickBot="1">
      <c r="B23" s="171" t="s">
        <v>838</v>
      </c>
      <c r="C23" s="172">
        <v>1</v>
      </c>
      <c r="D23" s="172" t="s">
        <v>839</v>
      </c>
    </row>
    <row r="24" spans="1:7" ht="28.2" thickBot="1">
      <c r="B24" s="171" t="s">
        <v>840</v>
      </c>
      <c r="C24" s="172">
        <v>500</v>
      </c>
      <c r="D24" s="172" t="s">
        <v>841</v>
      </c>
    </row>
    <row r="25" spans="1:7" ht="15" thickBot="1"/>
    <row r="26" spans="1:7">
      <c r="B26" s="578" t="s">
        <v>842</v>
      </c>
      <c r="C26" s="578" t="s">
        <v>818</v>
      </c>
      <c r="D26" s="578" t="s">
        <v>843</v>
      </c>
      <c r="E26" s="173" t="s">
        <v>844</v>
      </c>
      <c r="F26" s="173" t="s">
        <v>800</v>
      </c>
      <c r="G26" s="175" t="s">
        <v>846</v>
      </c>
    </row>
    <row r="27" spans="1:7" ht="15" thickBot="1">
      <c r="B27" s="579"/>
      <c r="C27" s="579"/>
      <c r="D27" s="579"/>
      <c r="E27" s="174" t="s">
        <v>845</v>
      </c>
      <c r="F27" s="174" t="s">
        <v>845</v>
      </c>
      <c r="G27" s="176" t="s">
        <v>845</v>
      </c>
    </row>
    <row r="28" spans="1:7" ht="23.4" thickBot="1">
      <c r="B28" s="187" t="s">
        <v>847</v>
      </c>
      <c r="C28" s="188" t="s">
        <v>848</v>
      </c>
      <c r="D28" s="189" t="s">
        <v>849</v>
      </c>
      <c r="E28" s="194">
        <v>1980</v>
      </c>
      <c r="F28" s="194">
        <v>1584</v>
      </c>
      <c r="G28" s="195">
        <v>1584</v>
      </c>
    </row>
    <row r="29" spans="1:7" ht="23.4" thickBot="1">
      <c r="B29" s="187" t="s">
        <v>850</v>
      </c>
      <c r="C29" s="188" t="s">
        <v>851</v>
      </c>
      <c r="D29" s="189"/>
      <c r="E29" s="194">
        <v>4980</v>
      </c>
      <c r="F29" s="194">
        <v>3984</v>
      </c>
      <c r="G29" s="195">
        <v>3984</v>
      </c>
    </row>
    <row r="31" spans="1:7" ht="15" thickBot="1">
      <c r="A31" s="587" t="s">
        <v>1123</v>
      </c>
      <c r="B31" s="587"/>
      <c r="C31" s="587"/>
    </row>
    <row r="32" spans="1:7" ht="16.2" thickBot="1">
      <c r="B32" s="196" t="s">
        <v>852</v>
      </c>
      <c r="C32" s="197" t="s">
        <v>132</v>
      </c>
      <c r="D32" s="197" t="s">
        <v>853</v>
      </c>
      <c r="E32" s="197" t="s">
        <v>206</v>
      </c>
      <c r="F32" s="197" t="s">
        <v>854</v>
      </c>
      <c r="G32" s="197" t="s">
        <v>363</v>
      </c>
    </row>
    <row r="33" spans="1:7" ht="28.2" thickBot="1">
      <c r="B33" s="198" t="s">
        <v>855</v>
      </c>
      <c r="C33" s="199" t="s">
        <v>856</v>
      </c>
      <c r="D33" s="199" t="s">
        <v>857</v>
      </c>
      <c r="E33" s="200">
        <v>10</v>
      </c>
      <c r="F33" s="201">
        <v>72672.600000000006</v>
      </c>
      <c r="G33" s="202" t="s">
        <v>858</v>
      </c>
    </row>
    <row r="34" spans="1:7" ht="28.2" thickBot="1">
      <c r="B34" s="198" t="s">
        <v>859</v>
      </c>
      <c r="C34" s="199" t="s">
        <v>860</v>
      </c>
      <c r="D34" s="199" t="s">
        <v>857</v>
      </c>
      <c r="E34" s="200">
        <v>10</v>
      </c>
      <c r="F34" s="201">
        <v>60560.5</v>
      </c>
      <c r="G34" s="202" t="s">
        <v>861</v>
      </c>
    </row>
    <row r="35" spans="1:7" ht="28.2" thickBot="1">
      <c r="B35" s="198" t="s">
        <v>862</v>
      </c>
      <c r="C35" s="199" t="s">
        <v>863</v>
      </c>
      <c r="D35" s="199" t="s">
        <v>857</v>
      </c>
      <c r="E35" s="200">
        <v>4</v>
      </c>
      <c r="F35" s="201">
        <v>27987.96</v>
      </c>
      <c r="G35" s="202" t="s">
        <v>864</v>
      </c>
    </row>
    <row r="36" spans="1:7">
      <c r="B36"/>
      <c r="C36"/>
      <c r="D36"/>
      <c r="E36"/>
      <c r="F36"/>
      <c r="G36"/>
    </row>
    <row r="37" spans="1:7">
      <c r="B37"/>
      <c r="C37"/>
      <c r="D37"/>
      <c r="E37"/>
      <c r="F37"/>
      <c r="G37"/>
    </row>
    <row r="38" spans="1:7">
      <c r="B38"/>
      <c r="C38" s="459" t="s">
        <v>932</v>
      </c>
      <c r="D38" s="5">
        <v>80182.102000000014</v>
      </c>
      <c r="E38" s="314"/>
      <c r="F38"/>
      <c r="G38"/>
    </row>
    <row r="39" spans="1:7">
      <c r="B39"/>
      <c r="C39" s="459" t="s">
        <v>933</v>
      </c>
      <c r="D39" s="5">
        <v>66818.418333333335</v>
      </c>
      <c r="E39" s="314"/>
      <c r="F39"/>
      <c r="G39"/>
    </row>
    <row r="40" spans="1:7">
      <c r="B40"/>
      <c r="C40" s="459" t="s">
        <v>934</v>
      </c>
      <c r="D40" s="5">
        <v>30880.049199999998</v>
      </c>
      <c r="E40" s="314"/>
      <c r="F40"/>
      <c r="G40"/>
    </row>
    <row r="42" spans="1:7">
      <c r="A42" s="587" t="s">
        <v>1124</v>
      </c>
      <c r="B42" s="587"/>
      <c r="C42" s="587"/>
    </row>
    <row r="43" spans="1:7" ht="28.8">
      <c r="B43" s="460" t="s">
        <v>570</v>
      </c>
      <c r="C43" s="460" t="s">
        <v>878</v>
      </c>
      <c r="D43" s="460" t="s">
        <v>21</v>
      </c>
      <c r="E43" s="460" t="s">
        <v>879</v>
      </c>
      <c r="F43" s="460" t="s">
        <v>880</v>
      </c>
    </row>
    <row r="44" spans="1:7">
      <c r="B44" s="4">
        <v>1</v>
      </c>
      <c r="C44" s="4" t="s">
        <v>795</v>
      </c>
      <c r="D44" s="4">
        <v>20</v>
      </c>
      <c r="E44" s="4">
        <v>32000</v>
      </c>
      <c r="F44" s="4">
        <f>E44*D44</f>
        <v>640000</v>
      </c>
    </row>
    <row r="45" spans="1:7">
      <c r="B45" s="4">
        <v>2</v>
      </c>
      <c r="C45" s="4" t="s">
        <v>796</v>
      </c>
      <c r="D45" s="4">
        <v>300</v>
      </c>
      <c r="E45" s="4">
        <v>900</v>
      </c>
      <c r="F45" s="4" t="s">
        <v>881</v>
      </c>
    </row>
    <row r="46" spans="1:7">
      <c r="B46" s="4">
        <v>3</v>
      </c>
      <c r="C46" s="4" t="s">
        <v>882</v>
      </c>
      <c r="D46" s="4">
        <v>60</v>
      </c>
      <c r="E46" s="4">
        <v>5000</v>
      </c>
      <c r="F46" s="4" t="s">
        <v>883</v>
      </c>
    </row>
    <row r="47" spans="1:7">
      <c r="B47" s="4">
        <v>4</v>
      </c>
      <c r="C47" s="4" t="s">
        <v>884</v>
      </c>
      <c r="D47" s="4" t="s">
        <v>584</v>
      </c>
      <c r="E47" s="4" t="s">
        <v>584</v>
      </c>
      <c r="F47" s="4" t="s">
        <v>883</v>
      </c>
    </row>
    <row r="48" spans="1:7">
      <c r="B48" s="4"/>
      <c r="C48" s="4" t="s">
        <v>885</v>
      </c>
      <c r="D48" s="4" t="s">
        <v>814</v>
      </c>
      <c r="E48" s="4" t="s">
        <v>584</v>
      </c>
      <c r="F48" s="4" t="s">
        <v>886</v>
      </c>
    </row>
    <row r="49" spans="1:9">
      <c r="B49" s="586" t="s">
        <v>887</v>
      </c>
      <c r="C49" s="586"/>
      <c r="D49" s="586"/>
      <c r="E49" s="586"/>
      <c r="F49" s="461">
        <v>1670000</v>
      </c>
    </row>
    <row r="51" spans="1:9">
      <c r="A51" s="587" t="s">
        <v>1125</v>
      </c>
      <c r="B51" s="587"/>
      <c r="C51" s="587"/>
    </row>
    <row r="52" spans="1:9">
      <c r="B52" s="4" t="s">
        <v>1126</v>
      </c>
      <c r="C52" s="4" t="s">
        <v>1127</v>
      </c>
      <c r="D52" s="4" t="s">
        <v>1128</v>
      </c>
      <c r="E52" s="4" t="s">
        <v>206</v>
      </c>
      <c r="F52" s="4" t="s">
        <v>969</v>
      </c>
      <c r="G52" s="4" t="s">
        <v>1129</v>
      </c>
      <c r="H52" s="4" t="s">
        <v>1130</v>
      </c>
      <c r="I52" s="4" t="s">
        <v>970</v>
      </c>
    </row>
    <row r="53" spans="1:9">
      <c r="B53" s="4">
        <v>1</v>
      </c>
      <c r="C53" s="4" t="s">
        <v>943</v>
      </c>
      <c r="D53" s="4">
        <v>85238020</v>
      </c>
      <c r="E53" s="4">
        <v>10</v>
      </c>
      <c r="F53" s="4" t="s">
        <v>1131</v>
      </c>
      <c r="G53" s="4" t="s">
        <v>1132</v>
      </c>
      <c r="H53" s="4" t="s">
        <v>1132</v>
      </c>
      <c r="I53" s="4" t="s">
        <v>1133</v>
      </c>
    </row>
    <row r="54" spans="1:9">
      <c r="B54" s="4"/>
      <c r="C54" s="4" t="s">
        <v>1134</v>
      </c>
      <c r="D54" s="4"/>
      <c r="E54" s="4"/>
      <c r="F54" s="4"/>
      <c r="G54" s="4"/>
      <c r="H54" s="4"/>
      <c r="I54" s="4"/>
    </row>
    <row r="55" spans="1:9">
      <c r="B55" s="4">
        <v>2</v>
      </c>
      <c r="C55" s="4" t="s">
        <v>943</v>
      </c>
      <c r="D55" s="4">
        <v>85238020</v>
      </c>
      <c r="E55" s="4">
        <v>10</v>
      </c>
      <c r="F55" s="4" t="s">
        <v>1131</v>
      </c>
      <c r="G55" s="4" t="s">
        <v>1132</v>
      </c>
      <c r="H55" s="4" t="s">
        <v>1132</v>
      </c>
      <c r="I55" s="4" t="s">
        <v>1133</v>
      </c>
    </row>
    <row r="56" spans="1:9">
      <c r="B56" s="4"/>
      <c r="C56" s="4" t="s">
        <v>1135</v>
      </c>
      <c r="D56" s="4"/>
      <c r="E56" s="4"/>
      <c r="F56" s="4"/>
      <c r="G56" s="4"/>
      <c r="H56" s="4"/>
      <c r="I56" s="4"/>
    </row>
    <row r="57" spans="1:9">
      <c r="B57" s="4">
        <v>3</v>
      </c>
      <c r="C57" s="4" t="s">
        <v>943</v>
      </c>
      <c r="D57" s="4">
        <v>85238020</v>
      </c>
      <c r="E57" s="4">
        <v>10</v>
      </c>
      <c r="F57" s="4" t="s">
        <v>1131</v>
      </c>
      <c r="G57" s="4" t="s">
        <v>1132</v>
      </c>
      <c r="H57" s="4" t="s">
        <v>1132</v>
      </c>
      <c r="I57" s="4" t="s">
        <v>1133</v>
      </c>
    </row>
    <row r="58" spans="1:9">
      <c r="B58" s="4"/>
      <c r="C58" s="4" t="s">
        <v>1136</v>
      </c>
      <c r="D58" s="4"/>
      <c r="E58" s="4"/>
      <c r="F58" s="4"/>
      <c r="G58" s="4"/>
      <c r="H58" s="4"/>
      <c r="I58" s="4"/>
    </row>
    <row r="59" spans="1:9">
      <c r="B59" s="4"/>
      <c r="C59" s="4"/>
      <c r="D59" s="4"/>
      <c r="E59" s="4"/>
      <c r="F59" s="4"/>
      <c r="G59" s="4" t="s">
        <v>1137</v>
      </c>
      <c r="H59" s="4"/>
      <c r="I59" s="4" t="s">
        <v>1138</v>
      </c>
    </row>
    <row r="60" spans="1:9" ht="51" customHeight="1">
      <c r="B60" s="4" t="s">
        <v>1139</v>
      </c>
      <c r="C60" s="4"/>
      <c r="D60" s="4"/>
      <c r="E60" s="4"/>
      <c r="F60" s="4"/>
      <c r="G60" s="4" t="s">
        <v>1140</v>
      </c>
      <c r="H60" s="4"/>
      <c r="I60" s="4" t="s">
        <v>1141</v>
      </c>
    </row>
    <row r="61" spans="1:9">
      <c r="B61" s="4"/>
      <c r="C61" s="4"/>
      <c r="D61" s="4"/>
      <c r="E61" s="4"/>
      <c r="F61" s="4"/>
      <c r="G61" s="4" t="s">
        <v>1142</v>
      </c>
      <c r="H61" s="4"/>
      <c r="I61" s="4" t="s">
        <v>1141</v>
      </c>
    </row>
    <row r="62" spans="1:9">
      <c r="B62" s="4" t="s">
        <v>1143</v>
      </c>
      <c r="C62" s="4"/>
      <c r="D62" s="4"/>
      <c r="E62" s="4"/>
      <c r="F62" s="4"/>
      <c r="G62" s="4" t="s">
        <v>198</v>
      </c>
      <c r="H62" s="4"/>
      <c r="I62" s="4" t="s">
        <v>1144</v>
      </c>
    </row>
    <row r="64" spans="1:9" ht="15" thickBot="1">
      <c r="B64" s="580" t="s">
        <v>714</v>
      </c>
      <c r="C64" s="580"/>
      <c r="D64" s="580"/>
    </row>
    <row r="65" spans="1:9">
      <c r="A65" s="581" t="s">
        <v>1158</v>
      </c>
      <c r="B65" s="581" t="s">
        <v>798</v>
      </c>
      <c r="C65" s="581" t="s">
        <v>132</v>
      </c>
      <c r="D65" s="476" t="s">
        <v>1159</v>
      </c>
      <c r="E65" s="476" t="s">
        <v>1161</v>
      </c>
      <c r="F65" s="590" t="s">
        <v>206</v>
      </c>
      <c r="G65" s="588" t="s">
        <v>1163</v>
      </c>
      <c r="H65" s="588" t="s">
        <v>1164</v>
      </c>
    </row>
    <row r="66" spans="1:9" ht="15" thickBot="1">
      <c r="A66" s="582"/>
      <c r="B66" s="582"/>
      <c r="C66" s="582"/>
      <c r="D66" s="477" t="s">
        <v>1160</v>
      </c>
      <c r="E66" s="477" t="s">
        <v>1162</v>
      </c>
      <c r="F66" s="591"/>
      <c r="G66" s="589"/>
      <c r="H66" s="589"/>
    </row>
    <row r="67" spans="1:9" ht="15" thickBot="1">
      <c r="A67" s="486"/>
      <c r="B67" s="490"/>
      <c r="C67" s="490"/>
      <c r="D67" s="477"/>
      <c r="E67" s="477"/>
      <c r="F67" s="477"/>
      <c r="G67" s="491"/>
      <c r="H67" s="491"/>
    </row>
    <row r="68" spans="1:9" ht="15" thickBot="1">
      <c r="A68" s="478">
        <v>1</v>
      </c>
      <c r="B68" s="479" t="s">
        <v>1165</v>
      </c>
      <c r="C68" s="480" t="s">
        <v>1166</v>
      </c>
      <c r="D68" s="481" t="s">
        <v>1167</v>
      </c>
      <c r="E68" s="481">
        <v>7</v>
      </c>
      <c r="F68" s="481">
        <v>2</v>
      </c>
      <c r="G68" s="482" t="s">
        <v>1314</v>
      </c>
      <c r="H68" s="487">
        <v>317613.44</v>
      </c>
      <c r="I68" s="1" t="s">
        <v>680</v>
      </c>
    </row>
    <row r="69" spans="1:9" ht="15" thickBot="1">
      <c r="A69" s="483" t="s">
        <v>1168</v>
      </c>
      <c r="B69" s="480" t="s">
        <v>1169</v>
      </c>
      <c r="C69" s="480" t="s">
        <v>1170</v>
      </c>
      <c r="D69" s="481">
        <v>36</v>
      </c>
      <c r="E69" s="481" t="s">
        <v>1171</v>
      </c>
      <c r="F69" s="481">
        <v>2</v>
      </c>
      <c r="G69" s="482" t="s">
        <v>1315</v>
      </c>
      <c r="H69" s="487">
        <v>113360.37</v>
      </c>
    </row>
    <row r="70" spans="1:9" ht="15" thickBot="1">
      <c r="A70" s="483">
        <v>1.1000000000000001</v>
      </c>
      <c r="B70" s="480" t="s">
        <v>1172</v>
      </c>
      <c r="C70" s="480" t="s">
        <v>1173</v>
      </c>
      <c r="D70" s="481" t="s">
        <v>1167</v>
      </c>
      <c r="E70" s="481">
        <v>14</v>
      </c>
      <c r="F70" s="481">
        <v>2</v>
      </c>
      <c r="G70" s="482" t="s">
        <v>1174</v>
      </c>
      <c r="H70" s="487" t="s">
        <v>1175</v>
      </c>
    </row>
    <row r="71" spans="1:9" ht="15" thickBot="1">
      <c r="A71" s="483" t="s">
        <v>1176</v>
      </c>
      <c r="B71" s="480" t="s">
        <v>1177</v>
      </c>
      <c r="C71" s="480" t="s">
        <v>1178</v>
      </c>
      <c r="D71" s="481">
        <v>36</v>
      </c>
      <c r="E71" s="481" t="s">
        <v>1171</v>
      </c>
      <c r="F71" s="481">
        <v>2</v>
      </c>
      <c r="G71" s="482" t="s">
        <v>1316</v>
      </c>
      <c r="H71" s="487">
        <v>40751.99</v>
      </c>
    </row>
    <row r="72" spans="1:9" ht="15" thickBot="1">
      <c r="A72" s="483">
        <v>1.2</v>
      </c>
      <c r="B72" s="480" t="s">
        <v>1179</v>
      </c>
      <c r="C72" s="480" t="s">
        <v>1180</v>
      </c>
      <c r="D72" s="481" t="s">
        <v>1167</v>
      </c>
      <c r="E72" s="481">
        <v>14</v>
      </c>
      <c r="F72" s="481">
        <v>2</v>
      </c>
      <c r="G72" s="482" t="s">
        <v>1181</v>
      </c>
      <c r="H72" s="487" t="s">
        <v>1175</v>
      </c>
    </row>
    <row r="73" spans="1:9" ht="15" thickBot="1">
      <c r="A73" s="483">
        <v>1.3</v>
      </c>
      <c r="B73" s="480" t="s">
        <v>1182</v>
      </c>
      <c r="C73" s="480" t="s">
        <v>1183</v>
      </c>
      <c r="D73" s="481" t="s">
        <v>1167</v>
      </c>
      <c r="E73" s="481">
        <v>14</v>
      </c>
      <c r="F73" s="481">
        <v>2</v>
      </c>
      <c r="G73" s="482" t="s">
        <v>1174</v>
      </c>
      <c r="H73" s="487" t="s">
        <v>1175</v>
      </c>
    </row>
    <row r="74" spans="1:9" ht="15" thickBot="1">
      <c r="A74" s="483">
        <v>1.4</v>
      </c>
      <c r="B74" s="480" t="s">
        <v>1184</v>
      </c>
      <c r="C74" s="480" t="s">
        <v>1185</v>
      </c>
      <c r="D74" s="481" t="s">
        <v>1167</v>
      </c>
      <c r="E74" s="481">
        <v>14</v>
      </c>
      <c r="F74" s="481">
        <v>2</v>
      </c>
      <c r="G74" s="482" t="s">
        <v>1186</v>
      </c>
      <c r="H74" s="487" t="s">
        <v>1175</v>
      </c>
    </row>
    <row r="75" spans="1:9" ht="15" thickBot="1">
      <c r="A75" s="483">
        <v>1.5</v>
      </c>
      <c r="B75" s="480" t="s">
        <v>1187</v>
      </c>
      <c r="C75" s="480" t="s">
        <v>1188</v>
      </c>
      <c r="D75" s="481" t="s">
        <v>1167</v>
      </c>
      <c r="E75" s="481">
        <v>14</v>
      </c>
      <c r="F75" s="481">
        <v>2</v>
      </c>
      <c r="G75" s="482" t="s">
        <v>1317</v>
      </c>
      <c r="H75" s="487">
        <v>37417.14</v>
      </c>
    </row>
    <row r="76" spans="1:9" ht="15" thickBot="1">
      <c r="A76" s="483">
        <v>1.6</v>
      </c>
      <c r="B76" s="480" t="s">
        <v>1189</v>
      </c>
      <c r="C76" s="480" t="s">
        <v>1190</v>
      </c>
      <c r="D76" s="481" t="s">
        <v>1167</v>
      </c>
      <c r="E76" s="481">
        <v>14</v>
      </c>
      <c r="F76" s="481">
        <v>4</v>
      </c>
      <c r="G76" s="482" t="s">
        <v>1191</v>
      </c>
      <c r="H76" s="487" t="s">
        <v>1175</v>
      </c>
    </row>
    <row r="77" spans="1:9" ht="15" thickBot="1">
      <c r="A77" s="483">
        <v>1.7</v>
      </c>
      <c r="B77" s="480" t="s">
        <v>1192</v>
      </c>
      <c r="C77" s="480" t="s">
        <v>1193</v>
      </c>
      <c r="D77" s="481" t="s">
        <v>1167</v>
      </c>
      <c r="E77" s="481">
        <v>14</v>
      </c>
      <c r="F77" s="481">
        <v>2</v>
      </c>
      <c r="G77" s="482" t="s">
        <v>1174</v>
      </c>
      <c r="H77" s="487" t="s">
        <v>1175</v>
      </c>
    </row>
    <row r="78" spans="1:9" ht="15" thickBot="1">
      <c r="A78" s="483">
        <v>1.8</v>
      </c>
      <c r="B78" s="480" t="s">
        <v>1194</v>
      </c>
      <c r="C78" s="480" t="s">
        <v>1195</v>
      </c>
      <c r="D78" s="481" t="s">
        <v>1167</v>
      </c>
      <c r="E78" s="481">
        <v>14</v>
      </c>
      <c r="F78" s="481">
        <v>2</v>
      </c>
      <c r="G78" s="482" t="s">
        <v>1318</v>
      </c>
      <c r="H78" s="487">
        <v>5756.41</v>
      </c>
    </row>
    <row r="79" spans="1:9" ht="15" thickBot="1">
      <c r="A79" s="483">
        <v>1.9</v>
      </c>
      <c r="B79" s="480" t="s">
        <v>1196</v>
      </c>
      <c r="C79" s="480" t="s">
        <v>1197</v>
      </c>
      <c r="D79" s="481" t="s">
        <v>1167</v>
      </c>
      <c r="E79" s="481">
        <v>14</v>
      </c>
      <c r="F79" s="481">
        <v>2</v>
      </c>
      <c r="G79" s="482" t="s">
        <v>1319</v>
      </c>
      <c r="H79" s="487">
        <v>5468.83</v>
      </c>
    </row>
    <row r="80" spans="1:9" ht="15" thickBot="1">
      <c r="A80" s="483">
        <v>1.1000000000000001</v>
      </c>
      <c r="B80" s="480" t="s">
        <v>1198</v>
      </c>
      <c r="C80" s="480" t="s">
        <v>1199</v>
      </c>
      <c r="D80" s="481" t="s">
        <v>1167</v>
      </c>
      <c r="E80" s="481">
        <v>14</v>
      </c>
      <c r="F80" s="481">
        <v>2</v>
      </c>
      <c r="G80" s="482" t="s">
        <v>1174</v>
      </c>
      <c r="H80" s="487" t="s">
        <v>1175</v>
      </c>
    </row>
    <row r="81" spans="1:9" ht="15" thickBot="1">
      <c r="A81" s="483">
        <v>1.1100000000000001</v>
      </c>
      <c r="B81" s="480" t="s">
        <v>1200</v>
      </c>
      <c r="C81" s="480" t="s">
        <v>1201</v>
      </c>
      <c r="D81" s="481" t="s">
        <v>1167</v>
      </c>
      <c r="E81" s="481">
        <v>14</v>
      </c>
      <c r="F81" s="481">
        <v>2</v>
      </c>
      <c r="G81" s="482" t="s">
        <v>1174</v>
      </c>
      <c r="H81" s="487" t="s">
        <v>1175</v>
      </c>
    </row>
    <row r="82" spans="1:9" ht="15" thickBot="1">
      <c r="A82" s="483">
        <v>1.1200000000000001</v>
      </c>
      <c r="B82" s="480" t="s">
        <v>1202</v>
      </c>
      <c r="C82" s="480" t="s">
        <v>1203</v>
      </c>
      <c r="D82" s="481" t="s">
        <v>1167</v>
      </c>
      <c r="E82" s="481">
        <v>14</v>
      </c>
      <c r="F82" s="481">
        <v>2</v>
      </c>
      <c r="G82" s="482" t="s">
        <v>1181</v>
      </c>
      <c r="H82" s="487" t="s">
        <v>1175</v>
      </c>
    </row>
    <row r="83" spans="1:9" ht="15" thickBot="1">
      <c r="A83" s="483">
        <v>1.1299999999999999</v>
      </c>
      <c r="B83" s="480" t="s">
        <v>1204</v>
      </c>
      <c r="C83" s="480" t="s">
        <v>1205</v>
      </c>
      <c r="D83" s="481" t="s">
        <v>1167</v>
      </c>
      <c r="E83" s="481">
        <v>14</v>
      </c>
      <c r="F83" s="481">
        <v>2</v>
      </c>
      <c r="G83" s="482" t="s">
        <v>1320</v>
      </c>
      <c r="H83" s="487">
        <v>146790.82</v>
      </c>
      <c r="I83" s="1" t="s">
        <v>866</v>
      </c>
    </row>
    <row r="84" spans="1:9" ht="15" thickBot="1">
      <c r="A84" s="483">
        <v>1.1399999999999999</v>
      </c>
      <c r="B84" s="480" t="s">
        <v>1206</v>
      </c>
      <c r="C84" s="480" t="s">
        <v>1207</v>
      </c>
      <c r="D84" s="481" t="s">
        <v>1167</v>
      </c>
      <c r="E84" s="481">
        <v>3</v>
      </c>
      <c r="F84" s="481">
        <v>2</v>
      </c>
      <c r="G84" s="482" t="s">
        <v>1191</v>
      </c>
      <c r="H84" s="492">
        <f>SUM(H68:H83)</f>
        <v>667159</v>
      </c>
      <c r="I84" s="489">
        <f>H84/2</f>
        <v>333579.5</v>
      </c>
    </row>
    <row r="85" spans="1:9" ht="15" thickBot="1">
      <c r="A85" s="478">
        <v>2</v>
      </c>
      <c r="B85" s="479" t="s">
        <v>1208</v>
      </c>
      <c r="C85" s="480" t="s">
        <v>1209</v>
      </c>
      <c r="D85" s="481" t="s">
        <v>1167</v>
      </c>
      <c r="E85" s="481">
        <v>7</v>
      </c>
      <c r="F85" s="481">
        <v>1</v>
      </c>
      <c r="G85" s="482" t="s">
        <v>1321</v>
      </c>
      <c r="H85" s="487">
        <v>932634.36</v>
      </c>
      <c r="I85" s="1" t="s">
        <v>1333</v>
      </c>
    </row>
    <row r="86" spans="1:9" ht="15" thickBot="1">
      <c r="A86" s="483" t="s">
        <v>1210</v>
      </c>
      <c r="B86" s="480" t="s">
        <v>1211</v>
      </c>
      <c r="C86" s="480" t="s">
        <v>1212</v>
      </c>
      <c r="D86" s="481">
        <v>36</v>
      </c>
      <c r="E86" s="481" t="s">
        <v>1171</v>
      </c>
      <c r="F86" s="481">
        <v>1</v>
      </c>
      <c r="G86" s="482" t="s">
        <v>1322</v>
      </c>
      <c r="H86" s="487">
        <v>299244.03999999998</v>
      </c>
    </row>
    <row r="87" spans="1:9" ht="15" thickBot="1">
      <c r="A87" s="483">
        <v>2.1</v>
      </c>
      <c r="B87" s="480" t="s">
        <v>1213</v>
      </c>
      <c r="C87" s="480" t="s">
        <v>1214</v>
      </c>
      <c r="D87" s="481" t="s">
        <v>1167</v>
      </c>
      <c r="E87" s="481">
        <v>14</v>
      </c>
      <c r="F87" s="481">
        <v>1</v>
      </c>
      <c r="G87" s="482" t="s">
        <v>1174</v>
      </c>
      <c r="H87" s="487" t="s">
        <v>1175</v>
      </c>
    </row>
    <row r="88" spans="1:9" ht="15" thickBot="1">
      <c r="A88" s="483" t="s">
        <v>1215</v>
      </c>
      <c r="B88" s="480" t="s">
        <v>1216</v>
      </c>
      <c r="C88" s="480" t="s">
        <v>1217</v>
      </c>
      <c r="D88" s="481">
        <v>36</v>
      </c>
      <c r="E88" s="481" t="s">
        <v>1171</v>
      </c>
      <c r="F88" s="481">
        <v>1</v>
      </c>
      <c r="G88" s="482" t="s">
        <v>1323</v>
      </c>
      <c r="H88" s="487">
        <v>39393.57</v>
      </c>
    </row>
    <row r="89" spans="1:9" ht="15" thickBot="1">
      <c r="A89" s="483">
        <v>2.2000000000000002</v>
      </c>
      <c r="B89" s="480" t="s">
        <v>1218</v>
      </c>
      <c r="C89" s="480" t="s">
        <v>1219</v>
      </c>
      <c r="D89" s="481" t="s">
        <v>1167</v>
      </c>
      <c r="E89" s="481">
        <v>14</v>
      </c>
      <c r="F89" s="481">
        <v>1</v>
      </c>
      <c r="G89" s="482" t="s">
        <v>1174</v>
      </c>
      <c r="H89" s="487" t="s">
        <v>1175</v>
      </c>
    </row>
    <row r="90" spans="1:9" ht="15" thickBot="1">
      <c r="A90" s="483" t="s">
        <v>1220</v>
      </c>
      <c r="B90" s="480" t="s">
        <v>1221</v>
      </c>
      <c r="C90" s="480" t="s">
        <v>1222</v>
      </c>
      <c r="D90" s="481">
        <v>36</v>
      </c>
      <c r="E90" s="481" t="s">
        <v>1171</v>
      </c>
      <c r="F90" s="481">
        <v>1</v>
      </c>
      <c r="G90" s="482" t="s">
        <v>1174</v>
      </c>
      <c r="H90" s="487" t="s">
        <v>1175</v>
      </c>
    </row>
    <row r="91" spans="1:9" ht="15" thickBot="1">
      <c r="A91" s="483">
        <v>2.2999999999999998</v>
      </c>
      <c r="B91" s="480" t="s">
        <v>1223</v>
      </c>
      <c r="C91" s="480" t="s">
        <v>1224</v>
      </c>
      <c r="D91" s="481" t="s">
        <v>1167</v>
      </c>
      <c r="E91" s="481">
        <v>14</v>
      </c>
      <c r="F91" s="481">
        <v>1</v>
      </c>
      <c r="G91" s="482" t="s">
        <v>1174</v>
      </c>
      <c r="H91" s="487" t="s">
        <v>1175</v>
      </c>
    </row>
    <row r="92" spans="1:9" ht="15" thickBot="1">
      <c r="A92" s="483">
        <v>2.4</v>
      </c>
      <c r="B92" s="480" t="s">
        <v>1225</v>
      </c>
      <c r="C92" s="480" t="s">
        <v>1226</v>
      </c>
      <c r="D92" s="481" t="s">
        <v>1167</v>
      </c>
      <c r="E92" s="481">
        <v>14</v>
      </c>
      <c r="F92" s="481">
        <v>1</v>
      </c>
      <c r="G92" s="482" t="s">
        <v>1174</v>
      </c>
      <c r="H92" s="487" t="s">
        <v>1175</v>
      </c>
    </row>
    <row r="93" spans="1:9" ht="15" thickBot="1">
      <c r="A93" s="483">
        <v>2.5</v>
      </c>
      <c r="B93" s="480" t="s">
        <v>1227</v>
      </c>
      <c r="C93" s="480" t="s">
        <v>1228</v>
      </c>
      <c r="D93" s="481" t="s">
        <v>1167</v>
      </c>
      <c r="E93" s="481">
        <v>14</v>
      </c>
      <c r="F93" s="481">
        <v>1</v>
      </c>
      <c r="G93" s="482" t="s">
        <v>1174</v>
      </c>
      <c r="H93" s="487" t="s">
        <v>1175</v>
      </c>
    </row>
    <row r="94" spans="1:9" ht="15" thickBot="1">
      <c r="A94" s="483">
        <v>2.6</v>
      </c>
      <c r="B94" s="480" t="s">
        <v>1189</v>
      </c>
      <c r="C94" s="480" t="s">
        <v>1190</v>
      </c>
      <c r="D94" s="481" t="s">
        <v>1167</v>
      </c>
      <c r="E94" s="481">
        <v>14</v>
      </c>
      <c r="F94" s="481">
        <v>1</v>
      </c>
      <c r="G94" s="482" t="s">
        <v>1174</v>
      </c>
      <c r="H94" s="487" t="s">
        <v>1175</v>
      </c>
    </row>
    <row r="95" spans="1:9" ht="15" thickBot="1">
      <c r="A95" s="483">
        <v>2.7</v>
      </c>
      <c r="B95" s="480" t="s">
        <v>1229</v>
      </c>
      <c r="C95" s="480" t="s">
        <v>1180</v>
      </c>
      <c r="D95" s="481" t="s">
        <v>1167</v>
      </c>
      <c r="E95" s="481">
        <v>14</v>
      </c>
      <c r="F95" s="481">
        <v>1</v>
      </c>
      <c r="G95" s="482" t="s">
        <v>1174</v>
      </c>
      <c r="H95" s="487" t="s">
        <v>1175</v>
      </c>
    </row>
    <row r="96" spans="1:9" ht="15" thickBot="1">
      <c r="A96" s="483">
        <v>2.8</v>
      </c>
      <c r="B96" s="480" t="s">
        <v>1194</v>
      </c>
      <c r="C96" s="480" t="s">
        <v>1195</v>
      </c>
      <c r="D96" s="481" t="s">
        <v>1167</v>
      </c>
      <c r="E96" s="481">
        <v>14</v>
      </c>
      <c r="F96" s="481">
        <v>1</v>
      </c>
      <c r="G96" s="482" t="s">
        <v>1318</v>
      </c>
      <c r="H96" s="487">
        <v>2878.21</v>
      </c>
    </row>
    <row r="97" spans="1:9" ht="15" thickBot="1">
      <c r="A97" s="483">
        <v>2.9</v>
      </c>
      <c r="B97" s="480" t="s">
        <v>1230</v>
      </c>
      <c r="C97" s="480" t="s">
        <v>1231</v>
      </c>
      <c r="D97" s="481" t="s">
        <v>1167</v>
      </c>
      <c r="E97" s="481">
        <v>14</v>
      </c>
      <c r="F97" s="481">
        <v>1</v>
      </c>
      <c r="G97" s="482" t="s">
        <v>1174</v>
      </c>
      <c r="H97" s="487" t="s">
        <v>1175</v>
      </c>
    </row>
    <row r="98" spans="1:9" ht="15" thickBot="1">
      <c r="A98" s="483">
        <v>2.1</v>
      </c>
      <c r="B98" s="480" t="s">
        <v>1192</v>
      </c>
      <c r="C98" s="480" t="s">
        <v>1193</v>
      </c>
      <c r="D98" s="481" t="s">
        <v>1167</v>
      </c>
      <c r="E98" s="481">
        <v>14</v>
      </c>
      <c r="F98" s="481">
        <v>1</v>
      </c>
      <c r="G98" s="482" t="s">
        <v>1174</v>
      </c>
      <c r="H98" s="487" t="s">
        <v>1175</v>
      </c>
    </row>
    <row r="99" spans="1:9" ht="15" thickBot="1">
      <c r="A99" s="483">
        <v>2.11</v>
      </c>
      <c r="B99" s="480" t="s">
        <v>1198</v>
      </c>
      <c r="C99" s="480" t="s">
        <v>1199</v>
      </c>
      <c r="D99" s="481" t="s">
        <v>1167</v>
      </c>
      <c r="E99" s="481">
        <v>14</v>
      </c>
      <c r="F99" s="481">
        <v>1</v>
      </c>
      <c r="G99" s="482" t="s">
        <v>1174</v>
      </c>
      <c r="H99" s="487" t="s">
        <v>1175</v>
      </c>
    </row>
    <row r="100" spans="1:9" ht="15" thickBot="1">
      <c r="A100" s="483">
        <v>2.12</v>
      </c>
      <c r="B100" s="480" t="s">
        <v>1200</v>
      </c>
      <c r="C100" s="480" t="s">
        <v>1201</v>
      </c>
      <c r="D100" s="481" t="s">
        <v>1167</v>
      </c>
      <c r="E100" s="481">
        <v>14</v>
      </c>
      <c r="F100" s="481">
        <v>1</v>
      </c>
      <c r="G100" s="482" t="s">
        <v>1174</v>
      </c>
      <c r="H100" s="487" t="s">
        <v>1175</v>
      </c>
    </row>
    <row r="101" spans="1:9" ht="15" thickBot="1">
      <c r="A101" s="483">
        <v>2.13</v>
      </c>
      <c r="B101" s="480" t="s">
        <v>1202</v>
      </c>
      <c r="C101" s="480" t="s">
        <v>1203</v>
      </c>
      <c r="D101" s="481" t="s">
        <v>1167</v>
      </c>
      <c r="E101" s="481">
        <v>14</v>
      </c>
      <c r="F101" s="481">
        <v>1</v>
      </c>
      <c r="G101" s="482" t="s">
        <v>1174</v>
      </c>
      <c r="H101" s="487" t="s">
        <v>1175</v>
      </c>
    </row>
    <row r="102" spans="1:9" ht="15" thickBot="1">
      <c r="A102" s="483">
        <v>2.14</v>
      </c>
      <c r="B102" s="480" t="s">
        <v>1232</v>
      </c>
      <c r="C102" s="480" t="s">
        <v>1233</v>
      </c>
      <c r="D102" s="481" t="s">
        <v>1167</v>
      </c>
      <c r="E102" s="481">
        <v>14</v>
      </c>
      <c r="F102" s="481">
        <v>1</v>
      </c>
      <c r="G102" s="482" t="s">
        <v>1324</v>
      </c>
      <c r="H102" s="487">
        <v>67523.78</v>
      </c>
    </row>
    <row r="103" spans="1:9" ht="15" thickBot="1">
      <c r="A103" s="483">
        <v>2.15</v>
      </c>
      <c r="B103" s="480" t="s">
        <v>1206</v>
      </c>
      <c r="C103" s="480" t="s">
        <v>1207</v>
      </c>
      <c r="D103" s="481" t="s">
        <v>1167</v>
      </c>
      <c r="E103" s="481">
        <v>3</v>
      </c>
      <c r="F103" s="481">
        <v>1</v>
      </c>
      <c r="G103" s="482" t="s">
        <v>1174</v>
      </c>
      <c r="H103" s="487" t="s">
        <v>1175</v>
      </c>
    </row>
    <row r="104" spans="1:9" ht="15" thickBot="1">
      <c r="A104" s="483"/>
      <c r="B104" s="480"/>
      <c r="C104" s="480"/>
      <c r="D104" s="481"/>
      <c r="E104" s="481"/>
      <c r="F104" s="481"/>
      <c r="G104" s="482"/>
      <c r="H104" s="487">
        <f>SUM(H85:H102)</f>
        <v>1341673.96</v>
      </c>
      <c r="I104" s="489">
        <f>H104/2</f>
        <v>670836.98</v>
      </c>
    </row>
    <row r="105" spans="1:9" ht="15" thickBot="1">
      <c r="A105" s="478">
        <v>3</v>
      </c>
      <c r="B105" s="479" t="s">
        <v>1234</v>
      </c>
      <c r="C105" s="480" t="s">
        <v>1235</v>
      </c>
      <c r="D105" s="481" t="s">
        <v>1167</v>
      </c>
      <c r="E105" s="481">
        <v>7</v>
      </c>
      <c r="F105" s="481">
        <v>2</v>
      </c>
      <c r="G105" s="482" t="s">
        <v>1325</v>
      </c>
      <c r="H105" s="487">
        <v>67808.11</v>
      </c>
      <c r="I105" s="1" t="s">
        <v>497</v>
      </c>
    </row>
    <row r="106" spans="1:9" ht="15" thickBot="1">
      <c r="A106" s="483" t="s">
        <v>1236</v>
      </c>
      <c r="B106" s="480" t="s">
        <v>1237</v>
      </c>
      <c r="C106" s="480" t="s">
        <v>1238</v>
      </c>
      <c r="D106" s="481">
        <v>36</v>
      </c>
      <c r="E106" s="481" t="s">
        <v>1171</v>
      </c>
      <c r="F106" s="481">
        <v>2</v>
      </c>
      <c r="G106" s="482" t="s">
        <v>1326</v>
      </c>
      <c r="H106" s="487">
        <v>24720.75</v>
      </c>
    </row>
    <row r="107" spans="1:9" ht="15" thickBot="1">
      <c r="A107" s="483">
        <v>3.1</v>
      </c>
      <c r="B107" s="480" t="s">
        <v>1239</v>
      </c>
      <c r="C107" s="480" t="s">
        <v>1240</v>
      </c>
      <c r="D107" s="481" t="s">
        <v>1167</v>
      </c>
      <c r="E107" s="481">
        <v>14</v>
      </c>
      <c r="F107" s="481">
        <v>2</v>
      </c>
      <c r="G107" s="482" t="s">
        <v>1174</v>
      </c>
      <c r="H107" s="487" t="s">
        <v>1175</v>
      </c>
    </row>
    <row r="108" spans="1:9" ht="15" thickBot="1">
      <c r="A108" s="483" t="s">
        <v>1241</v>
      </c>
      <c r="B108" s="480" t="s">
        <v>1242</v>
      </c>
      <c r="C108" s="480" t="s">
        <v>1243</v>
      </c>
      <c r="D108" s="481">
        <v>36</v>
      </c>
      <c r="E108" s="481" t="s">
        <v>1171</v>
      </c>
      <c r="F108" s="481">
        <v>2</v>
      </c>
      <c r="G108" s="482" t="s">
        <v>1327</v>
      </c>
      <c r="H108" s="487">
        <v>20376.84</v>
      </c>
    </row>
    <row r="109" spans="1:9" ht="15" thickBot="1">
      <c r="A109" s="483">
        <v>3.2</v>
      </c>
      <c r="B109" s="480" t="s">
        <v>1244</v>
      </c>
      <c r="C109" s="480" t="s">
        <v>1245</v>
      </c>
      <c r="D109" s="481" t="s">
        <v>1167</v>
      </c>
      <c r="E109" s="481">
        <v>14</v>
      </c>
      <c r="F109" s="481">
        <v>2</v>
      </c>
      <c r="G109" s="482" t="s">
        <v>1174</v>
      </c>
      <c r="H109" s="487" t="s">
        <v>1175</v>
      </c>
    </row>
    <row r="110" spans="1:9" ht="15" thickBot="1">
      <c r="A110" s="483">
        <v>3.3</v>
      </c>
      <c r="B110" s="480" t="s">
        <v>1189</v>
      </c>
      <c r="C110" s="480" t="s">
        <v>1190</v>
      </c>
      <c r="D110" s="481" t="s">
        <v>1167</v>
      </c>
      <c r="E110" s="481">
        <v>14</v>
      </c>
      <c r="F110" s="481">
        <v>2</v>
      </c>
      <c r="G110" s="482" t="s">
        <v>1174</v>
      </c>
      <c r="H110" s="487" t="s">
        <v>1175</v>
      </c>
    </row>
    <row r="111" spans="1:9" ht="15" thickBot="1">
      <c r="A111" s="483">
        <v>3.4</v>
      </c>
      <c r="B111" s="480" t="s">
        <v>1246</v>
      </c>
      <c r="C111" s="480" t="s">
        <v>1247</v>
      </c>
      <c r="D111" s="481" t="s">
        <v>1167</v>
      </c>
      <c r="E111" s="481">
        <v>14</v>
      </c>
      <c r="F111" s="481">
        <v>2</v>
      </c>
      <c r="G111" s="482" t="s">
        <v>1174</v>
      </c>
      <c r="H111" s="487" t="s">
        <v>1175</v>
      </c>
    </row>
    <row r="112" spans="1:9" ht="15" thickBot="1">
      <c r="A112" s="483">
        <v>3.5</v>
      </c>
      <c r="B112" s="480" t="s">
        <v>1198</v>
      </c>
      <c r="C112" s="480" t="s">
        <v>1199</v>
      </c>
      <c r="D112" s="481" t="s">
        <v>1167</v>
      </c>
      <c r="E112" s="481">
        <v>14</v>
      </c>
      <c r="F112" s="481">
        <v>2</v>
      </c>
      <c r="G112" s="482" t="s">
        <v>1174</v>
      </c>
      <c r="H112" s="487" t="s">
        <v>1175</v>
      </c>
    </row>
    <row r="113" spans="1:10" ht="15" thickBot="1">
      <c r="A113" s="483">
        <v>3.6</v>
      </c>
      <c r="B113" s="480" t="s">
        <v>1200</v>
      </c>
      <c r="C113" s="480" t="s">
        <v>1201</v>
      </c>
      <c r="D113" s="481" t="s">
        <v>1167</v>
      </c>
      <c r="E113" s="481">
        <v>14</v>
      </c>
      <c r="F113" s="481">
        <v>2</v>
      </c>
      <c r="G113" s="482" t="s">
        <v>1174</v>
      </c>
      <c r="H113" s="487" t="s">
        <v>1175</v>
      </c>
    </row>
    <row r="114" spans="1:10" ht="15" thickBot="1">
      <c r="A114" s="483">
        <v>3.7</v>
      </c>
      <c r="B114" s="480" t="s">
        <v>1202</v>
      </c>
      <c r="C114" s="480" t="s">
        <v>1203</v>
      </c>
      <c r="D114" s="481" t="s">
        <v>1167</v>
      </c>
      <c r="E114" s="481">
        <v>14</v>
      </c>
      <c r="F114" s="481">
        <v>2</v>
      </c>
      <c r="G114" s="482" t="s">
        <v>1174</v>
      </c>
      <c r="H114" s="487" t="s">
        <v>1175</v>
      </c>
    </row>
    <row r="115" spans="1:10" ht="15" thickBot="1">
      <c r="A115" s="483">
        <v>3.8</v>
      </c>
      <c r="B115" s="480" t="s">
        <v>1248</v>
      </c>
      <c r="C115" s="480" t="s">
        <v>1249</v>
      </c>
      <c r="D115" s="481" t="s">
        <v>1167</v>
      </c>
      <c r="E115" s="481">
        <v>14</v>
      </c>
      <c r="F115" s="481">
        <v>2</v>
      </c>
      <c r="G115" s="482" t="s">
        <v>1328</v>
      </c>
      <c r="H115" s="487">
        <v>41657.949999999997</v>
      </c>
    </row>
    <row r="116" spans="1:10" ht="15" thickBot="1">
      <c r="A116" s="483">
        <v>3.9</v>
      </c>
      <c r="B116" s="480" t="s">
        <v>1250</v>
      </c>
      <c r="C116" s="480" t="s">
        <v>1251</v>
      </c>
      <c r="D116" s="481" t="s">
        <v>1167</v>
      </c>
      <c r="E116" s="481">
        <v>14</v>
      </c>
      <c r="F116" s="481">
        <v>4</v>
      </c>
      <c r="G116" s="482" t="s">
        <v>1174</v>
      </c>
      <c r="H116" s="487" t="s">
        <v>1175</v>
      </c>
    </row>
    <row r="117" spans="1:10" ht="15" thickBot="1">
      <c r="A117" s="483">
        <v>3.1</v>
      </c>
      <c r="B117" s="480" t="s">
        <v>1252</v>
      </c>
      <c r="C117" s="480" t="s">
        <v>1253</v>
      </c>
      <c r="D117" s="481" t="s">
        <v>1167</v>
      </c>
      <c r="E117" s="481">
        <v>14</v>
      </c>
      <c r="F117" s="481">
        <v>2</v>
      </c>
      <c r="G117" s="482" t="s">
        <v>1174</v>
      </c>
      <c r="H117" s="487" t="s">
        <v>1175</v>
      </c>
    </row>
    <row r="118" spans="1:10" ht="15" thickBot="1">
      <c r="A118" s="483">
        <v>3.11</v>
      </c>
      <c r="B118" s="480" t="s">
        <v>1206</v>
      </c>
      <c r="C118" s="480" t="s">
        <v>1207</v>
      </c>
      <c r="D118" s="481" t="s">
        <v>1167</v>
      </c>
      <c r="E118" s="481">
        <v>3</v>
      </c>
      <c r="F118" s="481">
        <v>2</v>
      </c>
      <c r="G118" s="482" t="s">
        <v>1174</v>
      </c>
      <c r="H118" s="487" t="s">
        <v>1175</v>
      </c>
    </row>
    <row r="119" spans="1:10" ht="15" thickBot="1">
      <c r="A119" s="483"/>
      <c r="B119" s="480"/>
      <c r="C119" s="480"/>
      <c r="D119" s="481"/>
      <c r="E119" s="481"/>
      <c r="F119" s="481"/>
      <c r="G119" s="482"/>
      <c r="H119" s="487">
        <f>SUM(H105:H115)</f>
        <v>154563.65</v>
      </c>
    </row>
    <row r="120" spans="1:10" ht="15" thickBot="1">
      <c r="A120" s="478">
        <v>4</v>
      </c>
      <c r="B120" s="479" t="s">
        <v>1254</v>
      </c>
      <c r="C120" s="480" t="s">
        <v>1255</v>
      </c>
      <c r="D120" s="481" t="s">
        <v>1167</v>
      </c>
      <c r="E120" s="481">
        <v>8</v>
      </c>
      <c r="F120" s="481">
        <v>2</v>
      </c>
      <c r="G120" s="482" t="s">
        <v>1329</v>
      </c>
      <c r="H120" s="487">
        <v>145282.06</v>
      </c>
      <c r="I120" s="1" t="s">
        <v>468</v>
      </c>
      <c r="J120" s="489">
        <f>F120*H120</f>
        <v>290564.12</v>
      </c>
    </row>
    <row r="121" spans="1:10" ht="15" thickBot="1">
      <c r="A121" s="483" t="s">
        <v>1256</v>
      </c>
      <c r="B121" s="480" t="s">
        <v>1257</v>
      </c>
      <c r="C121" s="480" t="s">
        <v>1258</v>
      </c>
      <c r="D121" s="481">
        <v>36</v>
      </c>
      <c r="E121" s="481" t="s">
        <v>1171</v>
      </c>
      <c r="F121" s="481">
        <v>2</v>
      </c>
      <c r="G121" s="482" t="s">
        <v>1330</v>
      </c>
      <c r="H121" s="487">
        <v>63235.96</v>
      </c>
    </row>
    <row r="122" spans="1:10" ht="15" thickBot="1">
      <c r="A122" s="483">
        <v>4.0999999999999996</v>
      </c>
      <c r="B122" s="480" t="s">
        <v>1259</v>
      </c>
      <c r="C122" s="480" t="s">
        <v>1260</v>
      </c>
      <c r="D122" s="481" t="s">
        <v>1167</v>
      </c>
      <c r="E122" s="481">
        <v>42</v>
      </c>
      <c r="F122" s="481">
        <v>2</v>
      </c>
      <c r="G122" s="482" t="s">
        <v>1174</v>
      </c>
      <c r="H122" s="487" t="s">
        <v>1175</v>
      </c>
    </row>
    <row r="123" spans="1:10" ht="15" thickBot="1">
      <c r="A123" s="483">
        <v>4.2</v>
      </c>
      <c r="B123" s="480" t="s">
        <v>1261</v>
      </c>
      <c r="C123" s="480" t="s">
        <v>1262</v>
      </c>
      <c r="D123" s="481" t="s">
        <v>1167</v>
      </c>
      <c r="E123" s="481">
        <v>28</v>
      </c>
      <c r="F123" s="481">
        <v>2</v>
      </c>
      <c r="G123" s="482" t="s">
        <v>1174</v>
      </c>
      <c r="H123" s="487" t="s">
        <v>1175</v>
      </c>
    </row>
    <row r="124" spans="1:10" ht="15" thickBot="1">
      <c r="A124" s="483">
        <v>4.3</v>
      </c>
      <c r="B124" s="480" t="s">
        <v>1263</v>
      </c>
      <c r="C124" s="480" t="s">
        <v>1264</v>
      </c>
      <c r="D124" s="481" t="s">
        <v>1167</v>
      </c>
      <c r="E124" s="481">
        <v>28</v>
      </c>
      <c r="F124" s="481">
        <v>2</v>
      </c>
      <c r="G124" s="482" t="s">
        <v>1174</v>
      </c>
      <c r="H124" s="487" t="s">
        <v>1175</v>
      </c>
    </row>
    <row r="125" spans="1:10" ht="15" thickBot="1">
      <c r="A125" s="483">
        <v>4.4000000000000004</v>
      </c>
      <c r="B125" s="480" t="s">
        <v>1265</v>
      </c>
      <c r="C125" s="480" t="s">
        <v>1266</v>
      </c>
      <c r="D125" s="481" t="s">
        <v>1167</v>
      </c>
      <c r="E125" s="481">
        <v>28</v>
      </c>
      <c r="F125" s="481">
        <v>2</v>
      </c>
      <c r="G125" s="482" t="s">
        <v>1174</v>
      </c>
      <c r="H125" s="487" t="s">
        <v>1175</v>
      </c>
    </row>
    <row r="126" spans="1:10" ht="15" thickBot="1">
      <c r="A126" s="483">
        <v>4.5</v>
      </c>
      <c r="B126" s="480" t="s">
        <v>1206</v>
      </c>
      <c r="C126" s="480" t="s">
        <v>1207</v>
      </c>
      <c r="D126" s="481" t="s">
        <v>1167</v>
      </c>
      <c r="E126" s="481">
        <v>3</v>
      </c>
      <c r="F126" s="481">
        <v>2</v>
      </c>
      <c r="G126" s="482" t="s">
        <v>1267</v>
      </c>
      <c r="H126" s="487" t="s">
        <v>1175</v>
      </c>
    </row>
    <row r="127" spans="1:10" ht="15" thickBot="1">
      <c r="A127" s="483">
        <v>4.5999999999999996</v>
      </c>
      <c r="B127" s="480" t="s">
        <v>1268</v>
      </c>
      <c r="C127" s="480" t="s">
        <v>1269</v>
      </c>
      <c r="D127" s="481" t="s">
        <v>1167</v>
      </c>
      <c r="E127" s="481">
        <v>28</v>
      </c>
      <c r="F127" s="481">
        <v>2</v>
      </c>
      <c r="G127" s="482" t="s">
        <v>1174</v>
      </c>
      <c r="H127" s="487" t="s">
        <v>1175</v>
      </c>
    </row>
    <row r="128" spans="1:10" ht="15" thickBot="1">
      <c r="A128" s="483">
        <v>4.7</v>
      </c>
      <c r="B128" s="480" t="s">
        <v>1270</v>
      </c>
      <c r="C128" s="480" t="s">
        <v>1271</v>
      </c>
      <c r="D128" s="481" t="s">
        <v>1167</v>
      </c>
      <c r="E128" s="481">
        <v>28</v>
      </c>
      <c r="F128" s="481">
        <v>2</v>
      </c>
      <c r="G128" s="482" t="s">
        <v>1174</v>
      </c>
      <c r="H128" s="487" t="s">
        <v>1175</v>
      </c>
    </row>
    <row r="129" spans="1:8" ht="15" thickBot="1">
      <c r="A129" s="483">
        <v>4.8</v>
      </c>
      <c r="B129" s="480" t="s">
        <v>1272</v>
      </c>
      <c r="C129" s="480" t="s">
        <v>1273</v>
      </c>
      <c r="D129" s="481" t="s">
        <v>1167</v>
      </c>
      <c r="E129" s="481">
        <v>28</v>
      </c>
      <c r="F129" s="481">
        <v>2</v>
      </c>
      <c r="G129" s="482" t="s">
        <v>1174</v>
      </c>
      <c r="H129" s="487" t="s">
        <v>1175</v>
      </c>
    </row>
    <row r="130" spans="1:8" ht="15" thickBot="1">
      <c r="A130" s="483">
        <v>4.9000000000000004</v>
      </c>
      <c r="B130" s="480" t="s">
        <v>1274</v>
      </c>
      <c r="C130" s="480" t="s">
        <v>1275</v>
      </c>
      <c r="D130" s="481" t="s">
        <v>1167</v>
      </c>
      <c r="E130" s="481">
        <v>3</v>
      </c>
      <c r="F130" s="481">
        <v>2</v>
      </c>
      <c r="G130" s="482" t="s">
        <v>1276</v>
      </c>
      <c r="H130" s="487" t="s">
        <v>1175</v>
      </c>
    </row>
    <row r="131" spans="1:8" ht="15" thickBot="1">
      <c r="A131" s="483" t="s">
        <v>1277</v>
      </c>
      <c r="B131" s="480" t="s">
        <v>1278</v>
      </c>
      <c r="C131" s="480" t="s">
        <v>1279</v>
      </c>
      <c r="D131" s="481" t="s">
        <v>1167</v>
      </c>
      <c r="E131" s="481" t="s">
        <v>1171</v>
      </c>
      <c r="F131" s="481">
        <v>2</v>
      </c>
      <c r="G131" s="482" t="s">
        <v>1331</v>
      </c>
      <c r="H131" s="487">
        <v>38313</v>
      </c>
    </row>
    <row r="132" spans="1:8" ht="15" thickBot="1">
      <c r="A132" s="484"/>
      <c r="B132" s="583" t="s">
        <v>1280</v>
      </c>
      <c r="C132" s="584"/>
      <c r="D132" s="584"/>
      <c r="E132" s="584"/>
      <c r="F132" s="585"/>
      <c r="G132" s="482" t="s">
        <v>1175</v>
      </c>
      <c r="H132" s="487" t="s">
        <v>1175</v>
      </c>
    </row>
    <row r="133" spans="1:8" ht="15" thickBot="1">
      <c r="A133" s="483" t="s">
        <v>1281</v>
      </c>
      <c r="B133" s="480" t="s">
        <v>1282</v>
      </c>
      <c r="C133" s="480" t="s">
        <v>1283</v>
      </c>
      <c r="D133" s="481" t="s">
        <v>1167</v>
      </c>
      <c r="E133" s="481">
        <v>3</v>
      </c>
      <c r="F133" s="481">
        <v>2</v>
      </c>
      <c r="G133" s="482" t="s">
        <v>1174</v>
      </c>
      <c r="H133" s="487" t="s">
        <v>1175</v>
      </c>
    </row>
    <row r="134" spans="1:8" ht="15" thickBot="1">
      <c r="A134" s="484"/>
      <c r="B134" s="583" t="s">
        <v>1280</v>
      </c>
      <c r="C134" s="584"/>
      <c r="D134" s="584"/>
      <c r="E134" s="584"/>
      <c r="F134" s="585"/>
      <c r="G134" s="482" t="s">
        <v>1175</v>
      </c>
      <c r="H134" s="487" t="s">
        <v>1175</v>
      </c>
    </row>
    <row r="135" spans="1:8" ht="15" thickBot="1">
      <c r="A135" s="483" t="s">
        <v>1284</v>
      </c>
      <c r="B135" s="480" t="s">
        <v>1285</v>
      </c>
      <c r="C135" s="480" t="s">
        <v>1286</v>
      </c>
      <c r="D135" s="481" t="s">
        <v>1167</v>
      </c>
      <c r="E135" s="481">
        <v>3</v>
      </c>
      <c r="F135" s="481">
        <v>2</v>
      </c>
      <c r="G135" s="482" t="s">
        <v>1191</v>
      </c>
      <c r="H135" s="487" t="s">
        <v>1175</v>
      </c>
    </row>
    <row r="136" spans="1:8" ht="15" thickBot="1">
      <c r="A136" s="484"/>
      <c r="B136" s="583" t="s">
        <v>1280</v>
      </c>
      <c r="C136" s="584"/>
      <c r="D136" s="584"/>
      <c r="E136" s="584"/>
      <c r="F136" s="585"/>
      <c r="G136" s="482" t="s">
        <v>1175</v>
      </c>
      <c r="H136" s="487" t="s">
        <v>1175</v>
      </c>
    </row>
    <row r="137" spans="1:8" ht="15" thickBot="1">
      <c r="A137" s="483" t="s">
        <v>1287</v>
      </c>
      <c r="B137" s="480" t="s">
        <v>1288</v>
      </c>
      <c r="C137" s="480" t="s">
        <v>1289</v>
      </c>
      <c r="D137" s="481" t="s">
        <v>1167</v>
      </c>
      <c r="E137" s="481">
        <v>3</v>
      </c>
      <c r="F137" s="481">
        <v>2</v>
      </c>
      <c r="G137" s="482" t="s">
        <v>1174</v>
      </c>
      <c r="H137" s="487" t="s">
        <v>1175</v>
      </c>
    </row>
    <row r="138" spans="1:8" ht="15" thickBot="1">
      <c r="A138" s="484"/>
      <c r="B138" s="583" t="s">
        <v>1280</v>
      </c>
      <c r="C138" s="584"/>
      <c r="D138" s="584"/>
      <c r="E138" s="584"/>
      <c r="F138" s="585"/>
      <c r="G138" s="482" t="s">
        <v>1175</v>
      </c>
      <c r="H138" s="487" t="s">
        <v>1175</v>
      </c>
    </row>
    <row r="139" spans="1:8" ht="15" thickBot="1">
      <c r="A139" s="483" t="s">
        <v>1290</v>
      </c>
      <c r="B139" s="480" t="s">
        <v>1291</v>
      </c>
      <c r="C139" s="480" t="s">
        <v>1292</v>
      </c>
      <c r="D139" s="481" t="s">
        <v>1167</v>
      </c>
      <c r="E139" s="481">
        <v>3</v>
      </c>
      <c r="F139" s="481">
        <v>2</v>
      </c>
      <c r="G139" s="482" t="s">
        <v>1174</v>
      </c>
      <c r="H139" s="487" t="s">
        <v>1175</v>
      </c>
    </row>
    <row r="140" spans="1:8" ht="15" thickBot="1">
      <c r="A140" s="484"/>
      <c r="B140" s="583" t="s">
        <v>1280</v>
      </c>
      <c r="C140" s="584"/>
      <c r="D140" s="584"/>
      <c r="E140" s="584"/>
      <c r="F140" s="585"/>
      <c r="G140" s="482" t="s">
        <v>1175</v>
      </c>
      <c r="H140" s="487" t="s">
        <v>1175</v>
      </c>
    </row>
    <row r="141" spans="1:8" ht="15" thickBot="1">
      <c r="A141" s="483" t="s">
        <v>1293</v>
      </c>
      <c r="B141" s="480" t="s">
        <v>1294</v>
      </c>
      <c r="C141" s="480" t="s">
        <v>1295</v>
      </c>
      <c r="D141" s="481" t="s">
        <v>1167</v>
      </c>
      <c r="E141" s="481">
        <v>3</v>
      </c>
      <c r="F141" s="481">
        <v>2</v>
      </c>
      <c r="G141" s="482" t="s">
        <v>1174</v>
      </c>
      <c r="H141" s="487" t="s">
        <v>1175</v>
      </c>
    </row>
    <row r="142" spans="1:8" ht="15" thickBot="1">
      <c r="A142" s="484"/>
      <c r="B142" s="583" t="s">
        <v>1280</v>
      </c>
      <c r="C142" s="584"/>
      <c r="D142" s="584"/>
      <c r="E142" s="584"/>
      <c r="F142" s="585"/>
      <c r="G142" s="482" t="s">
        <v>1175</v>
      </c>
      <c r="H142" s="487" t="s">
        <v>1175</v>
      </c>
    </row>
    <row r="143" spans="1:8" ht="15" thickBot="1">
      <c r="A143" s="483" t="s">
        <v>1296</v>
      </c>
      <c r="B143" s="480" t="s">
        <v>1297</v>
      </c>
      <c r="C143" s="480" t="s">
        <v>1298</v>
      </c>
      <c r="D143" s="481" t="s">
        <v>1167</v>
      </c>
      <c r="E143" s="481">
        <v>3</v>
      </c>
      <c r="F143" s="481">
        <v>2</v>
      </c>
      <c r="G143" s="482" t="s">
        <v>1299</v>
      </c>
      <c r="H143" s="487" t="s">
        <v>1175</v>
      </c>
    </row>
    <row r="144" spans="1:8" ht="15" thickBot="1">
      <c r="A144" s="484"/>
      <c r="B144" s="583" t="s">
        <v>1280</v>
      </c>
      <c r="C144" s="584"/>
      <c r="D144" s="584"/>
      <c r="E144" s="584"/>
      <c r="F144" s="585"/>
      <c r="G144" s="482" t="s">
        <v>1175</v>
      </c>
      <c r="H144" s="487" t="s">
        <v>1175</v>
      </c>
    </row>
    <row r="145" spans="1:9" ht="15" thickBot="1">
      <c r="A145" s="483" t="s">
        <v>1300</v>
      </c>
      <c r="B145" s="480" t="s">
        <v>1301</v>
      </c>
      <c r="C145" s="480" t="s">
        <v>1302</v>
      </c>
      <c r="D145" s="481" t="s">
        <v>1167</v>
      </c>
      <c r="E145" s="481">
        <v>3</v>
      </c>
      <c r="F145" s="481">
        <v>2</v>
      </c>
      <c r="G145" s="482" t="s">
        <v>1174</v>
      </c>
      <c r="H145" s="487" t="s">
        <v>1175</v>
      </c>
    </row>
    <row r="146" spans="1:9" ht="15" thickBot="1">
      <c r="A146" s="484"/>
      <c r="B146" s="583" t="s">
        <v>1280</v>
      </c>
      <c r="C146" s="584"/>
      <c r="D146" s="584"/>
      <c r="E146" s="584"/>
      <c r="F146" s="585"/>
      <c r="G146" s="482" t="s">
        <v>1175</v>
      </c>
      <c r="H146" s="487" t="s">
        <v>1175</v>
      </c>
    </row>
    <row r="147" spans="1:9" ht="15" thickBot="1">
      <c r="A147" s="483">
        <v>4.0999999999999996</v>
      </c>
      <c r="B147" s="480" t="s">
        <v>1303</v>
      </c>
      <c r="C147" s="480" t="s">
        <v>1304</v>
      </c>
      <c r="D147" s="481" t="s">
        <v>1167</v>
      </c>
      <c r="E147" s="481">
        <v>28</v>
      </c>
      <c r="F147" s="481">
        <v>2</v>
      </c>
      <c r="G147" s="482" t="s">
        <v>1174</v>
      </c>
      <c r="H147" s="487" t="s">
        <v>1175</v>
      </c>
    </row>
    <row r="148" spans="1:9" ht="15" thickBot="1">
      <c r="A148" s="483">
        <v>4.1100000000000003</v>
      </c>
      <c r="B148" s="480" t="s">
        <v>1305</v>
      </c>
      <c r="C148" s="480" t="s">
        <v>1306</v>
      </c>
      <c r="D148" s="481" t="s">
        <v>1167</v>
      </c>
      <c r="E148" s="481">
        <v>14</v>
      </c>
      <c r="F148" s="481">
        <v>2</v>
      </c>
      <c r="G148" s="482" t="s">
        <v>1174</v>
      </c>
      <c r="H148" s="487" t="s">
        <v>1175</v>
      </c>
    </row>
    <row r="149" spans="1:9" ht="15" thickBot="1">
      <c r="A149" s="483">
        <v>4.12</v>
      </c>
      <c r="B149" s="480" t="s">
        <v>1307</v>
      </c>
      <c r="C149" s="480" t="s">
        <v>1308</v>
      </c>
      <c r="D149" s="481" t="s">
        <v>1167</v>
      </c>
      <c r="E149" s="481">
        <v>28</v>
      </c>
      <c r="F149" s="481">
        <v>2</v>
      </c>
      <c r="G149" s="482" t="s">
        <v>1174</v>
      </c>
      <c r="H149" s="487" t="s">
        <v>1175</v>
      </c>
    </row>
    <row r="150" spans="1:9" ht="15" thickBot="1">
      <c r="A150" s="483">
        <v>4.13</v>
      </c>
      <c r="B150" s="480" t="s">
        <v>1309</v>
      </c>
      <c r="C150" s="480" t="s">
        <v>1302</v>
      </c>
      <c r="D150" s="481" t="s">
        <v>1167</v>
      </c>
      <c r="E150" s="481">
        <v>14</v>
      </c>
      <c r="F150" s="481">
        <v>2</v>
      </c>
      <c r="G150" s="482" t="s">
        <v>1191</v>
      </c>
      <c r="H150" s="487" t="s">
        <v>1175</v>
      </c>
    </row>
    <row r="151" spans="1:9" ht="15" thickBot="1">
      <c r="A151" s="483">
        <v>4.1399999999999997</v>
      </c>
      <c r="B151" s="480" t="s">
        <v>1310</v>
      </c>
      <c r="C151" s="480" t="s">
        <v>1311</v>
      </c>
      <c r="D151" s="481" t="s">
        <v>1167</v>
      </c>
      <c r="E151" s="481">
        <v>28</v>
      </c>
      <c r="F151" s="481">
        <v>2</v>
      </c>
      <c r="G151" s="482" t="s">
        <v>1332</v>
      </c>
      <c r="H151" s="487">
        <v>80130.33</v>
      </c>
    </row>
    <row r="152" spans="1:9" ht="15" thickBot="1">
      <c r="A152" s="483">
        <v>4.1500000000000004</v>
      </c>
      <c r="B152" s="480" t="s">
        <v>1305</v>
      </c>
      <c r="C152" s="480" t="s">
        <v>1306</v>
      </c>
      <c r="D152" s="481" t="s">
        <v>1167</v>
      </c>
      <c r="E152" s="481">
        <v>14</v>
      </c>
      <c r="F152" s="481">
        <v>2</v>
      </c>
      <c r="G152" s="482" t="s">
        <v>1174</v>
      </c>
      <c r="H152" s="482" t="s">
        <v>1175</v>
      </c>
    </row>
    <row r="153" spans="1:9" ht="15" thickBot="1">
      <c r="A153" s="484"/>
      <c r="B153" s="482"/>
      <c r="C153" s="482"/>
      <c r="D153" s="482"/>
      <c r="E153" s="482"/>
      <c r="F153" s="482"/>
      <c r="G153" s="485" t="s">
        <v>198</v>
      </c>
      <c r="H153" s="488">
        <v>2490357.9500000002</v>
      </c>
    </row>
    <row r="155" spans="1:9">
      <c r="F155" s="1" t="s">
        <v>468</v>
      </c>
      <c r="G155" s="489">
        <v>330961</v>
      </c>
    </row>
    <row r="156" spans="1:9">
      <c r="F156" s="1" t="s">
        <v>1312</v>
      </c>
      <c r="G156" s="489">
        <f>SUM(I84,H85,H86,H88,H96,H102)</f>
        <v>1675253.46</v>
      </c>
      <c r="H156" s="1" t="s">
        <v>1334</v>
      </c>
      <c r="I156" s="1">
        <f>SUM(G68:G83)</f>
        <v>0</v>
      </c>
    </row>
    <row r="157" spans="1:9">
      <c r="F157" s="1" t="s">
        <v>1313</v>
      </c>
      <c r="G157" s="489">
        <v>200000</v>
      </c>
    </row>
    <row r="158" spans="1:9">
      <c r="C158" s="495">
        <v>0.25</v>
      </c>
      <c r="D158" s="495">
        <v>0.25</v>
      </c>
    </row>
    <row r="159" spans="1:9">
      <c r="B159" s="580" t="s">
        <v>1341</v>
      </c>
      <c r="C159" s="580"/>
      <c r="D159" s="495">
        <v>0.04</v>
      </c>
    </row>
    <row r="160" spans="1:9">
      <c r="B160" s="1" t="s">
        <v>1342</v>
      </c>
      <c r="C160" s="489">
        <v>5263776.46</v>
      </c>
      <c r="D160" s="489">
        <f>C160*D159</f>
        <v>210551.05840000001</v>
      </c>
      <c r="E160" s="489">
        <f>SUM(C160:D160)</f>
        <v>5474327.5184000004</v>
      </c>
    </row>
    <row r="161" spans="2:6">
      <c r="B161" s="1" t="s">
        <v>1343</v>
      </c>
      <c r="C161" s="489">
        <f>C160*C158</f>
        <v>1315944.115</v>
      </c>
    </row>
    <row r="162" spans="2:6">
      <c r="B162" s="1" t="s">
        <v>1344</v>
      </c>
      <c r="C162" s="489">
        <f>C160*C158</f>
        <v>1315944.115</v>
      </c>
    </row>
    <row r="163" spans="2:6">
      <c r="C163" s="489">
        <f>SUM(C160:C162)</f>
        <v>7895664.6900000004</v>
      </c>
      <c r="D163" s="489">
        <f>C163*D158</f>
        <v>1973916.1725000001</v>
      </c>
      <c r="E163" s="489">
        <f>C163+D163</f>
        <v>9869580.8625000007</v>
      </c>
    </row>
    <row r="166" spans="2:6">
      <c r="B166" s="580" t="s">
        <v>1354</v>
      </c>
      <c r="C166" s="580"/>
    </row>
    <row r="167" spans="2:6">
      <c r="B167" s="499" t="s">
        <v>74</v>
      </c>
      <c r="C167" s="500" t="s">
        <v>1355</v>
      </c>
      <c r="D167" s="500" t="s">
        <v>1022</v>
      </c>
      <c r="E167" s="500" t="s">
        <v>206</v>
      </c>
      <c r="F167" s="500" t="s">
        <v>1356</v>
      </c>
    </row>
    <row r="168" spans="2:6" ht="28.8">
      <c r="B168" s="501">
        <v>1</v>
      </c>
      <c r="C168" s="502" t="s">
        <v>1357</v>
      </c>
      <c r="D168" s="502" t="s">
        <v>1358</v>
      </c>
      <c r="E168" s="501">
        <v>23</v>
      </c>
      <c r="F168" s="502">
        <v>11532339.84</v>
      </c>
    </row>
    <row r="169" spans="2:6">
      <c r="B169" s="501">
        <v>2</v>
      </c>
      <c r="C169" s="501" t="s">
        <v>1359</v>
      </c>
      <c r="D169" s="502" t="s">
        <v>1358</v>
      </c>
      <c r="E169" s="501">
        <v>50</v>
      </c>
      <c r="F169" s="502">
        <v>641948.99999999988</v>
      </c>
    </row>
    <row r="170" spans="2:6" ht="28.8">
      <c r="E170" s="1" t="s">
        <v>1360</v>
      </c>
      <c r="F170" s="1">
        <v>800000</v>
      </c>
    </row>
  </sheetData>
  <mergeCells count="25">
    <mergeCell ref="G65:G66"/>
    <mergeCell ref="H65:H66"/>
    <mergeCell ref="B132:F132"/>
    <mergeCell ref="B134:F134"/>
    <mergeCell ref="B166:C166"/>
    <mergeCell ref="B159:C159"/>
    <mergeCell ref="B138:F138"/>
    <mergeCell ref="B140:F140"/>
    <mergeCell ref="B142:F142"/>
    <mergeCell ref="B144:F144"/>
    <mergeCell ref="B146:F146"/>
    <mergeCell ref="F65:F66"/>
    <mergeCell ref="B49:E49"/>
    <mergeCell ref="A51:C51"/>
    <mergeCell ref="A1:C1"/>
    <mergeCell ref="B26:B27"/>
    <mergeCell ref="C26:C27"/>
    <mergeCell ref="D26:D27"/>
    <mergeCell ref="A31:C31"/>
    <mergeCell ref="A42:C42"/>
    <mergeCell ref="B64:D64"/>
    <mergeCell ref="A65:A66"/>
    <mergeCell ref="B65:B66"/>
    <mergeCell ref="C65:C66"/>
    <mergeCell ref="B136:F136"/>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542AE-F0DD-460F-B7A2-67A756E4BA85}">
  <sheetPr codeName="Sheet12"/>
  <dimension ref="B2:H20"/>
  <sheetViews>
    <sheetView topLeftCell="A10" workbookViewId="0">
      <selection activeCell="B11" sqref="B11"/>
    </sheetView>
  </sheetViews>
  <sheetFormatPr defaultRowHeight="14.4"/>
  <cols>
    <col min="2" max="2" width="73.77734375" style="1" bestFit="1" customWidth="1"/>
    <col min="5" max="5" width="23.21875" style="1" customWidth="1"/>
    <col min="6" max="6" width="12.77734375" customWidth="1"/>
    <col min="7" max="7" width="23.5546875" style="1" customWidth="1"/>
    <col min="8" max="8" width="20.5546875" style="1" customWidth="1"/>
  </cols>
  <sheetData>
    <row r="2" spans="2:8">
      <c r="B2" s="1" t="s">
        <v>390</v>
      </c>
    </row>
    <row r="3" spans="2:8" ht="46.8">
      <c r="B3" s="1" t="s">
        <v>391</v>
      </c>
      <c r="D3" s="86" t="s">
        <v>400</v>
      </c>
      <c r="E3" s="86" t="s">
        <v>401</v>
      </c>
      <c r="F3" s="86" t="s">
        <v>402</v>
      </c>
      <c r="G3" s="86" t="s">
        <v>403</v>
      </c>
      <c r="H3" s="86" t="s">
        <v>404</v>
      </c>
    </row>
    <row r="4" spans="2:8" ht="28.8">
      <c r="B4" s="1" t="s">
        <v>392</v>
      </c>
      <c r="D4" s="592" t="s">
        <v>405</v>
      </c>
      <c r="E4" s="592"/>
      <c r="F4" s="592"/>
      <c r="G4" s="592"/>
      <c r="H4" s="592"/>
    </row>
    <row r="5" spans="2:8" ht="43.2">
      <c r="B5" s="1" t="s">
        <v>393</v>
      </c>
      <c r="D5" s="87" t="s">
        <v>406</v>
      </c>
      <c r="E5" s="135" t="s">
        <v>407</v>
      </c>
      <c r="F5" s="135" t="s">
        <v>408</v>
      </c>
      <c r="G5" s="135" t="s">
        <v>409</v>
      </c>
      <c r="H5" s="136" t="s">
        <v>410</v>
      </c>
    </row>
    <row r="6" spans="2:8" ht="31.2">
      <c r="B6" s="1" t="s">
        <v>394</v>
      </c>
      <c r="D6" s="87" t="s">
        <v>411</v>
      </c>
      <c r="E6" s="135" t="s">
        <v>412</v>
      </c>
      <c r="F6" s="135" t="s">
        <v>413</v>
      </c>
      <c r="G6" s="135" t="s">
        <v>414</v>
      </c>
      <c r="H6" s="137"/>
    </row>
    <row r="7" spans="2:8" ht="31.2">
      <c r="B7" s="1" t="s">
        <v>395</v>
      </c>
      <c r="D7" s="87" t="s">
        <v>415</v>
      </c>
      <c r="E7" s="135" t="s">
        <v>416</v>
      </c>
      <c r="F7" s="135" t="s">
        <v>417</v>
      </c>
      <c r="G7" s="135" t="s">
        <v>418</v>
      </c>
      <c r="H7" s="137"/>
    </row>
    <row r="8" spans="2:8" ht="46.8">
      <c r="B8" s="1" t="s">
        <v>396</v>
      </c>
      <c r="D8" s="87" t="s">
        <v>419</v>
      </c>
      <c r="E8" s="136" t="s">
        <v>457</v>
      </c>
      <c r="F8" s="135" t="s">
        <v>420</v>
      </c>
      <c r="G8" s="135" t="s">
        <v>421</v>
      </c>
      <c r="H8" s="137"/>
    </row>
    <row r="9" spans="2:8" ht="109.2">
      <c r="B9" s="132" t="s">
        <v>397</v>
      </c>
      <c r="D9" s="87" t="s">
        <v>422</v>
      </c>
      <c r="E9" s="135" t="s">
        <v>423</v>
      </c>
      <c r="F9" s="135" t="s">
        <v>424</v>
      </c>
      <c r="G9" s="135" t="s">
        <v>425</v>
      </c>
      <c r="H9" s="135" t="s">
        <v>426</v>
      </c>
    </row>
    <row r="10" spans="2:8" ht="78">
      <c r="B10" s="133" t="s">
        <v>398</v>
      </c>
      <c r="D10" s="87" t="s">
        <v>422</v>
      </c>
      <c r="E10" s="138" t="s">
        <v>427</v>
      </c>
      <c r="F10" s="139" t="s">
        <v>424</v>
      </c>
      <c r="G10" s="139" t="s">
        <v>428</v>
      </c>
      <c r="H10" s="139" t="s">
        <v>429</v>
      </c>
    </row>
    <row r="11" spans="2:8" ht="31.2">
      <c r="B11" s="134" t="s">
        <v>399</v>
      </c>
      <c r="D11" s="87" t="s">
        <v>419</v>
      </c>
      <c r="E11" s="138" t="s">
        <v>458</v>
      </c>
      <c r="F11" s="139" t="s">
        <v>424</v>
      </c>
      <c r="G11" s="139" t="s">
        <v>430</v>
      </c>
      <c r="H11" s="140"/>
    </row>
    <row r="12" spans="2:8" ht="31.2">
      <c r="D12" s="87" t="s">
        <v>422</v>
      </c>
      <c r="E12" s="139" t="s">
        <v>459</v>
      </c>
      <c r="F12" s="139" t="s">
        <v>431</v>
      </c>
      <c r="G12" s="139" t="s">
        <v>432</v>
      </c>
      <c r="H12" s="140"/>
    </row>
    <row r="13" spans="2:8" ht="31.2">
      <c r="D13" s="87" t="s">
        <v>433</v>
      </c>
      <c r="E13" s="138" t="s">
        <v>460</v>
      </c>
      <c r="F13" s="139" t="s">
        <v>431</v>
      </c>
      <c r="G13" s="139" t="s">
        <v>434</v>
      </c>
      <c r="H13" s="140"/>
    </row>
    <row r="14" spans="2:8" ht="31.2">
      <c r="D14" s="87" t="s">
        <v>435</v>
      </c>
      <c r="E14" s="138" t="s">
        <v>461</v>
      </c>
      <c r="F14" s="139" t="s">
        <v>436</v>
      </c>
      <c r="G14" s="139" t="s">
        <v>437</v>
      </c>
      <c r="H14" s="140"/>
    </row>
    <row r="15" spans="2:8" ht="31.2">
      <c r="D15" s="87" t="s">
        <v>438</v>
      </c>
      <c r="E15" s="138" t="s">
        <v>439</v>
      </c>
      <c r="F15" s="139" t="s">
        <v>436</v>
      </c>
      <c r="G15" s="139" t="s">
        <v>440</v>
      </c>
      <c r="H15" s="140"/>
    </row>
    <row r="16" spans="2:8" ht="31.2">
      <c r="D16" s="87" t="s">
        <v>441</v>
      </c>
      <c r="E16" s="138" t="s">
        <v>462</v>
      </c>
      <c r="F16" s="139" t="s">
        <v>436</v>
      </c>
      <c r="G16" s="139" t="s">
        <v>442</v>
      </c>
      <c r="H16" s="140"/>
    </row>
    <row r="17" spans="4:8" ht="46.8">
      <c r="D17" s="87" t="s">
        <v>443</v>
      </c>
      <c r="E17" s="139" t="s">
        <v>463</v>
      </c>
      <c r="F17" s="139" t="s">
        <v>436</v>
      </c>
      <c r="G17" s="139" t="s">
        <v>444</v>
      </c>
      <c r="H17" s="138" t="s">
        <v>445</v>
      </c>
    </row>
    <row r="18" spans="4:8" ht="31.2">
      <c r="D18" s="87" t="s">
        <v>446</v>
      </c>
      <c r="E18" s="141" t="s">
        <v>464</v>
      </c>
      <c r="F18" s="141" t="s">
        <v>447</v>
      </c>
      <c r="G18" s="141" t="s">
        <v>448</v>
      </c>
      <c r="H18" s="142" t="s">
        <v>449</v>
      </c>
    </row>
    <row r="19" spans="4:8" ht="31.2">
      <c r="D19" s="87" t="s">
        <v>450</v>
      </c>
      <c r="E19" s="142" t="s">
        <v>465</v>
      </c>
      <c r="F19" s="141" t="s">
        <v>451</v>
      </c>
      <c r="G19" s="141" t="s">
        <v>452</v>
      </c>
      <c r="H19" s="143"/>
    </row>
    <row r="20" spans="4:8" ht="46.8">
      <c r="D20" s="87" t="s">
        <v>453</v>
      </c>
      <c r="E20" s="141" t="s">
        <v>466</v>
      </c>
      <c r="F20" s="141" t="s">
        <v>454</v>
      </c>
      <c r="G20" s="141" t="s">
        <v>455</v>
      </c>
      <c r="H20" s="142" t="s">
        <v>456</v>
      </c>
    </row>
  </sheetData>
  <mergeCells count="1">
    <mergeCell ref="D4:H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6DD50-96A7-4188-8DA1-152C3C1DCB23}">
  <sheetPr codeName="Sheet13"/>
  <dimension ref="B2:H28"/>
  <sheetViews>
    <sheetView workbookViewId="0">
      <selection activeCell="K23" sqref="K23"/>
    </sheetView>
  </sheetViews>
  <sheetFormatPr defaultRowHeight="14.4"/>
  <cols>
    <col min="3" max="3" width="31.77734375" bestFit="1" customWidth="1"/>
  </cols>
  <sheetData>
    <row r="2" spans="2:8" ht="39.6">
      <c r="B2" s="97" t="s">
        <v>486</v>
      </c>
      <c r="C2" s="97" t="s">
        <v>487</v>
      </c>
      <c r="D2" s="97" t="s">
        <v>488</v>
      </c>
      <c r="E2" s="97" t="s">
        <v>489</v>
      </c>
      <c r="F2" s="97" t="s">
        <v>490</v>
      </c>
      <c r="G2" s="97" t="s">
        <v>491</v>
      </c>
      <c r="H2" s="98" t="s">
        <v>492</v>
      </c>
    </row>
    <row r="3" spans="2:8">
      <c r="B3" s="99">
        <v>1</v>
      </c>
      <c r="C3" s="100" t="s">
        <v>493</v>
      </c>
      <c r="D3" s="99">
        <v>2</v>
      </c>
      <c r="E3" s="88"/>
      <c r="F3" s="88"/>
      <c r="G3" s="88"/>
      <c r="H3" s="88"/>
    </row>
    <row r="4" spans="2:8">
      <c r="B4" s="99">
        <v>2</v>
      </c>
      <c r="C4" s="100" t="s">
        <v>494</v>
      </c>
      <c r="D4" s="99">
        <v>2</v>
      </c>
      <c r="E4" s="88"/>
      <c r="F4" s="88"/>
      <c r="G4" s="88"/>
      <c r="H4" s="88"/>
    </row>
    <row r="5" spans="2:8">
      <c r="B5" s="99">
        <v>3</v>
      </c>
      <c r="C5" s="100" t="s">
        <v>495</v>
      </c>
      <c r="D5" s="99">
        <v>2</v>
      </c>
      <c r="E5" s="88"/>
      <c r="F5" s="88"/>
      <c r="G5" s="88"/>
      <c r="H5" s="88"/>
    </row>
    <row r="6" spans="2:8">
      <c r="B6" s="88"/>
      <c r="C6" s="100" t="s">
        <v>496</v>
      </c>
      <c r="D6" s="99">
        <v>1</v>
      </c>
      <c r="E6" s="88"/>
      <c r="F6" s="88"/>
      <c r="G6" s="88"/>
      <c r="H6" s="88"/>
    </row>
    <row r="7" spans="2:8">
      <c r="B7" s="99">
        <v>4</v>
      </c>
      <c r="C7" s="100" t="s">
        <v>497</v>
      </c>
      <c r="D7" s="99">
        <v>2</v>
      </c>
      <c r="E7" s="88"/>
      <c r="F7" s="88"/>
      <c r="G7" s="88"/>
      <c r="H7" s="88"/>
    </row>
    <row r="8" spans="2:8">
      <c r="B8" s="99">
        <v>5</v>
      </c>
      <c r="C8" s="100" t="s">
        <v>498</v>
      </c>
      <c r="D8" s="99">
        <v>1</v>
      </c>
      <c r="E8" s="88"/>
      <c r="F8" s="88"/>
      <c r="G8" s="88"/>
      <c r="H8" s="88"/>
    </row>
    <row r="9" spans="2:8">
      <c r="B9" s="99">
        <v>6</v>
      </c>
      <c r="C9" s="100" t="s">
        <v>499</v>
      </c>
      <c r="D9" s="99">
        <v>8</v>
      </c>
      <c r="E9" s="88"/>
      <c r="F9" s="88"/>
      <c r="G9" s="88"/>
      <c r="H9" s="88"/>
    </row>
    <row r="10" spans="2:8">
      <c r="B10" s="99">
        <v>7</v>
      </c>
      <c r="C10" s="100" t="s">
        <v>470</v>
      </c>
      <c r="D10" s="99">
        <v>1</v>
      </c>
      <c r="E10" s="88"/>
      <c r="F10" s="88"/>
      <c r="G10" s="88"/>
      <c r="H10" s="88"/>
    </row>
    <row r="11" spans="2:8">
      <c r="B11" s="99">
        <v>8</v>
      </c>
      <c r="C11" s="100" t="s">
        <v>500</v>
      </c>
      <c r="D11" s="99">
        <v>3</v>
      </c>
      <c r="E11" s="88"/>
      <c r="F11" s="88"/>
      <c r="G11" s="88"/>
      <c r="H11" s="88"/>
    </row>
    <row r="12" spans="2:8">
      <c r="B12" s="99">
        <v>9</v>
      </c>
      <c r="C12" s="100" t="s">
        <v>501</v>
      </c>
      <c r="D12" s="99">
        <v>1</v>
      </c>
      <c r="E12" s="88"/>
      <c r="F12" s="88"/>
      <c r="G12" s="88"/>
      <c r="H12" s="88"/>
    </row>
    <row r="13" spans="2:8">
      <c r="B13" s="99">
        <v>10</v>
      </c>
      <c r="C13" s="100" t="s">
        <v>502</v>
      </c>
      <c r="D13" s="99">
        <v>1</v>
      </c>
      <c r="E13" s="88"/>
      <c r="F13" s="88"/>
      <c r="G13" s="88"/>
      <c r="H13" s="88"/>
    </row>
    <row r="14" spans="2:8">
      <c r="B14" s="99">
        <v>11</v>
      </c>
      <c r="C14" s="100" t="s">
        <v>503</v>
      </c>
      <c r="D14" s="99">
        <v>1</v>
      </c>
      <c r="E14" s="88"/>
      <c r="F14" s="88"/>
      <c r="G14" s="88"/>
      <c r="H14" s="88"/>
    </row>
    <row r="15" spans="2:8">
      <c r="B15" s="99">
        <v>12</v>
      </c>
      <c r="C15" s="100" t="s">
        <v>504</v>
      </c>
      <c r="D15" s="99">
        <v>1</v>
      </c>
      <c r="E15" s="88"/>
      <c r="F15" s="88"/>
      <c r="G15" s="88"/>
      <c r="H15" s="88"/>
    </row>
    <row r="16" spans="2:8">
      <c r="B16" s="99">
        <v>13</v>
      </c>
      <c r="C16" s="100" t="s">
        <v>505</v>
      </c>
      <c r="D16" s="99">
        <v>1</v>
      </c>
      <c r="E16" s="88"/>
      <c r="F16" s="88"/>
      <c r="G16" s="88"/>
      <c r="H16" s="88"/>
    </row>
    <row r="17" spans="2:8">
      <c r="B17" s="99">
        <v>14</v>
      </c>
      <c r="C17" s="100" t="s">
        <v>163</v>
      </c>
      <c r="D17" s="99">
        <v>1</v>
      </c>
      <c r="E17" s="88"/>
      <c r="F17" s="88"/>
      <c r="G17" s="88"/>
      <c r="H17" s="88"/>
    </row>
    <row r="18" spans="2:8">
      <c r="B18" s="99">
        <v>15</v>
      </c>
      <c r="C18" s="100" t="s">
        <v>506</v>
      </c>
      <c r="D18" s="99">
        <v>1</v>
      </c>
      <c r="E18" s="88"/>
      <c r="F18" s="88"/>
      <c r="G18" s="88"/>
      <c r="H18" s="88"/>
    </row>
    <row r="19" spans="2:8">
      <c r="B19" s="99">
        <v>16</v>
      </c>
      <c r="C19" s="100" t="s">
        <v>507</v>
      </c>
      <c r="D19" s="99">
        <v>1</v>
      </c>
      <c r="E19" s="88"/>
      <c r="F19" s="88"/>
      <c r="G19" s="88"/>
      <c r="H19" s="88"/>
    </row>
    <row r="20" spans="2:8">
      <c r="B20" s="99">
        <v>17</v>
      </c>
      <c r="C20" s="100" t="s">
        <v>508</v>
      </c>
      <c r="D20" s="99">
        <v>1</v>
      </c>
      <c r="E20" s="88"/>
      <c r="F20" s="88"/>
      <c r="G20" s="88"/>
      <c r="H20" s="88"/>
    </row>
    <row r="21" spans="2:8">
      <c r="B21" s="99">
        <v>18</v>
      </c>
      <c r="C21" s="100" t="s">
        <v>509</v>
      </c>
      <c r="D21" s="99">
        <v>1</v>
      </c>
      <c r="E21" s="88"/>
      <c r="F21" s="88"/>
      <c r="G21" s="88"/>
      <c r="H21" s="88"/>
    </row>
    <row r="22" spans="2:8">
      <c r="B22" s="99">
        <v>19</v>
      </c>
      <c r="C22" s="593" t="s">
        <v>510</v>
      </c>
      <c r="D22" s="593"/>
      <c r="E22" s="593"/>
      <c r="F22" s="88"/>
      <c r="G22" s="88"/>
      <c r="H22" s="88"/>
    </row>
    <row r="23" spans="2:8">
      <c r="B23" s="99">
        <v>20</v>
      </c>
      <c r="C23" s="593" t="s">
        <v>511</v>
      </c>
      <c r="D23" s="593"/>
      <c r="E23" s="593"/>
      <c r="F23" s="88"/>
      <c r="G23" s="88"/>
      <c r="H23" s="88"/>
    </row>
    <row r="24" spans="2:8">
      <c r="B24" s="99">
        <v>21</v>
      </c>
      <c r="C24" s="593" t="s">
        <v>512</v>
      </c>
      <c r="D24" s="593"/>
      <c r="E24" s="593"/>
      <c r="F24" s="88"/>
      <c r="G24" s="88"/>
      <c r="H24" s="88"/>
    </row>
    <row r="25" spans="2:8">
      <c r="B25" s="99">
        <v>22</v>
      </c>
      <c r="C25" s="593" t="s">
        <v>513</v>
      </c>
      <c r="D25" s="593"/>
      <c r="E25" s="593"/>
      <c r="F25" s="88"/>
      <c r="G25" s="88"/>
      <c r="H25" s="88"/>
    </row>
    <row r="26" spans="2:8">
      <c r="B26" s="100">
        <v>23</v>
      </c>
      <c r="C26" s="100" t="s">
        <v>514</v>
      </c>
      <c r="D26" s="88"/>
      <c r="E26" s="88"/>
      <c r="F26" s="88"/>
      <c r="G26" s="88"/>
      <c r="H26" s="88"/>
    </row>
    <row r="27" spans="2:8">
      <c r="B27" s="100">
        <v>24</v>
      </c>
      <c r="C27" s="100" t="s">
        <v>514</v>
      </c>
      <c r="D27" s="88"/>
      <c r="E27" s="88"/>
      <c r="F27" s="88"/>
      <c r="G27" s="88"/>
      <c r="H27" s="88"/>
    </row>
    <row r="28" spans="2:8">
      <c r="B28" s="88"/>
      <c r="C28" s="99" t="s">
        <v>515</v>
      </c>
      <c r="D28" s="88"/>
      <c r="E28" s="88"/>
      <c r="F28" s="88"/>
      <c r="G28" s="88"/>
      <c r="H28" s="88"/>
    </row>
  </sheetData>
  <mergeCells count="4">
    <mergeCell ref="C22:E22"/>
    <mergeCell ref="C23:E23"/>
    <mergeCell ref="C24:E24"/>
    <mergeCell ref="C25:E2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7D416-816C-472E-A851-ED020F4C50ED}">
  <sheetPr codeName="Sheet14"/>
  <dimension ref="B2:F44"/>
  <sheetViews>
    <sheetView topLeftCell="A16" workbookViewId="0">
      <selection activeCell="H4" sqref="H4"/>
    </sheetView>
  </sheetViews>
  <sheetFormatPr defaultRowHeight="14.4"/>
  <cols>
    <col min="2" max="2" width="3.21875" bestFit="1" customWidth="1"/>
    <col min="3" max="3" width="36.5546875" customWidth="1"/>
    <col min="4" max="4" width="37" customWidth="1"/>
  </cols>
  <sheetData>
    <row r="2" spans="2:6" ht="39.6">
      <c r="B2" s="101" t="s">
        <v>516</v>
      </c>
      <c r="C2" s="100" t="s">
        <v>517</v>
      </c>
      <c r="D2" s="100" t="s">
        <v>518</v>
      </c>
      <c r="E2" s="102" t="s">
        <v>519</v>
      </c>
      <c r="F2" s="100" t="s">
        <v>520</v>
      </c>
    </row>
    <row r="3" spans="2:6" ht="93">
      <c r="B3" s="99">
        <v>1</v>
      </c>
      <c r="C3" s="102" t="s">
        <v>521</v>
      </c>
      <c r="D3" s="102" t="s">
        <v>522</v>
      </c>
      <c r="E3" s="99">
        <v>15</v>
      </c>
      <c r="F3" s="88"/>
    </row>
    <row r="4" spans="2:6" ht="66">
      <c r="B4" s="594">
        <v>2</v>
      </c>
      <c r="C4" s="102" t="s">
        <v>523</v>
      </c>
      <c r="D4" s="595" t="s">
        <v>524</v>
      </c>
      <c r="E4" s="594">
        <v>10</v>
      </c>
      <c r="F4" s="88"/>
    </row>
    <row r="5" spans="2:6">
      <c r="B5" s="594">
        <v>2</v>
      </c>
      <c r="C5" s="100" t="s">
        <v>525</v>
      </c>
      <c r="D5" s="595" t="s">
        <v>524</v>
      </c>
      <c r="E5" s="594">
        <v>10</v>
      </c>
      <c r="F5" s="88"/>
    </row>
    <row r="6" spans="2:6">
      <c r="B6" s="594">
        <v>2</v>
      </c>
      <c r="C6" s="100" t="s">
        <v>526</v>
      </c>
      <c r="D6" s="595" t="s">
        <v>524</v>
      </c>
      <c r="E6" s="594">
        <v>10</v>
      </c>
      <c r="F6" s="88"/>
    </row>
    <row r="7" spans="2:6">
      <c r="B7" s="594">
        <v>2</v>
      </c>
      <c r="C7" s="100" t="s">
        <v>527</v>
      </c>
      <c r="D7" s="595" t="s">
        <v>524</v>
      </c>
      <c r="E7" s="594">
        <v>10</v>
      </c>
      <c r="F7" s="88"/>
    </row>
    <row r="8" spans="2:6" ht="66">
      <c r="B8" s="594">
        <v>3</v>
      </c>
      <c r="C8" s="102" t="s">
        <v>528</v>
      </c>
      <c r="D8" s="595" t="s">
        <v>524</v>
      </c>
      <c r="E8" s="594">
        <v>10</v>
      </c>
      <c r="F8" s="88"/>
    </row>
    <row r="9" spans="2:6">
      <c r="B9" s="594">
        <v>3</v>
      </c>
      <c r="C9" s="100" t="s">
        <v>529</v>
      </c>
      <c r="D9" s="595" t="s">
        <v>524</v>
      </c>
      <c r="E9" s="594">
        <v>10</v>
      </c>
      <c r="F9" s="88"/>
    </row>
    <row r="10" spans="2:6">
      <c r="B10" s="594">
        <v>3</v>
      </c>
      <c r="C10" s="100" t="s">
        <v>530</v>
      </c>
      <c r="D10" s="595" t="s">
        <v>524</v>
      </c>
      <c r="E10" s="594">
        <v>10</v>
      </c>
      <c r="F10" s="88"/>
    </row>
    <row r="11" spans="2:6">
      <c r="B11" s="594">
        <v>3</v>
      </c>
      <c r="C11" s="100" t="s">
        <v>531</v>
      </c>
      <c r="D11" s="595" t="s">
        <v>524</v>
      </c>
      <c r="E11" s="594">
        <v>10</v>
      </c>
      <c r="F11" s="88"/>
    </row>
    <row r="12" spans="2:6" ht="26.4">
      <c r="B12" s="594">
        <v>4</v>
      </c>
      <c r="C12" s="102" t="s">
        <v>532</v>
      </c>
      <c r="D12" s="593" t="s">
        <v>533</v>
      </c>
      <c r="E12" s="594">
        <v>10</v>
      </c>
      <c r="F12" s="88"/>
    </row>
    <row r="13" spans="2:6">
      <c r="B13" s="594">
        <v>4</v>
      </c>
      <c r="C13" s="100" t="s">
        <v>534</v>
      </c>
      <c r="D13" s="593" t="s">
        <v>533</v>
      </c>
      <c r="E13" s="594">
        <v>10</v>
      </c>
      <c r="F13" s="88"/>
    </row>
    <row r="14" spans="2:6">
      <c r="B14" s="594">
        <v>4</v>
      </c>
      <c r="C14" s="100" t="s">
        <v>535</v>
      </c>
      <c r="D14" s="593" t="s">
        <v>533</v>
      </c>
      <c r="E14" s="594">
        <v>10</v>
      </c>
      <c r="F14" s="88"/>
    </row>
    <row r="15" spans="2:6">
      <c r="B15" s="594">
        <v>4</v>
      </c>
      <c r="C15" s="100" t="s">
        <v>536</v>
      </c>
      <c r="D15" s="593" t="s">
        <v>533</v>
      </c>
      <c r="E15" s="594">
        <v>10</v>
      </c>
      <c r="F15" s="88"/>
    </row>
    <row r="16" spans="2:6">
      <c r="B16" s="594">
        <v>4</v>
      </c>
      <c r="C16" s="100" t="s">
        <v>537</v>
      </c>
      <c r="D16" s="593" t="s">
        <v>533</v>
      </c>
      <c r="E16" s="594">
        <v>10</v>
      </c>
      <c r="F16" s="88"/>
    </row>
    <row r="17" spans="2:6">
      <c r="B17" s="594">
        <v>4</v>
      </c>
      <c r="C17" s="100" t="s">
        <v>538</v>
      </c>
      <c r="D17" s="593" t="s">
        <v>533</v>
      </c>
      <c r="E17" s="594">
        <v>10</v>
      </c>
      <c r="F17" s="88"/>
    </row>
    <row r="18" spans="2:6">
      <c r="B18" s="594">
        <v>4</v>
      </c>
      <c r="C18" s="100" t="s">
        <v>539</v>
      </c>
      <c r="D18" s="593" t="s">
        <v>533</v>
      </c>
      <c r="E18" s="594">
        <v>10</v>
      </c>
      <c r="F18" s="88"/>
    </row>
    <row r="19" spans="2:6" ht="26.4">
      <c r="B19" s="594">
        <v>4</v>
      </c>
      <c r="C19" s="102" t="s">
        <v>540</v>
      </c>
      <c r="D19" s="593" t="s">
        <v>533</v>
      </c>
      <c r="E19" s="594">
        <v>10</v>
      </c>
      <c r="F19" s="88"/>
    </row>
    <row r="20" spans="2:6" ht="26.4">
      <c r="B20" s="594">
        <v>4</v>
      </c>
      <c r="C20" s="102" t="s">
        <v>541</v>
      </c>
      <c r="D20" s="593" t="s">
        <v>533</v>
      </c>
      <c r="E20" s="594">
        <v>10</v>
      </c>
      <c r="F20" s="88"/>
    </row>
    <row r="21" spans="2:6">
      <c r="B21" s="594">
        <v>4</v>
      </c>
      <c r="C21" s="100" t="s">
        <v>542</v>
      </c>
      <c r="D21" s="593" t="s">
        <v>533</v>
      </c>
      <c r="E21" s="594">
        <v>10</v>
      </c>
      <c r="F21" s="88"/>
    </row>
    <row r="22" spans="2:6">
      <c r="B22" s="596"/>
      <c r="C22" s="100" t="s">
        <v>543</v>
      </c>
      <c r="D22" s="597"/>
      <c r="E22" s="598"/>
      <c r="F22" s="88"/>
    </row>
    <row r="23" spans="2:6" ht="26.4">
      <c r="B23" s="596"/>
      <c r="C23" s="102" t="s">
        <v>544</v>
      </c>
      <c r="D23" s="597"/>
      <c r="E23" s="598"/>
      <c r="F23" s="88"/>
    </row>
    <row r="24" spans="2:6" ht="66">
      <c r="B24" s="99">
        <v>5</v>
      </c>
      <c r="C24" s="102" t="s">
        <v>545</v>
      </c>
      <c r="D24" s="100" t="s">
        <v>546</v>
      </c>
      <c r="E24" s="99">
        <v>10</v>
      </c>
      <c r="F24" s="88"/>
    </row>
    <row r="25" spans="2:6">
      <c r="B25" s="594">
        <v>6</v>
      </c>
      <c r="C25" s="100" t="s">
        <v>547</v>
      </c>
      <c r="D25" s="100" t="s">
        <v>533</v>
      </c>
      <c r="E25" s="594">
        <v>15</v>
      </c>
      <c r="F25" s="88"/>
    </row>
    <row r="26" spans="2:6">
      <c r="B26" s="594">
        <v>6</v>
      </c>
      <c r="C26" s="100" t="s">
        <v>548</v>
      </c>
      <c r="D26" s="100" t="s">
        <v>549</v>
      </c>
      <c r="E26" s="594">
        <v>15</v>
      </c>
      <c r="F26" s="88"/>
    </row>
    <row r="27" spans="2:6">
      <c r="B27" s="594">
        <v>6</v>
      </c>
      <c r="C27" s="100" t="s">
        <v>550</v>
      </c>
      <c r="D27" s="88"/>
      <c r="E27" s="594">
        <v>15</v>
      </c>
      <c r="F27" s="88"/>
    </row>
    <row r="28" spans="2:6">
      <c r="B28" s="594">
        <v>6</v>
      </c>
      <c r="C28" s="100" t="s">
        <v>551</v>
      </c>
      <c r="D28" s="88"/>
      <c r="E28" s="594">
        <v>15</v>
      </c>
      <c r="F28" s="88"/>
    </row>
    <row r="29" spans="2:6">
      <c r="B29" s="594">
        <v>6</v>
      </c>
      <c r="C29" s="100" t="s">
        <v>552</v>
      </c>
      <c r="D29" s="88"/>
      <c r="E29" s="594">
        <v>15</v>
      </c>
      <c r="F29" s="88"/>
    </row>
    <row r="30" spans="2:6">
      <c r="B30" s="594">
        <v>6</v>
      </c>
      <c r="C30" s="100" t="s">
        <v>553</v>
      </c>
      <c r="D30" s="88"/>
      <c r="E30" s="594">
        <v>15</v>
      </c>
      <c r="F30" s="88"/>
    </row>
    <row r="31" spans="2:6">
      <c r="B31" s="594">
        <v>6</v>
      </c>
      <c r="C31" s="100" t="s">
        <v>554</v>
      </c>
      <c r="D31" s="88"/>
      <c r="E31" s="594">
        <v>15</v>
      </c>
      <c r="F31" s="88"/>
    </row>
    <row r="32" spans="2:6">
      <c r="B32" s="594">
        <v>6</v>
      </c>
      <c r="C32" s="100" t="s">
        <v>555</v>
      </c>
      <c r="D32" s="88"/>
      <c r="E32" s="594">
        <v>15</v>
      </c>
      <c r="F32" s="88"/>
    </row>
    <row r="33" spans="2:6">
      <c r="B33" s="594">
        <v>6</v>
      </c>
      <c r="C33" s="100" t="s">
        <v>556</v>
      </c>
      <c r="D33" s="88"/>
      <c r="E33" s="594">
        <v>15</v>
      </c>
      <c r="F33" s="88"/>
    </row>
    <row r="34" spans="2:6">
      <c r="B34" s="594">
        <v>6</v>
      </c>
      <c r="C34" s="88"/>
      <c r="D34" s="88"/>
      <c r="E34" s="594">
        <v>15</v>
      </c>
      <c r="F34" s="88"/>
    </row>
    <row r="35" spans="2:6" ht="26.4">
      <c r="B35" s="594">
        <v>6</v>
      </c>
      <c r="C35" s="102" t="s">
        <v>557</v>
      </c>
      <c r="D35" s="88"/>
      <c r="E35" s="594">
        <v>15</v>
      </c>
      <c r="F35" s="88"/>
    </row>
    <row r="36" spans="2:6" ht="39.6">
      <c r="B36" s="594">
        <v>6</v>
      </c>
      <c r="C36" s="102" t="s">
        <v>558</v>
      </c>
      <c r="D36" s="88"/>
      <c r="E36" s="594">
        <v>15</v>
      </c>
      <c r="F36" s="88"/>
    </row>
    <row r="37" spans="2:6" ht="39.6">
      <c r="B37" s="594">
        <v>7</v>
      </c>
      <c r="C37" s="102" t="s">
        <v>559</v>
      </c>
      <c r="D37" s="593" t="s">
        <v>560</v>
      </c>
      <c r="E37" s="594">
        <v>30</v>
      </c>
      <c r="F37" s="88"/>
    </row>
    <row r="38" spans="2:6">
      <c r="B38" s="594">
        <v>7</v>
      </c>
      <c r="C38" s="100" t="s">
        <v>561</v>
      </c>
      <c r="D38" s="593" t="s">
        <v>560</v>
      </c>
      <c r="E38" s="594">
        <v>30</v>
      </c>
      <c r="F38" s="88"/>
    </row>
    <row r="39" spans="2:6" ht="26.4">
      <c r="B39" s="594">
        <v>7</v>
      </c>
      <c r="C39" s="102" t="s">
        <v>562</v>
      </c>
      <c r="D39" s="593" t="s">
        <v>560</v>
      </c>
      <c r="E39" s="594">
        <v>30</v>
      </c>
      <c r="F39" s="88"/>
    </row>
    <row r="40" spans="2:6" ht="26.4">
      <c r="B40" s="594">
        <v>7</v>
      </c>
      <c r="C40" s="102" t="s">
        <v>563</v>
      </c>
      <c r="D40" s="593" t="s">
        <v>560</v>
      </c>
      <c r="E40" s="594">
        <v>30</v>
      </c>
      <c r="F40" s="88"/>
    </row>
    <row r="41" spans="2:6" ht="26.4">
      <c r="B41" s="594">
        <v>7</v>
      </c>
      <c r="C41" s="102" t="s">
        <v>564</v>
      </c>
      <c r="D41" s="593" t="s">
        <v>560</v>
      </c>
      <c r="E41" s="594">
        <v>30</v>
      </c>
      <c r="F41" s="88"/>
    </row>
    <row r="42" spans="2:6" ht="26.4">
      <c r="B42" s="594">
        <v>7</v>
      </c>
      <c r="C42" s="102" t="s">
        <v>565</v>
      </c>
      <c r="D42" s="593" t="s">
        <v>560</v>
      </c>
      <c r="E42" s="594">
        <v>30</v>
      </c>
      <c r="F42" s="88"/>
    </row>
    <row r="43" spans="2:6">
      <c r="B43" s="594">
        <v>7</v>
      </c>
      <c r="C43" s="100" t="s">
        <v>566</v>
      </c>
      <c r="D43" s="593" t="s">
        <v>560</v>
      </c>
      <c r="E43" s="594">
        <v>30</v>
      </c>
      <c r="F43" s="88"/>
    </row>
    <row r="44" spans="2:6">
      <c r="B44" s="88"/>
      <c r="C44" s="88"/>
      <c r="D44" s="100" t="s">
        <v>198</v>
      </c>
      <c r="E44" s="100">
        <v>100</v>
      </c>
      <c r="F44" s="88"/>
    </row>
  </sheetData>
  <mergeCells count="17">
    <mergeCell ref="B25:B36"/>
    <mergeCell ref="E25:E36"/>
    <mergeCell ref="B37:B43"/>
    <mergeCell ref="D37:D43"/>
    <mergeCell ref="E37:E43"/>
    <mergeCell ref="B12:B21"/>
    <mergeCell ref="D12:D21"/>
    <mergeCell ref="E12:E21"/>
    <mergeCell ref="B22:B23"/>
    <mergeCell ref="D22:D23"/>
    <mergeCell ref="E22:E23"/>
    <mergeCell ref="B4:B7"/>
    <mergeCell ref="D4:D7"/>
    <mergeCell ref="E4:E7"/>
    <mergeCell ref="B8:B11"/>
    <mergeCell ref="D8:D11"/>
    <mergeCell ref="E8:E1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7739B-7F5B-4BF6-9601-2AC222CADF51}">
  <sheetPr codeName="Sheet15"/>
  <dimension ref="B2:F7"/>
  <sheetViews>
    <sheetView workbookViewId="0">
      <selection activeCell="F5" sqref="F5"/>
    </sheetView>
  </sheetViews>
  <sheetFormatPr defaultRowHeight="14.4"/>
  <sheetData>
    <row r="2" spans="2:6">
      <c r="D2" t="s">
        <v>627</v>
      </c>
      <c r="E2" s="219">
        <v>0.3</v>
      </c>
    </row>
    <row r="3" spans="2:6">
      <c r="B3" t="s">
        <v>623</v>
      </c>
      <c r="C3">
        <v>50</v>
      </c>
    </row>
    <row r="4" spans="2:6">
      <c r="B4" t="s">
        <v>624</v>
      </c>
      <c r="C4">
        <v>25000</v>
      </c>
      <c r="D4">
        <f>C4*1.18</f>
        <v>29500</v>
      </c>
      <c r="E4">
        <f>D4+(D4*$E$2)</f>
        <v>38350</v>
      </c>
    </row>
    <row r="5" spans="2:6">
      <c r="B5" t="s">
        <v>625</v>
      </c>
      <c r="C5">
        <v>300000</v>
      </c>
      <c r="D5">
        <f>C5*1.18</f>
        <v>354000</v>
      </c>
      <c r="E5">
        <f>D5+(D5*$E$2)</f>
        <v>460200</v>
      </c>
      <c r="F5">
        <f>36*F6</f>
        <v>1440000</v>
      </c>
    </row>
    <row r="6" spans="2:6">
      <c r="B6" t="s">
        <v>626</v>
      </c>
      <c r="C6">
        <f>C5/12</f>
        <v>25000</v>
      </c>
      <c r="D6">
        <f>C6*1.18</f>
        <v>29500</v>
      </c>
      <c r="E6">
        <f>D6+(D6*$E$2)</f>
        <v>38350</v>
      </c>
      <c r="F6">
        <v>40000</v>
      </c>
    </row>
    <row r="7" spans="2:6">
      <c r="B7" t="s">
        <v>628</v>
      </c>
      <c r="C7">
        <f>C6/C3</f>
        <v>500</v>
      </c>
      <c r="D7">
        <f>C7*1.18</f>
        <v>590</v>
      </c>
      <c r="E7">
        <f>D7+(D7*$E$2)</f>
        <v>767</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96293-E03C-408B-BA50-6B773C915355}">
  <sheetPr codeName="Sheet16"/>
  <dimension ref="A1:O33"/>
  <sheetViews>
    <sheetView topLeftCell="A28" workbookViewId="0">
      <selection activeCell="H38" sqref="H38"/>
    </sheetView>
  </sheetViews>
  <sheetFormatPr defaultRowHeight="14.4"/>
  <cols>
    <col min="13" max="13" width="13.21875" bestFit="1" customWidth="1"/>
    <col min="14" max="14" width="17.77734375" bestFit="1" customWidth="1"/>
    <col min="15" max="15" width="19" bestFit="1" customWidth="1"/>
  </cols>
  <sheetData>
    <row r="1" spans="1:8" ht="40.799999999999997" thickBot="1">
      <c r="A1" s="116" t="s">
        <v>570</v>
      </c>
      <c r="B1" s="116" t="s">
        <v>100</v>
      </c>
      <c r="C1" s="116" t="s">
        <v>634</v>
      </c>
      <c r="D1" s="116" t="s">
        <v>635</v>
      </c>
      <c r="E1" s="117" t="s">
        <v>636</v>
      </c>
      <c r="F1" s="117" t="s">
        <v>637</v>
      </c>
      <c r="G1" s="116" t="s">
        <v>638</v>
      </c>
      <c r="H1" s="116" t="s">
        <v>639</v>
      </c>
    </row>
    <row r="2" spans="1:8" ht="27.6" thickBot="1">
      <c r="A2" s="118">
        <v>1</v>
      </c>
      <c r="B2" s="116" t="s">
        <v>640</v>
      </c>
      <c r="C2" s="116" t="s">
        <v>185</v>
      </c>
      <c r="D2" s="118">
        <v>16</v>
      </c>
      <c r="E2" s="117">
        <v>32</v>
      </c>
      <c r="F2" s="117">
        <f>1.27*1024</f>
        <v>1300.48</v>
      </c>
      <c r="G2" s="116" t="s">
        <v>641</v>
      </c>
      <c r="H2" s="119" t="s">
        <v>642</v>
      </c>
    </row>
    <row r="3" spans="1:8" ht="27.6" thickBot="1">
      <c r="A3" s="118">
        <v>2</v>
      </c>
      <c r="B3" s="116" t="s">
        <v>643</v>
      </c>
      <c r="C3" s="116" t="s">
        <v>185</v>
      </c>
      <c r="D3" s="118">
        <v>8</v>
      </c>
      <c r="E3" s="117">
        <v>64</v>
      </c>
      <c r="F3" s="117">
        <f>3.42*1024</f>
        <v>3502.08</v>
      </c>
      <c r="G3" s="116" t="s">
        <v>641</v>
      </c>
      <c r="H3" s="119" t="s">
        <v>642</v>
      </c>
    </row>
    <row r="4" spans="1:8" ht="27.6" thickBot="1">
      <c r="A4" s="118">
        <v>3</v>
      </c>
      <c r="B4" s="116" t="s">
        <v>644</v>
      </c>
      <c r="C4" s="116" t="s">
        <v>185</v>
      </c>
      <c r="D4" s="118">
        <v>4</v>
      </c>
      <c r="E4" s="117">
        <v>32</v>
      </c>
      <c r="F4" s="117">
        <v>470</v>
      </c>
      <c r="G4" s="116" t="s">
        <v>641</v>
      </c>
      <c r="H4" s="119" t="s">
        <v>642</v>
      </c>
    </row>
    <row r="5" spans="1:8" ht="27.6" thickBot="1">
      <c r="A5" s="118">
        <v>4</v>
      </c>
      <c r="B5" s="116" t="s">
        <v>645</v>
      </c>
      <c r="C5" s="116" t="s">
        <v>185</v>
      </c>
      <c r="D5" s="118">
        <v>4</v>
      </c>
      <c r="E5" s="117">
        <v>16</v>
      </c>
      <c r="F5" s="117">
        <v>105.33</v>
      </c>
      <c r="G5" s="116" t="s">
        <v>641</v>
      </c>
      <c r="H5" s="119" t="s">
        <v>642</v>
      </c>
    </row>
    <row r="6" spans="1:8" ht="27.6" thickBot="1">
      <c r="A6" s="118">
        <v>5</v>
      </c>
      <c r="B6" s="116" t="s">
        <v>646</v>
      </c>
      <c r="C6" s="116" t="s">
        <v>185</v>
      </c>
      <c r="D6" s="118">
        <v>2</v>
      </c>
      <c r="E6" s="117">
        <v>32</v>
      </c>
      <c r="F6" s="117">
        <f>2.2*1024</f>
        <v>2252.8000000000002</v>
      </c>
      <c r="G6" s="116" t="s">
        <v>641</v>
      </c>
      <c r="H6" s="119" t="s">
        <v>642</v>
      </c>
    </row>
    <row r="7" spans="1:8" ht="27.6" thickBot="1">
      <c r="A7" s="118">
        <v>6</v>
      </c>
      <c r="B7" s="116" t="s">
        <v>647</v>
      </c>
      <c r="C7" s="116" t="s">
        <v>185</v>
      </c>
      <c r="D7" s="118">
        <v>8</v>
      </c>
      <c r="E7" s="117">
        <v>64</v>
      </c>
      <c r="F7" s="117">
        <v>800</v>
      </c>
      <c r="G7" s="116" t="s">
        <v>641</v>
      </c>
      <c r="H7" s="119" t="s">
        <v>642</v>
      </c>
    </row>
    <row r="8" spans="1:8" ht="27.6" thickBot="1">
      <c r="A8" s="118">
        <v>7</v>
      </c>
      <c r="B8" s="116" t="s">
        <v>648</v>
      </c>
      <c r="C8" s="116" t="s">
        <v>185</v>
      </c>
      <c r="D8" s="118">
        <v>8</v>
      </c>
      <c r="E8" s="117">
        <v>32</v>
      </c>
      <c r="F8" s="117">
        <f>4.25*1024</f>
        <v>4352</v>
      </c>
      <c r="G8" s="116" t="s">
        <v>641</v>
      </c>
      <c r="H8" s="119" t="s">
        <v>642</v>
      </c>
    </row>
    <row r="9" spans="1:8" ht="27.6" thickBot="1">
      <c r="A9" s="118">
        <v>8</v>
      </c>
      <c r="B9" s="116" t="s">
        <v>649</v>
      </c>
      <c r="C9" s="116" t="s">
        <v>185</v>
      </c>
      <c r="D9" s="118">
        <v>4</v>
      </c>
      <c r="E9" s="117">
        <v>32</v>
      </c>
      <c r="F9" s="117">
        <v>600</v>
      </c>
      <c r="G9" s="116" t="s">
        <v>641</v>
      </c>
      <c r="H9" s="119" t="s">
        <v>642</v>
      </c>
    </row>
    <row r="10" spans="1:8" ht="27.6" thickBot="1">
      <c r="A10" s="118">
        <v>9</v>
      </c>
      <c r="B10" s="116" t="s">
        <v>650</v>
      </c>
      <c r="C10" s="116" t="s">
        <v>185</v>
      </c>
      <c r="D10" s="118">
        <v>4</v>
      </c>
      <c r="E10" s="117">
        <v>64</v>
      </c>
      <c r="F10" s="117">
        <v>900</v>
      </c>
      <c r="G10" s="116" t="s">
        <v>641</v>
      </c>
      <c r="H10" s="119" t="s">
        <v>642</v>
      </c>
    </row>
    <row r="11" spans="1:8" ht="27.6" thickBot="1">
      <c r="A11" s="118">
        <v>10</v>
      </c>
      <c r="B11" s="116" t="s">
        <v>651</v>
      </c>
      <c r="C11" s="116" t="s">
        <v>185</v>
      </c>
      <c r="D11" s="118">
        <v>4</v>
      </c>
      <c r="E11" s="117">
        <v>32</v>
      </c>
      <c r="F11" s="117">
        <f>1.22*1024</f>
        <v>1249.28</v>
      </c>
      <c r="G11" s="116" t="s">
        <v>641</v>
      </c>
      <c r="H11" s="119" t="s">
        <v>642</v>
      </c>
    </row>
    <row r="12" spans="1:8" ht="27.6" thickBot="1">
      <c r="A12" s="118">
        <v>11</v>
      </c>
      <c r="B12" s="116" t="s">
        <v>652</v>
      </c>
      <c r="C12" s="116" t="s">
        <v>185</v>
      </c>
      <c r="D12" s="118">
        <v>8</v>
      </c>
      <c r="E12" s="117">
        <v>64</v>
      </c>
      <c r="F12" s="117">
        <f>2.56*1024</f>
        <v>2621.44</v>
      </c>
      <c r="G12" s="116" t="s">
        <v>641</v>
      </c>
      <c r="H12" s="119" t="s">
        <v>642</v>
      </c>
    </row>
    <row r="13" spans="1:8" ht="27.6" thickBot="1">
      <c r="A13" s="118">
        <v>12</v>
      </c>
      <c r="B13" s="116" t="s">
        <v>653</v>
      </c>
      <c r="C13" s="116" t="s">
        <v>185</v>
      </c>
      <c r="D13" s="118">
        <v>8</v>
      </c>
      <c r="E13" s="117">
        <v>16</v>
      </c>
      <c r="F13" s="117">
        <v>100</v>
      </c>
      <c r="G13" s="116" t="s">
        <v>641</v>
      </c>
      <c r="H13" s="119" t="s">
        <v>642</v>
      </c>
    </row>
    <row r="14" spans="1:8" ht="27.6" thickBot="1">
      <c r="A14" s="118">
        <v>13</v>
      </c>
      <c r="B14" s="116" t="s">
        <v>654</v>
      </c>
      <c r="C14" s="116" t="s">
        <v>185</v>
      </c>
      <c r="D14" s="118">
        <v>4</v>
      </c>
      <c r="E14" s="117">
        <v>64</v>
      </c>
      <c r="F14" s="117">
        <f>2.73*1024</f>
        <v>2795.52</v>
      </c>
      <c r="G14" s="116" t="s">
        <v>641</v>
      </c>
      <c r="H14" s="119" t="s">
        <v>642</v>
      </c>
    </row>
    <row r="15" spans="1:8" ht="27.6" thickBot="1">
      <c r="A15" s="118">
        <v>14</v>
      </c>
      <c r="B15" s="116" t="s">
        <v>655</v>
      </c>
      <c r="C15" s="116" t="s">
        <v>185</v>
      </c>
      <c r="D15" s="118">
        <v>4</v>
      </c>
      <c r="E15" s="117">
        <v>16</v>
      </c>
      <c r="F15" s="117">
        <f>8.11*1024</f>
        <v>8304.64</v>
      </c>
      <c r="G15" s="116" t="s">
        <v>641</v>
      </c>
      <c r="H15" s="119" t="s">
        <v>642</v>
      </c>
    </row>
    <row r="16" spans="1:8" ht="27.6" thickBot="1">
      <c r="A16" s="118">
        <v>15</v>
      </c>
      <c r="B16" s="116" t="s">
        <v>656</v>
      </c>
      <c r="C16" s="116" t="s">
        <v>185</v>
      </c>
      <c r="D16" s="118">
        <v>4</v>
      </c>
      <c r="E16" s="117">
        <v>32</v>
      </c>
      <c r="F16" s="117">
        <v>600.30999999999995</v>
      </c>
      <c r="G16" s="116" t="s">
        <v>641</v>
      </c>
      <c r="H16" s="119" t="s">
        <v>642</v>
      </c>
    </row>
    <row r="17" spans="1:8" ht="27.6" thickBot="1">
      <c r="A17" s="118">
        <v>16</v>
      </c>
      <c r="B17" s="116" t="s">
        <v>657</v>
      </c>
      <c r="C17" s="116" t="s">
        <v>185</v>
      </c>
      <c r="D17" s="118">
        <v>8</v>
      </c>
      <c r="E17" s="117">
        <v>64</v>
      </c>
      <c r="F17" s="117">
        <v>900</v>
      </c>
      <c r="G17" s="116" t="s">
        <v>641</v>
      </c>
      <c r="H17" s="119" t="s">
        <v>642</v>
      </c>
    </row>
    <row r="18" spans="1:8" ht="27.6" thickBot="1">
      <c r="A18" s="118">
        <v>17</v>
      </c>
      <c r="B18" s="116" t="s">
        <v>658</v>
      </c>
      <c r="C18" s="116" t="s">
        <v>185</v>
      </c>
      <c r="D18" s="118">
        <v>16</v>
      </c>
      <c r="E18" s="117">
        <v>32</v>
      </c>
      <c r="F18" s="117">
        <f>1.95*1024</f>
        <v>1996.8</v>
      </c>
      <c r="G18" s="116" t="s">
        <v>641</v>
      </c>
      <c r="H18" s="119" t="s">
        <v>642</v>
      </c>
    </row>
    <row r="19" spans="1:8" ht="27.6" thickBot="1">
      <c r="A19" s="118">
        <v>18</v>
      </c>
      <c r="B19" s="116" t="s">
        <v>659</v>
      </c>
      <c r="C19" s="116" t="s">
        <v>185</v>
      </c>
      <c r="D19" s="118">
        <v>8</v>
      </c>
      <c r="E19" s="117">
        <v>32</v>
      </c>
      <c r="F19" s="117">
        <f>2.68*1024</f>
        <v>2744.32</v>
      </c>
      <c r="G19" s="116" t="s">
        <v>641</v>
      </c>
      <c r="H19" s="119" t="s">
        <v>642</v>
      </c>
    </row>
    <row r="20" spans="1:8" ht="27.6" thickBot="1">
      <c r="A20" s="118">
        <v>19</v>
      </c>
      <c r="B20" s="116" t="s">
        <v>660</v>
      </c>
      <c r="C20" s="116" t="s">
        <v>185</v>
      </c>
      <c r="D20" s="118">
        <v>4</v>
      </c>
      <c r="E20" s="117">
        <v>32</v>
      </c>
      <c r="F20" s="117">
        <f>1.5*1024</f>
        <v>1536</v>
      </c>
      <c r="G20" s="116" t="s">
        <v>641</v>
      </c>
      <c r="H20" s="119" t="s">
        <v>642</v>
      </c>
    </row>
    <row r="21" spans="1:8" ht="27.6" thickBot="1">
      <c r="A21" s="118">
        <v>20</v>
      </c>
      <c r="B21" s="116" t="s">
        <v>661</v>
      </c>
      <c r="C21" s="116" t="s">
        <v>185</v>
      </c>
      <c r="D21" s="118">
        <v>2</v>
      </c>
      <c r="E21" s="117">
        <v>16</v>
      </c>
      <c r="F21" s="117">
        <v>150</v>
      </c>
      <c r="G21" s="116" t="s">
        <v>641</v>
      </c>
      <c r="H21" s="119" t="s">
        <v>642</v>
      </c>
    </row>
    <row r="22" spans="1:8" ht="27.6" thickBot="1">
      <c r="A22" s="118">
        <v>21</v>
      </c>
      <c r="B22" s="116" t="s">
        <v>662</v>
      </c>
      <c r="C22" s="116" t="s">
        <v>185</v>
      </c>
      <c r="D22" s="118">
        <v>16</v>
      </c>
      <c r="E22" s="117">
        <v>95</v>
      </c>
      <c r="F22" s="117">
        <f>5.68*1024</f>
        <v>5816.32</v>
      </c>
      <c r="G22" s="116" t="s">
        <v>641</v>
      </c>
      <c r="H22" s="119" t="s">
        <v>642</v>
      </c>
    </row>
    <row r="23" spans="1:8" ht="27.6" thickBot="1">
      <c r="A23" s="118">
        <v>22</v>
      </c>
      <c r="B23" s="116" t="s">
        <v>663</v>
      </c>
      <c r="C23" s="116" t="s">
        <v>185</v>
      </c>
      <c r="D23" s="118">
        <v>16</v>
      </c>
      <c r="E23" s="117">
        <v>95</v>
      </c>
      <c r="F23" s="117">
        <f>6.68*1024</f>
        <v>6840.32</v>
      </c>
      <c r="G23" s="116" t="s">
        <v>641</v>
      </c>
      <c r="H23" s="119" t="s">
        <v>642</v>
      </c>
    </row>
    <row r="24" spans="1:8" ht="27.6" thickBot="1">
      <c r="A24" s="118">
        <v>23</v>
      </c>
      <c r="B24" s="116" t="s">
        <v>664</v>
      </c>
      <c r="C24" s="116" t="s">
        <v>185</v>
      </c>
      <c r="D24" s="118">
        <v>2</v>
      </c>
      <c r="E24" s="117">
        <v>8</v>
      </c>
      <c r="F24" s="117">
        <v>150</v>
      </c>
      <c r="G24" s="116" t="s">
        <v>641</v>
      </c>
      <c r="H24" s="119" t="s">
        <v>642</v>
      </c>
    </row>
    <row r="25" spans="1:8" ht="27.6" thickBot="1">
      <c r="A25" s="120">
        <v>24</v>
      </c>
      <c r="B25" s="121" t="s">
        <v>665</v>
      </c>
      <c r="C25" s="121" t="s">
        <v>666</v>
      </c>
      <c r="D25" s="120">
        <v>4</v>
      </c>
      <c r="E25" s="122">
        <v>32</v>
      </c>
      <c r="F25" s="123">
        <f>1*1024</f>
        <v>1024</v>
      </c>
      <c r="G25" s="121" t="s">
        <v>667</v>
      </c>
      <c r="H25" s="124" t="s">
        <v>642</v>
      </c>
    </row>
    <row r="26" spans="1:8" ht="27.6" thickBot="1">
      <c r="A26" s="120">
        <v>25</v>
      </c>
      <c r="B26" s="121" t="s">
        <v>668</v>
      </c>
      <c r="C26" s="121" t="s">
        <v>666</v>
      </c>
      <c r="D26" s="120">
        <v>16</v>
      </c>
      <c r="E26" s="122">
        <v>256</v>
      </c>
      <c r="F26" s="123">
        <f>3*1024</f>
        <v>3072</v>
      </c>
      <c r="G26" s="121" t="s">
        <v>667</v>
      </c>
      <c r="H26" s="124" t="s">
        <v>669</v>
      </c>
    </row>
    <row r="27" spans="1:8" ht="27.6" thickBot="1">
      <c r="A27" s="120">
        <v>26</v>
      </c>
      <c r="B27" s="121" t="s">
        <v>670</v>
      </c>
      <c r="C27" s="121" t="s">
        <v>666</v>
      </c>
      <c r="D27" s="120">
        <v>12</v>
      </c>
      <c r="E27" s="122">
        <v>64</v>
      </c>
      <c r="F27" s="123">
        <f>1*1024</f>
        <v>1024</v>
      </c>
      <c r="G27" s="121" t="s">
        <v>667</v>
      </c>
      <c r="H27" s="124" t="s">
        <v>671</v>
      </c>
    </row>
    <row r="28" spans="1:8" ht="27.6" thickBot="1">
      <c r="A28" s="125">
        <v>27</v>
      </c>
      <c r="B28" s="126" t="s">
        <v>672</v>
      </c>
      <c r="C28" s="126" t="s">
        <v>666</v>
      </c>
      <c r="D28" s="125">
        <v>12</v>
      </c>
      <c r="E28" s="127">
        <v>32</v>
      </c>
      <c r="F28" s="128">
        <f>1*1024</f>
        <v>1024</v>
      </c>
      <c r="G28" s="126" t="s">
        <v>144</v>
      </c>
      <c r="H28" s="129" t="s">
        <v>669</v>
      </c>
    </row>
    <row r="29" spans="1:8" ht="27.6" thickBot="1">
      <c r="A29" s="118">
        <v>28</v>
      </c>
      <c r="B29" s="116" t="s">
        <v>673</v>
      </c>
      <c r="C29" s="116" t="s">
        <v>666</v>
      </c>
      <c r="D29" s="118">
        <v>4</v>
      </c>
      <c r="E29" s="130">
        <v>32</v>
      </c>
      <c r="F29" s="117">
        <f>1*1024</f>
        <v>1024</v>
      </c>
      <c r="G29" s="116" t="s">
        <v>641</v>
      </c>
      <c r="H29" s="119" t="s">
        <v>642</v>
      </c>
    </row>
    <row r="30" spans="1:8" ht="27.6" thickBot="1">
      <c r="A30" s="125">
        <v>29</v>
      </c>
      <c r="B30" s="126" t="s">
        <v>674</v>
      </c>
      <c r="C30" s="126" t="s">
        <v>666</v>
      </c>
      <c r="D30" s="125">
        <v>4</v>
      </c>
      <c r="E30" s="127">
        <v>32</v>
      </c>
      <c r="F30" s="128">
        <v>300</v>
      </c>
      <c r="G30" s="126" t="s">
        <v>144</v>
      </c>
      <c r="H30" s="129" t="s">
        <v>669</v>
      </c>
    </row>
    <row r="31" spans="1:8" ht="27.6" thickBot="1">
      <c r="A31" s="125">
        <v>30</v>
      </c>
      <c r="B31" s="126" t="s">
        <v>675</v>
      </c>
      <c r="C31" s="126" t="s">
        <v>666</v>
      </c>
      <c r="D31" s="125">
        <v>12</v>
      </c>
      <c r="E31" s="127">
        <v>32</v>
      </c>
      <c r="F31" s="128">
        <f>2.1*1024</f>
        <v>2150.4</v>
      </c>
      <c r="G31" s="126" t="s">
        <v>144</v>
      </c>
      <c r="H31" s="129" t="s">
        <v>669</v>
      </c>
    </row>
    <row r="32" spans="1:8" ht="27.6" thickBot="1">
      <c r="A32" s="125">
        <v>31</v>
      </c>
      <c r="B32" s="126" t="s">
        <v>676</v>
      </c>
      <c r="C32" s="126" t="s">
        <v>666</v>
      </c>
      <c r="D32" s="125">
        <v>12</v>
      </c>
      <c r="E32" s="127">
        <v>32</v>
      </c>
      <c r="F32" s="128">
        <f>2.1*1024</f>
        <v>2150.4</v>
      </c>
      <c r="G32" s="126" t="s">
        <v>144</v>
      </c>
      <c r="H32" s="129" t="s">
        <v>669</v>
      </c>
    </row>
    <row r="33" spans="4:15">
      <c r="D33">
        <f>SUM(D2:D32)</f>
        <v>238</v>
      </c>
      <c r="L33" s="56"/>
      <c r="M33" s="56"/>
      <c r="N33" s="56"/>
      <c r="O33" s="56"/>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3DDC6-99A9-4285-96E5-B0268746D45F}">
  <dimension ref="B1:I21"/>
  <sheetViews>
    <sheetView workbookViewId="0">
      <selection activeCell="I8" sqref="I8"/>
    </sheetView>
  </sheetViews>
  <sheetFormatPr defaultRowHeight="14.4"/>
  <cols>
    <col min="2" max="2" width="6.77734375" bestFit="1" customWidth="1"/>
    <col min="3" max="3" width="31" customWidth="1"/>
    <col min="5" max="5" width="8.21875" bestFit="1" customWidth="1"/>
    <col min="6" max="6" width="19.21875" customWidth="1"/>
    <col min="7" max="7" width="12.21875" bestFit="1" customWidth="1"/>
    <col min="8" max="8" width="15" bestFit="1" customWidth="1"/>
  </cols>
  <sheetData>
    <row r="1" spans="2:9" ht="15" thickBot="1"/>
    <row r="2" spans="2:9" ht="15" thickBot="1">
      <c r="B2" s="302" t="s">
        <v>570</v>
      </c>
      <c r="C2" s="303" t="s">
        <v>132</v>
      </c>
      <c r="D2" s="303" t="s">
        <v>206</v>
      </c>
      <c r="E2" s="303" t="s">
        <v>969</v>
      </c>
      <c r="F2" s="303" t="s">
        <v>970</v>
      </c>
      <c r="G2" s="303" t="s">
        <v>971</v>
      </c>
    </row>
    <row r="3" spans="2:9" ht="15" thickBot="1">
      <c r="B3" s="304">
        <v>1</v>
      </c>
      <c r="C3" s="305" t="s">
        <v>972</v>
      </c>
      <c r="D3" s="305" t="s">
        <v>973</v>
      </c>
      <c r="E3" s="305" t="s">
        <v>974</v>
      </c>
      <c r="F3" s="307">
        <v>126000</v>
      </c>
      <c r="G3" s="305" t="s">
        <v>1362</v>
      </c>
      <c r="H3" s="403" t="s">
        <v>624</v>
      </c>
    </row>
    <row r="4" spans="2:9" ht="29.4" thickBot="1">
      <c r="B4" s="304">
        <v>2</v>
      </c>
      <c r="C4" s="305" t="s">
        <v>975</v>
      </c>
      <c r="D4" s="305" t="s">
        <v>976</v>
      </c>
      <c r="E4" s="306">
        <v>160000</v>
      </c>
      <c r="F4" s="307">
        <v>325000</v>
      </c>
      <c r="G4" s="305" t="s">
        <v>624</v>
      </c>
      <c r="H4" s="403" t="s">
        <v>624</v>
      </c>
    </row>
    <row r="5" spans="2:9" ht="15" thickBot="1">
      <c r="B5" s="404">
        <v>3</v>
      </c>
      <c r="C5" s="405" t="s">
        <v>977</v>
      </c>
      <c r="D5" s="405" t="s">
        <v>976</v>
      </c>
      <c r="E5" s="406">
        <v>21000</v>
      </c>
      <c r="F5" s="407">
        <f>42000</f>
        <v>42000</v>
      </c>
      <c r="G5" s="405" t="s">
        <v>626</v>
      </c>
      <c r="H5" s="308"/>
    </row>
    <row r="6" spans="2:9" ht="15" thickBot="1">
      <c r="B6" s="304">
        <v>4</v>
      </c>
      <c r="C6" s="305" t="s">
        <v>978</v>
      </c>
      <c r="D6" s="305" t="s">
        <v>976</v>
      </c>
      <c r="E6" s="306">
        <v>18000</v>
      </c>
      <c r="F6" s="307">
        <v>36000</v>
      </c>
      <c r="G6" s="305" t="s">
        <v>1362</v>
      </c>
      <c r="H6" s="403" t="s">
        <v>624</v>
      </c>
    </row>
    <row r="7" spans="2:9" ht="29.4" thickBot="1">
      <c r="B7" s="304">
        <v>5</v>
      </c>
      <c r="C7" s="305" t="s">
        <v>979</v>
      </c>
      <c r="D7" s="305" t="s">
        <v>980</v>
      </c>
      <c r="E7" s="306">
        <v>50000</v>
      </c>
      <c r="F7" s="307">
        <v>200000</v>
      </c>
      <c r="G7" s="305" t="s">
        <v>1362</v>
      </c>
      <c r="H7" s="408" t="s">
        <v>624</v>
      </c>
    </row>
    <row r="8" spans="2:9" ht="15" thickBot="1">
      <c r="B8" s="404">
        <v>6</v>
      </c>
      <c r="C8" s="405" t="s">
        <v>1339</v>
      </c>
      <c r="D8" s="405">
        <v>28</v>
      </c>
      <c r="E8" s="405">
        <v>15500</v>
      </c>
      <c r="F8" s="407">
        <f>D8*E8</f>
        <v>434000</v>
      </c>
      <c r="G8" s="405" t="s">
        <v>626</v>
      </c>
      <c r="H8" s="308">
        <f>F3+F4+F6+F7</f>
        <v>687000</v>
      </c>
      <c r="I8">
        <f>H8/8</f>
        <v>85875</v>
      </c>
    </row>
    <row r="10" spans="2:9">
      <c r="F10" s="308">
        <f>SUM(F3:F8)</f>
        <v>1163000</v>
      </c>
      <c r="H10" t="s">
        <v>1149</v>
      </c>
    </row>
    <row r="11" spans="2:9">
      <c r="G11" s="308">
        <f>F8+F5</f>
        <v>476000</v>
      </c>
      <c r="H11" s="308">
        <f>G11*60</f>
        <v>28560000</v>
      </c>
    </row>
    <row r="12" spans="2:9">
      <c r="E12" t="s">
        <v>1337</v>
      </c>
      <c r="F12" s="308">
        <f>SUM(F3,F4,F6,F7)</f>
        <v>687000</v>
      </c>
      <c r="G12" s="308">
        <f>(F5*1.15)+F8</f>
        <v>482300</v>
      </c>
    </row>
    <row r="13" spans="2:9">
      <c r="C13" t="s">
        <v>468</v>
      </c>
      <c r="D13">
        <v>2</v>
      </c>
      <c r="E13">
        <v>800</v>
      </c>
      <c r="F13">
        <f t="shared" ref="F13:F19" si="0">E13*D13</f>
        <v>1600</v>
      </c>
    </row>
    <row r="14" spans="2:9">
      <c r="C14" t="s">
        <v>680</v>
      </c>
      <c r="D14">
        <v>2</v>
      </c>
      <c r="E14">
        <v>800</v>
      </c>
      <c r="F14">
        <f t="shared" si="0"/>
        <v>1600</v>
      </c>
    </row>
    <row r="15" spans="2:9">
      <c r="C15" t="s">
        <v>497</v>
      </c>
      <c r="D15">
        <v>2</v>
      </c>
      <c r="E15">
        <v>800</v>
      </c>
      <c r="F15">
        <f t="shared" si="0"/>
        <v>1600</v>
      </c>
    </row>
    <row r="16" spans="2:9">
      <c r="C16" t="s">
        <v>1335</v>
      </c>
      <c r="D16">
        <v>1</v>
      </c>
      <c r="E16">
        <v>800</v>
      </c>
      <c r="F16">
        <f t="shared" si="0"/>
        <v>800</v>
      </c>
    </row>
    <row r="17" spans="3:8">
      <c r="C17" t="s">
        <v>79</v>
      </c>
      <c r="D17">
        <v>8</v>
      </c>
      <c r="E17">
        <v>1600</v>
      </c>
      <c r="F17">
        <f t="shared" si="0"/>
        <v>12800</v>
      </c>
    </row>
    <row r="18" spans="3:8">
      <c r="C18" t="s">
        <v>1336</v>
      </c>
      <c r="D18">
        <v>1</v>
      </c>
      <c r="E18">
        <v>1600</v>
      </c>
      <c r="F18">
        <f t="shared" si="0"/>
        <v>1600</v>
      </c>
    </row>
    <row r="19" spans="3:8">
      <c r="C19" t="s">
        <v>471</v>
      </c>
      <c r="D19">
        <v>3</v>
      </c>
      <c r="E19">
        <v>800</v>
      </c>
      <c r="F19">
        <f t="shared" si="0"/>
        <v>2400</v>
      </c>
    </row>
    <row r="20" spans="3:8">
      <c r="F20">
        <f>SUM(F13:F19)</f>
        <v>22400</v>
      </c>
    </row>
    <row r="21" spans="3:8">
      <c r="G21" t="s">
        <v>1338</v>
      </c>
      <c r="H21">
        <f>18000*28</f>
        <v>504000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A7782-8DE4-4D56-984F-0686BC59B3B8}">
  <dimension ref="A1:EO1217"/>
  <sheetViews>
    <sheetView topLeftCell="A69" zoomScale="115" zoomScaleNormal="115" workbookViewId="0">
      <selection activeCell="D9" sqref="D9"/>
    </sheetView>
  </sheetViews>
  <sheetFormatPr defaultColWidth="10" defaultRowHeight="13.8"/>
  <cols>
    <col min="1" max="1" width="6.5546875" style="452" bestFit="1" customWidth="1"/>
    <col min="2" max="2" width="48.77734375" style="453" bestFit="1" customWidth="1"/>
    <col min="3" max="3" width="6.77734375" style="424" bestFit="1" customWidth="1"/>
    <col min="4" max="4" width="12.21875" style="424" bestFit="1" customWidth="1"/>
    <col min="5" max="5" width="11.77734375" style="454" bestFit="1" customWidth="1"/>
    <col min="6" max="6" width="12.21875" style="424" bestFit="1" customWidth="1"/>
    <col min="7" max="7" width="9" style="454" bestFit="1" customWidth="1"/>
    <col min="8" max="8" width="16" style="454" bestFit="1" customWidth="1"/>
    <col min="9" max="9" width="14.5546875" style="423" bestFit="1" customWidth="1"/>
    <col min="10" max="10" width="7" style="423" bestFit="1" customWidth="1"/>
    <col min="11" max="145" width="10" style="423"/>
    <col min="146" max="16384" width="10" style="424"/>
  </cols>
  <sheetData>
    <row r="1" spans="1:145" s="416" customFormat="1">
      <c r="A1" s="414"/>
      <c r="B1" s="415"/>
      <c r="E1" s="417"/>
      <c r="G1" s="417"/>
      <c r="H1" s="417"/>
    </row>
    <row r="2" spans="1:145" s="416" customFormat="1">
      <c r="A2" s="414"/>
      <c r="B2" s="415"/>
      <c r="C2" s="414"/>
      <c r="D2" s="414"/>
      <c r="E2" s="417">
        <v>0</v>
      </c>
      <c r="F2" s="414"/>
      <c r="G2" s="418">
        <v>0</v>
      </c>
      <c r="H2" s="417"/>
    </row>
    <row r="3" spans="1:145" s="419" customFormat="1" ht="16.5" customHeight="1">
      <c r="A3" s="599" t="s">
        <v>1033</v>
      </c>
      <c r="B3" s="600"/>
      <c r="C3" s="600"/>
      <c r="D3" s="600"/>
      <c r="E3" s="600"/>
      <c r="F3" s="600"/>
      <c r="G3" s="600"/>
      <c r="H3" s="600"/>
      <c r="I3" s="416"/>
      <c r="J3" s="416"/>
      <c r="K3" s="416"/>
      <c r="L3" s="416"/>
      <c r="M3" s="416"/>
      <c r="N3" s="416"/>
      <c r="O3" s="416"/>
      <c r="P3" s="416"/>
      <c r="Q3" s="416"/>
      <c r="R3" s="416"/>
      <c r="S3" s="416"/>
      <c r="T3" s="416"/>
      <c r="U3" s="416"/>
      <c r="V3" s="416"/>
      <c r="W3" s="416"/>
      <c r="X3" s="416"/>
      <c r="Y3" s="416"/>
      <c r="Z3" s="416"/>
      <c r="AA3" s="416"/>
      <c r="AB3" s="416"/>
      <c r="AC3" s="416"/>
      <c r="AD3" s="416"/>
      <c r="AE3" s="416"/>
      <c r="AF3" s="416"/>
      <c r="AG3" s="416"/>
      <c r="AH3" s="416"/>
      <c r="AI3" s="416"/>
      <c r="AJ3" s="416"/>
      <c r="AK3" s="416"/>
      <c r="AL3" s="416"/>
      <c r="AM3" s="416"/>
      <c r="AN3" s="416"/>
      <c r="AO3" s="416"/>
      <c r="AP3" s="416"/>
      <c r="AQ3" s="416"/>
      <c r="AR3" s="416"/>
      <c r="AS3" s="416"/>
      <c r="AT3" s="416"/>
      <c r="AU3" s="416"/>
      <c r="AV3" s="416"/>
      <c r="AW3" s="416"/>
      <c r="AX3" s="416"/>
      <c r="AY3" s="416"/>
      <c r="AZ3" s="416"/>
      <c r="BA3" s="416"/>
      <c r="BB3" s="416"/>
      <c r="BC3" s="416"/>
      <c r="BD3" s="416"/>
      <c r="BE3" s="416"/>
      <c r="BF3" s="416"/>
      <c r="BG3" s="416"/>
      <c r="BH3" s="416"/>
      <c r="BI3" s="416"/>
      <c r="BJ3" s="416"/>
      <c r="BK3" s="416"/>
      <c r="BL3" s="416"/>
      <c r="BM3" s="416"/>
      <c r="BN3" s="416"/>
      <c r="BO3" s="416"/>
      <c r="BP3" s="416"/>
      <c r="BQ3" s="416"/>
      <c r="BR3" s="416"/>
      <c r="BS3" s="416"/>
      <c r="BT3" s="416"/>
      <c r="BU3" s="416"/>
      <c r="BV3" s="416"/>
      <c r="BW3" s="416"/>
      <c r="BX3" s="416"/>
      <c r="BY3" s="416"/>
      <c r="BZ3" s="416"/>
      <c r="CA3" s="416"/>
      <c r="CB3" s="416"/>
      <c r="CC3" s="416"/>
      <c r="CD3" s="416"/>
      <c r="CE3" s="416"/>
      <c r="CF3" s="416"/>
      <c r="CG3" s="416"/>
      <c r="CH3" s="416"/>
      <c r="CI3" s="416"/>
      <c r="CJ3" s="416"/>
      <c r="CK3" s="416"/>
      <c r="CL3" s="416"/>
      <c r="CM3" s="416"/>
      <c r="CN3" s="416"/>
      <c r="CO3" s="416"/>
      <c r="CP3" s="416"/>
      <c r="CQ3" s="416"/>
      <c r="CR3" s="416"/>
      <c r="CS3" s="416"/>
      <c r="CT3" s="416"/>
      <c r="CU3" s="416"/>
      <c r="CV3" s="416"/>
      <c r="CW3" s="416"/>
      <c r="CX3" s="416"/>
      <c r="CY3" s="416"/>
      <c r="CZ3" s="416"/>
      <c r="DA3" s="416"/>
      <c r="DB3" s="416"/>
      <c r="DC3" s="416"/>
      <c r="DD3" s="416"/>
      <c r="DE3" s="416"/>
      <c r="DF3" s="416"/>
      <c r="DG3" s="416"/>
      <c r="DH3" s="416"/>
      <c r="DI3" s="416"/>
      <c r="DJ3" s="416"/>
      <c r="DK3" s="416"/>
      <c r="DL3" s="416"/>
      <c r="DM3" s="416"/>
      <c r="DN3" s="416"/>
      <c r="DO3" s="416"/>
      <c r="DP3" s="416"/>
      <c r="DQ3" s="416"/>
      <c r="DR3" s="416"/>
      <c r="DS3" s="416"/>
      <c r="DT3" s="416"/>
      <c r="DU3" s="416"/>
      <c r="DV3" s="416"/>
      <c r="DW3" s="416"/>
      <c r="DX3" s="416"/>
      <c r="DY3" s="416"/>
      <c r="DZ3" s="416"/>
      <c r="EA3" s="416"/>
      <c r="EB3" s="416"/>
      <c r="EC3" s="416"/>
      <c r="ED3" s="416"/>
      <c r="EE3" s="416"/>
      <c r="EF3" s="416"/>
      <c r="EG3" s="416"/>
      <c r="EH3" s="416"/>
      <c r="EI3" s="416"/>
      <c r="EJ3" s="416"/>
      <c r="EK3" s="416"/>
      <c r="EL3" s="416"/>
      <c r="EM3" s="416"/>
      <c r="EN3" s="416"/>
      <c r="EO3" s="416"/>
    </row>
    <row r="4" spans="1:145" ht="27.6">
      <c r="A4" s="420"/>
      <c r="B4" s="421" t="s">
        <v>1034</v>
      </c>
      <c r="C4" s="422" t="s">
        <v>1035</v>
      </c>
      <c r="D4" s="422" t="s">
        <v>1036</v>
      </c>
      <c r="E4" s="422" t="s">
        <v>1037</v>
      </c>
      <c r="F4" s="422" t="s">
        <v>1036</v>
      </c>
      <c r="G4" s="422" t="s">
        <v>1038</v>
      </c>
      <c r="H4" s="422" t="s">
        <v>1039</v>
      </c>
    </row>
    <row r="5" spans="1:145">
      <c r="A5" s="425" t="s">
        <v>1040</v>
      </c>
      <c r="B5" s="426" t="s">
        <v>1041</v>
      </c>
      <c r="C5" s="427">
        <v>1</v>
      </c>
      <c r="D5" s="428">
        <v>162</v>
      </c>
      <c r="E5" s="429">
        <v>0</v>
      </c>
      <c r="F5" s="428">
        <f t="shared" ref="F5:F18" si="0">(D5-(D5*E5%))</f>
        <v>162</v>
      </c>
      <c r="G5" s="429">
        <f>(F5*$G$2)</f>
        <v>0</v>
      </c>
      <c r="H5" s="430">
        <f t="shared" ref="H5:H18" si="1">F5+G5</f>
        <v>162</v>
      </c>
    </row>
    <row r="6" spans="1:145">
      <c r="A6" s="425" t="s">
        <v>1040</v>
      </c>
      <c r="B6" s="426" t="s">
        <v>1042</v>
      </c>
      <c r="C6" s="431">
        <v>1</v>
      </c>
      <c r="D6" s="428">
        <v>162</v>
      </c>
      <c r="E6" s="429">
        <v>0</v>
      </c>
      <c r="F6" s="428">
        <f t="shared" si="0"/>
        <v>162</v>
      </c>
      <c r="G6" s="429">
        <f t="shared" ref="G6:G81" si="2">(F6*$G$2)</f>
        <v>0</v>
      </c>
      <c r="H6" s="430">
        <f t="shared" si="1"/>
        <v>162</v>
      </c>
    </row>
    <row r="7" spans="1:145">
      <c r="A7" s="425" t="s">
        <v>1040</v>
      </c>
      <c r="B7" s="426" t="s">
        <v>949</v>
      </c>
      <c r="C7" s="431">
        <v>1</v>
      </c>
      <c r="D7" s="428">
        <v>2</v>
      </c>
      <c r="E7" s="429">
        <v>0</v>
      </c>
      <c r="F7" s="428">
        <f t="shared" si="0"/>
        <v>2</v>
      </c>
      <c r="G7" s="429">
        <f t="shared" si="2"/>
        <v>0</v>
      </c>
      <c r="H7" s="430">
        <f t="shared" si="1"/>
        <v>2</v>
      </c>
    </row>
    <row r="8" spans="1:145">
      <c r="A8" s="425" t="s">
        <v>1040</v>
      </c>
      <c r="B8" s="426" t="s">
        <v>1043</v>
      </c>
      <c r="C8" s="431">
        <v>1</v>
      </c>
      <c r="D8" s="428">
        <v>3</v>
      </c>
      <c r="E8" s="429">
        <v>0</v>
      </c>
      <c r="F8" s="428">
        <f t="shared" si="0"/>
        <v>3</v>
      </c>
      <c r="G8" s="429">
        <f t="shared" si="2"/>
        <v>0</v>
      </c>
      <c r="H8" s="430">
        <f t="shared" si="1"/>
        <v>3</v>
      </c>
    </row>
    <row r="9" spans="1:145">
      <c r="A9" s="425" t="s">
        <v>1040</v>
      </c>
      <c r="B9" s="426" t="s">
        <v>1044</v>
      </c>
      <c r="C9" s="431">
        <v>1</v>
      </c>
      <c r="D9" s="428">
        <v>3</v>
      </c>
      <c r="E9" s="429">
        <v>0</v>
      </c>
      <c r="F9" s="428">
        <f t="shared" si="0"/>
        <v>3</v>
      </c>
      <c r="G9" s="429">
        <f t="shared" si="2"/>
        <v>0</v>
      </c>
      <c r="H9" s="430">
        <f t="shared" si="1"/>
        <v>3</v>
      </c>
    </row>
    <row r="10" spans="1:145">
      <c r="A10" s="425" t="s">
        <v>1040</v>
      </c>
      <c r="B10" s="426" t="s">
        <v>1045</v>
      </c>
      <c r="C10" s="431">
        <v>1</v>
      </c>
      <c r="D10" s="428">
        <v>9</v>
      </c>
      <c r="E10" s="429">
        <v>0</v>
      </c>
      <c r="F10" s="428">
        <f t="shared" si="0"/>
        <v>9</v>
      </c>
      <c r="G10" s="429">
        <f t="shared" si="2"/>
        <v>0</v>
      </c>
      <c r="H10" s="430">
        <f t="shared" si="1"/>
        <v>9</v>
      </c>
    </row>
    <row r="11" spans="1:145">
      <c r="A11" s="425" t="s">
        <v>1040</v>
      </c>
      <c r="B11" s="426" t="s">
        <v>1046</v>
      </c>
      <c r="C11" s="431">
        <v>1</v>
      </c>
      <c r="D11" s="428">
        <v>20</v>
      </c>
      <c r="E11" s="429">
        <v>0</v>
      </c>
      <c r="F11" s="428">
        <f t="shared" si="0"/>
        <v>20</v>
      </c>
      <c r="G11" s="429">
        <f t="shared" si="2"/>
        <v>0</v>
      </c>
      <c r="H11" s="430">
        <f t="shared" si="1"/>
        <v>20</v>
      </c>
    </row>
    <row r="12" spans="1:145">
      <c r="A12" s="425" t="s">
        <v>1040</v>
      </c>
      <c r="B12" s="426" t="s">
        <v>1047</v>
      </c>
      <c r="C12" s="432">
        <v>1</v>
      </c>
      <c r="D12" s="428">
        <v>2000</v>
      </c>
      <c r="E12" s="429">
        <v>0</v>
      </c>
      <c r="F12" s="428">
        <f t="shared" si="0"/>
        <v>2000</v>
      </c>
      <c r="G12" s="429">
        <f t="shared" si="2"/>
        <v>0</v>
      </c>
      <c r="H12" s="430">
        <f t="shared" si="1"/>
        <v>2000</v>
      </c>
    </row>
    <row r="13" spans="1:145">
      <c r="A13" s="425" t="s">
        <v>1040</v>
      </c>
      <c r="B13" s="426" t="s">
        <v>1048</v>
      </c>
      <c r="C13" s="432">
        <v>1</v>
      </c>
      <c r="D13" s="428">
        <v>3000</v>
      </c>
      <c r="E13" s="429">
        <v>0</v>
      </c>
      <c r="F13" s="428">
        <f t="shared" si="0"/>
        <v>3000</v>
      </c>
      <c r="G13" s="429">
        <f t="shared" si="2"/>
        <v>0</v>
      </c>
      <c r="H13" s="430">
        <f t="shared" si="1"/>
        <v>3000</v>
      </c>
    </row>
    <row r="14" spans="1:145">
      <c r="A14" s="425" t="s">
        <v>1040</v>
      </c>
      <c r="B14" s="426" t="s">
        <v>1049</v>
      </c>
      <c r="C14" s="432">
        <v>1</v>
      </c>
      <c r="D14" s="428">
        <v>4000</v>
      </c>
      <c r="E14" s="429">
        <v>0</v>
      </c>
      <c r="F14" s="428">
        <f t="shared" si="0"/>
        <v>4000</v>
      </c>
      <c r="G14" s="429">
        <f t="shared" si="2"/>
        <v>0</v>
      </c>
      <c r="H14" s="430">
        <f t="shared" si="1"/>
        <v>4000</v>
      </c>
    </row>
    <row r="15" spans="1:145">
      <c r="A15" s="425" t="s">
        <v>1040</v>
      </c>
      <c r="B15" s="426" t="s">
        <v>1050</v>
      </c>
      <c r="C15" s="431">
        <v>1</v>
      </c>
      <c r="D15" s="428">
        <v>3.17</v>
      </c>
      <c r="E15" s="429">
        <v>0</v>
      </c>
      <c r="F15" s="428">
        <f t="shared" si="0"/>
        <v>3.17</v>
      </c>
      <c r="G15" s="429">
        <f t="shared" si="2"/>
        <v>0</v>
      </c>
      <c r="H15" s="430">
        <f t="shared" si="1"/>
        <v>3.17</v>
      </c>
    </row>
    <row r="16" spans="1:145">
      <c r="A16" s="425" t="s">
        <v>1040</v>
      </c>
      <c r="B16" s="426" t="s">
        <v>1051</v>
      </c>
      <c r="C16" s="431">
        <v>1</v>
      </c>
      <c r="D16" s="428">
        <v>2</v>
      </c>
      <c r="E16" s="429">
        <v>0</v>
      </c>
      <c r="F16" s="428">
        <f t="shared" si="0"/>
        <v>2</v>
      </c>
      <c r="G16" s="429">
        <f t="shared" si="2"/>
        <v>0</v>
      </c>
      <c r="H16" s="430">
        <f t="shared" si="1"/>
        <v>2</v>
      </c>
    </row>
    <row r="17" spans="1:8">
      <c r="A17" s="425" t="s">
        <v>1040</v>
      </c>
      <c r="B17" s="426" t="s">
        <v>1052</v>
      </c>
      <c r="C17" s="431">
        <v>1</v>
      </c>
      <c r="D17" s="428">
        <v>3.5</v>
      </c>
      <c r="E17" s="429">
        <v>0</v>
      </c>
      <c r="F17" s="428">
        <f t="shared" si="0"/>
        <v>3.5</v>
      </c>
      <c r="G17" s="429">
        <f t="shared" si="2"/>
        <v>0</v>
      </c>
      <c r="H17" s="430">
        <f t="shared" si="1"/>
        <v>3.5</v>
      </c>
    </row>
    <row r="18" spans="1:8">
      <c r="A18" s="425" t="s">
        <v>1040</v>
      </c>
      <c r="B18" s="426" t="s">
        <v>1052</v>
      </c>
      <c r="C18" s="432">
        <v>1</v>
      </c>
      <c r="D18" s="428">
        <v>4000</v>
      </c>
      <c r="E18" s="429">
        <v>0</v>
      </c>
      <c r="F18" s="428">
        <f t="shared" si="0"/>
        <v>4000</v>
      </c>
      <c r="G18" s="429">
        <f t="shared" si="2"/>
        <v>0</v>
      </c>
      <c r="H18" s="430">
        <f t="shared" si="1"/>
        <v>4000</v>
      </c>
    </row>
    <row r="19" spans="1:8" ht="27.6">
      <c r="A19" s="420" t="s">
        <v>1053</v>
      </c>
      <c r="B19" s="421" t="s">
        <v>1054</v>
      </c>
      <c r="C19" s="422" t="s">
        <v>1035</v>
      </c>
      <c r="D19" s="422" t="s">
        <v>1036</v>
      </c>
      <c r="E19" s="422" t="s">
        <v>1037</v>
      </c>
      <c r="F19" s="422" t="s">
        <v>1036</v>
      </c>
      <c r="G19" s="422" t="s">
        <v>627</v>
      </c>
      <c r="H19" s="433" t="s">
        <v>1055</v>
      </c>
    </row>
    <row r="20" spans="1:8">
      <c r="A20" s="425" t="s">
        <v>82</v>
      </c>
      <c r="B20" s="434" t="s">
        <v>1056</v>
      </c>
      <c r="C20" s="427">
        <v>1</v>
      </c>
      <c r="D20" s="428">
        <v>700</v>
      </c>
      <c r="E20" s="429">
        <v>0</v>
      </c>
      <c r="F20" s="428">
        <f>(D20-(D20*E20%))</f>
        <v>700</v>
      </c>
      <c r="G20" s="429">
        <f t="shared" si="2"/>
        <v>0</v>
      </c>
      <c r="H20" s="430">
        <f>F20+G20</f>
        <v>700</v>
      </c>
    </row>
    <row r="21" spans="1:8">
      <c r="A21" s="425" t="s">
        <v>82</v>
      </c>
      <c r="B21" s="434" t="s">
        <v>1057</v>
      </c>
      <c r="C21" s="427">
        <v>1</v>
      </c>
      <c r="D21" s="435" t="s">
        <v>1058</v>
      </c>
      <c r="E21" s="436" t="s">
        <v>1058</v>
      </c>
      <c r="F21" s="436" t="s">
        <v>1058</v>
      </c>
      <c r="G21" s="436" t="s">
        <v>1058</v>
      </c>
      <c r="H21" s="437" t="s">
        <v>1058</v>
      </c>
    </row>
    <row r="22" spans="1:8">
      <c r="A22" s="438" t="s">
        <v>950</v>
      </c>
      <c r="B22" s="439" t="s">
        <v>1059</v>
      </c>
      <c r="C22" s="427">
        <v>1</v>
      </c>
      <c r="D22" s="440">
        <v>17914</v>
      </c>
      <c r="E22" s="429">
        <v>0</v>
      </c>
      <c r="F22" s="428">
        <f t="shared" ref="F22:F29" si="3">(D22-(D22*E22%))</f>
        <v>17914</v>
      </c>
      <c r="G22" s="429">
        <f t="shared" si="2"/>
        <v>0</v>
      </c>
      <c r="H22" s="430">
        <f t="shared" ref="H22:H29" si="4">F22+G22</f>
        <v>17914</v>
      </c>
    </row>
    <row r="23" spans="1:8">
      <c r="A23" s="438" t="s">
        <v>950</v>
      </c>
      <c r="B23" s="439" t="s">
        <v>1060</v>
      </c>
      <c r="C23" s="427">
        <v>1</v>
      </c>
      <c r="D23" s="440">
        <v>38306</v>
      </c>
      <c r="E23" s="429">
        <v>0</v>
      </c>
      <c r="F23" s="428">
        <f t="shared" si="3"/>
        <v>38306</v>
      </c>
      <c r="G23" s="429">
        <f t="shared" si="2"/>
        <v>0</v>
      </c>
      <c r="H23" s="430">
        <f t="shared" si="4"/>
        <v>38306</v>
      </c>
    </row>
    <row r="24" spans="1:8">
      <c r="A24" s="438" t="s">
        <v>950</v>
      </c>
      <c r="B24" s="439" t="s">
        <v>1061</v>
      </c>
      <c r="C24" s="427">
        <v>1</v>
      </c>
      <c r="D24" s="440">
        <v>180952</v>
      </c>
      <c r="E24" s="429">
        <v>0</v>
      </c>
      <c r="F24" s="428">
        <f t="shared" si="3"/>
        <v>180952</v>
      </c>
      <c r="G24" s="429">
        <f t="shared" si="2"/>
        <v>0</v>
      </c>
      <c r="H24" s="430">
        <f t="shared" si="4"/>
        <v>180952</v>
      </c>
    </row>
    <row r="25" spans="1:8">
      <c r="A25" s="438" t="s">
        <v>950</v>
      </c>
      <c r="B25" s="439" t="s">
        <v>1062</v>
      </c>
      <c r="C25" s="427">
        <v>1</v>
      </c>
      <c r="D25" s="440">
        <v>90000</v>
      </c>
      <c r="E25" s="429">
        <v>0</v>
      </c>
      <c r="F25" s="428">
        <f t="shared" si="3"/>
        <v>90000</v>
      </c>
      <c r="G25" s="429">
        <f t="shared" si="2"/>
        <v>0</v>
      </c>
      <c r="H25" s="430">
        <f t="shared" si="4"/>
        <v>90000</v>
      </c>
    </row>
    <row r="26" spans="1:8">
      <c r="A26" s="438" t="s">
        <v>950</v>
      </c>
      <c r="B26" s="439" t="s">
        <v>191</v>
      </c>
      <c r="C26" s="427">
        <v>1</v>
      </c>
      <c r="D26" s="440">
        <v>5100</v>
      </c>
      <c r="E26" s="429">
        <v>0</v>
      </c>
      <c r="F26" s="428">
        <f t="shared" si="3"/>
        <v>5100</v>
      </c>
      <c r="G26" s="429">
        <f t="shared" si="2"/>
        <v>0</v>
      </c>
      <c r="H26" s="430">
        <f t="shared" si="4"/>
        <v>5100</v>
      </c>
    </row>
    <row r="27" spans="1:8">
      <c r="A27" s="425" t="s">
        <v>82</v>
      </c>
      <c r="B27" s="439" t="s">
        <v>1063</v>
      </c>
      <c r="C27" s="427">
        <v>1</v>
      </c>
      <c r="D27" s="440">
        <v>1000</v>
      </c>
      <c r="E27" s="429">
        <v>0</v>
      </c>
      <c r="F27" s="428">
        <f t="shared" si="3"/>
        <v>1000</v>
      </c>
      <c r="G27" s="429">
        <f t="shared" si="2"/>
        <v>0</v>
      </c>
      <c r="H27" s="430">
        <f t="shared" si="4"/>
        <v>1000</v>
      </c>
    </row>
    <row r="28" spans="1:8">
      <c r="A28" s="425" t="s">
        <v>82</v>
      </c>
      <c r="B28" s="439" t="s">
        <v>1064</v>
      </c>
      <c r="C28" s="427">
        <v>1</v>
      </c>
      <c r="D28" s="440">
        <v>2200</v>
      </c>
      <c r="E28" s="429">
        <v>0</v>
      </c>
      <c r="F28" s="428">
        <f t="shared" si="3"/>
        <v>2200</v>
      </c>
      <c r="G28" s="429">
        <f t="shared" si="2"/>
        <v>0</v>
      </c>
      <c r="H28" s="430">
        <f t="shared" si="4"/>
        <v>2200</v>
      </c>
    </row>
    <row r="29" spans="1:8">
      <c r="A29" s="425" t="s">
        <v>950</v>
      </c>
      <c r="B29" s="439" t="s">
        <v>1065</v>
      </c>
      <c r="C29" s="427">
        <v>1</v>
      </c>
      <c r="D29" s="440">
        <v>200</v>
      </c>
      <c r="E29" s="429">
        <v>0</v>
      </c>
      <c r="F29" s="428">
        <f t="shared" si="3"/>
        <v>200</v>
      </c>
      <c r="G29" s="429">
        <f t="shared" si="2"/>
        <v>0</v>
      </c>
      <c r="H29" s="430">
        <f t="shared" si="4"/>
        <v>200</v>
      </c>
    </row>
    <row r="30" spans="1:8" ht="27.6">
      <c r="A30" s="420" t="s">
        <v>1053</v>
      </c>
      <c r="B30" s="421" t="s">
        <v>1066</v>
      </c>
      <c r="C30" s="422" t="s">
        <v>1035</v>
      </c>
      <c r="D30" s="422" t="s">
        <v>1036</v>
      </c>
      <c r="E30" s="422" t="s">
        <v>1037</v>
      </c>
      <c r="F30" s="422" t="s">
        <v>1036</v>
      </c>
      <c r="G30" s="422" t="s">
        <v>627</v>
      </c>
      <c r="H30" s="433" t="s">
        <v>1055</v>
      </c>
    </row>
    <row r="31" spans="1:8">
      <c r="A31" s="438" t="s">
        <v>215</v>
      </c>
      <c r="B31" s="439" t="s">
        <v>1067</v>
      </c>
      <c r="C31" s="427">
        <v>1</v>
      </c>
      <c r="D31" s="440">
        <v>26500</v>
      </c>
      <c r="E31" s="429">
        <v>0</v>
      </c>
      <c r="F31" s="428">
        <f t="shared" ref="F31:F48" si="5">(D31-(D31*E31%))</f>
        <v>26500</v>
      </c>
      <c r="G31" s="429">
        <f t="shared" si="2"/>
        <v>0</v>
      </c>
      <c r="H31" s="430">
        <f t="shared" ref="H31:H48" si="6">F31+G31</f>
        <v>26500</v>
      </c>
    </row>
    <row r="32" spans="1:8">
      <c r="A32" s="438" t="s">
        <v>215</v>
      </c>
      <c r="B32" s="439" t="s">
        <v>1068</v>
      </c>
      <c r="C32" s="427">
        <v>1</v>
      </c>
      <c r="D32" s="440">
        <v>15000</v>
      </c>
      <c r="E32" s="429">
        <v>0</v>
      </c>
      <c r="F32" s="428">
        <f t="shared" si="5"/>
        <v>15000</v>
      </c>
      <c r="G32" s="429">
        <f t="shared" si="2"/>
        <v>0</v>
      </c>
      <c r="H32" s="430">
        <f t="shared" si="6"/>
        <v>15000</v>
      </c>
    </row>
    <row r="33" spans="1:145">
      <c r="A33" s="438" t="s">
        <v>215</v>
      </c>
      <c r="B33" s="441" t="s">
        <v>1069</v>
      </c>
      <c r="C33" s="427">
        <v>1</v>
      </c>
      <c r="D33" s="440">
        <v>16500</v>
      </c>
      <c r="E33" s="429">
        <v>0</v>
      </c>
      <c r="F33" s="428">
        <f t="shared" si="5"/>
        <v>16500</v>
      </c>
      <c r="G33" s="429">
        <f t="shared" si="2"/>
        <v>0</v>
      </c>
      <c r="H33" s="430">
        <f t="shared" si="6"/>
        <v>16500</v>
      </c>
    </row>
    <row r="34" spans="1:145">
      <c r="A34" s="438" t="s">
        <v>215</v>
      </c>
      <c r="B34" s="439" t="s">
        <v>1070</v>
      </c>
      <c r="C34" s="427">
        <v>1</v>
      </c>
      <c r="D34" s="440">
        <v>61333</v>
      </c>
      <c r="E34" s="429">
        <v>0</v>
      </c>
      <c r="F34" s="428">
        <f t="shared" si="5"/>
        <v>61333</v>
      </c>
      <c r="G34" s="429">
        <f t="shared" si="2"/>
        <v>0</v>
      </c>
      <c r="H34" s="430">
        <f t="shared" si="6"/>
        <v>61333</v>
      </c>
      <c r="I34" s="423" t="s">
        <v>1071</v>
      </c>
      <c r="Q34" s="424"/>
      <c r="R34" s="424"/>
      <c r="S34" s="424"/>
      <c r="T34" s="424"/>
      <c r="U34" s="424"/>
      <c r="V34" s="424"/>
      <c r="W34" s="424"/>
      <c r="X34" s="424"/>
      <c r="Y34" s="424"/>
      <c r="Z34" s="424"/>
      <c r="AA34" s="424"/>
      <c r="AB34" s="424"/>
      <c r="AC34" s="424"/>
      <c r="AD34" s="424"/>
      <c r="AE34" s="424"/>
      <c r="AF34" s="424"/>
      <c r="AG34" s="424"/>
      <c r="AH34" s="424"/>
      <c r="AI34" s="424"/>
      <c r="AJ34" s="424"/>
      <c r="AK34" s="424"/>
      <c r="AL34" s="424"/>
      <c r="AM34" s="424"/>
      <c r="AN34" s="424"/>
      <c r="AO34" s="424"/>
      <c r="AP34" s="424"/>
      <c r="AQ34" s="424"/>
      <c r="AR34" s="424"/>
      <c r="AS34" s="424"/>
      <c r="AT34" s="424"/>
      <c r="AU34" s="424"/>
      <c r="AV34" s="424"/>
      <c r="AW34" s="424"/>
      <c r="AX34" s="424"/>
      <c r="AY34" s="424"/>
      <c r="AZ34" s="424"/>
      <c r="BA34" s="424"/>
      <c r="BB34" s="424"/>
      <c r="BC34" s="424"/>
      <c r="BD34" s="424"/>
      <c r="BE34" s="424"/>
      <c r="BF34" s="424"/>
      <c r="BG34" s="424"/>
      <c r="BH34" s="424"/>
      <c r="BI34" s="424"/>
      <c r="BJ34" s="424"/>
      <c r="BK34" s="424"/>
      <c r="BL34" s="424"/>
      <c r="BM34" s="424"/>
      <c r="BN34" s="424"/>
      <c r="BO34" s="424"/>
      <c r="BP34" s="424"/>
      <c r="BQ34" s="424"/>
      <c r="BR34" s="424"/>
      <c r="BS34" s="424"/>
      <c r="BT34" s="424"/>
      <c r="BU34" s="424"/>
      <c r="BV34" s="424"/>
      <c r="BW34" s="424"/>
      <c r="BX34" s="424"/>
      <c r="BY34" s="424"/>
      <c r="BZ34" s="424"/>
      <c r="CA34" s="424"/>
      <c r="CB34" s="424"/>
      <c r="CC34" s="424"/>
      <c r="CD34" s="424"/>
      <c r="CE34" s="424"/>
      <c r="CF34" s="424"/>
      <c r="CG34" s="424"/>
      <c r="CH34" s="424"/>
      <c r="CI34" s="424"/>
      <c r="CJ34" s="424"/>
      <c r="CK34" s="424"/>
      <c r="CL34" s="424"/>
      <c r="CM34" s="424"/>
      <c r="CN34" s="424"/>
      <c r="CO34" s="424"/>
      <c r="CP34" s="424"/>
      <c r="CQ34" s="424"/>
      <c r="CR34" s="424"/>
      <c r="CS34" s="424"/>
      <c r="CT34" s="424"/>
      <c r="CU34" s="424"/>
      <c r="CV34" s="424"/>
      <c r="CW34" s="424"/>
      <c r="CX34" s="424"/>
      <c r="CY34" s="424"/>
      <c r="CZ34" s="424"/>
      <c r="DA34" s="424"/>
      <c r="DB34" s="424"/>
      <c r="DC34" s="424"/>
      <c r="DD34" s="424"/>
      <c r="DE34" s="424"/>
      <c r="DF34" s="424"/>
      <c r="DG34" s="424"/>
      <c r="DH34" s="424"/>
      <c r="DI34" s="424"/>
      <c r="DJ34" s="424"/>
      <c r="DK34" s="424"/>
      <c r="DL34" s="424"/>
      <c r="DM34" s="424"/>
      <c r="DN34" s="424"/>
      <c r="DO34" s="424"/>
      <c r="DP34" s="424"/>
      <c r="DQ34" s="424"/>
      <c r="DR34" s="424"/>
      <c r="DS34" s="424"/>
      <c r="DT34" s="424"/>
      <c r="DU34" s="424"/>
      <c r="DV34" s="424"/>
      <c r="DW34" s="424"/>
      <c r="DX34" s="424"/>
      <c r="DY34" s="424"/>
      <c r="DZ34" s="424"/>
      <c r="EA34" s="424"/>
      <c r="EB34" s="424"/>
      <c r="EC34" s="424"/>
      <c r="ED34" s="424"/>
      <c r="EE34" s="424"/>
      <c r="EF34" s="424"/>
      <c r="EG34" s="424"/>
      <c r="EH34" s="424"/>
      <c r="EI34" s="424"/>
      <c r="EJ34" s="424"/>
      <c r="EK34" s="424"/>
      <c r="EL34" s="424"/>
      <c r="EM34" s="424"/>
      <c r="EN34" s="424"/>
      <c r="EO34" s="424"/>
    </row>
    <row r="35" spans="1:145">
      <c r="A35" s="438" t="s">
        <v>215</v>
      </c>
      <c r="B35" s="439" t="s">
        <v>1072</v>
      </c>
      <c r="C35" s="427">
        <v>1</v>
      </c>
      <c r="D35" s="440">
        <v>4200</v>
      </c>
      <c r="E35" s="429">
        <v>0</v>
      </c>
      <c r="F35" s="428">
        <f t="shared" si="5"/>
        <v>4200</v>
      </c>
      <c r="G35" s="429">
        <f t="shared" si="2"/>
        <v>0</v>
      </c>
      <c r="H35" s="430">
        <f t="shared" si="6"/>
        <v>4200</v>
      </c>
      <c r="Q35" s="424"/>
      <c r="R35" s="424"/>
      <c r="S35" s="424"/>
      <c r="T35" s="424"/>
      <c r="U35" s="424"/>
      <c r="V35" s="424"/>
      <c r="W35" s="424"/>
      <c r="X35" s="424"/>
      <c r="Y35" s="424"/>
      <c r="Z35" s="424"/>
      <c r="AA35" s="424"/>
      <c r="AB35" s="424"/>
      <c r="AC35" s="424"/>
      <c r="AD35" s="424"/>
      <c r="AE35" s="424"/>
      <c r="AF35" s="424"/>
      <c r="AG35" s="424"/>
      <c r="AH35" s="424"/>
      <c r="AI35" s="424"/>
      <c r="AJ35" s="424"/>
      <c r="AK35" s="424"/>
      <c r="AL35" s="424"/>
      <c r="AM35" s="424"/>
      <c r="AN35" s="424"/>
      <c r="AO35" s="424"/>
      <c r="AP35" s="424"/>
      <c r="AQ35" s="424"/>
      <c r="AR35" s="424"/>
      <c r="AS35" s="424"/>
      <c r="AT35" s="424"/>
      <c r="AU35" s="424"/>
      <c r="AV35" s="424"/>
      <c r="AW35" s="424"/>
      <c r="AX35" s="424"/>
      <c r="AY35" s="424"/>
      <c r="AZ35" s="424"/>
      <c r="BA35" s="424"/>
      <c r="BB35" s="424"/>
      <c r="BC35" s="424"/>
      <c r="BD35" s="424"/>
      <c r="BE35" s="424"/>
      <c r="BF35" s="424"/>
      <c r="BG35" s="424"/>
      <c r="BH35" s="424"/>
      <c r="BI35" s="424"/>
      <c r="BJ35" s="424"/>
      <c r="BK35" s="424"/>
      <c r="BL35" s="424"/>
      <c r="BM35" s="424"/>
      <c r="BN35" s="424"/>
      <c r="BO35" s="424"/>
      <c r="BP35" s="424"/>
      <c r="BQ35" s="424"/>
      <c r="BR35" s="424"/>
      <c r="BS35" s="424"/>
      <c r="BT35" s="424"/>
      <c r="BU35" s="424"/>
      <c r="BV35" s="424"/>
      <c r="BW35" s="424"/>
      <c r="BX35" s="424"/>
      <c r="BY35" s="424"/>
      <c r="BZ35" s="424"/>
      <c r="CA35" s="424"/>
      <c r="CB35" s="424"/>
      <c r="CC35" s="424"/>
      <c r="CD35" s="424"/>
      <c r="CE35" s="424"/>
      <c r="CF35" s="424"/>
      <c r="CG35" s="424"/>
      <c r="CH35" s="424"/>
      <c r="CI35" s="424"/>
      <c r="CJ35" s="424"/>
      <c r="CK35" s="424"/>
      <c r="CL35" s="424"/>
      <c r="CM35" s="424"/>
      <c r="CN35" s="424"/>
      <c r="CO35" s="424"/>
      <c r="CP35" s="424"/>
      <c r="CQ35" s="424"/>
      <c r="CR35" s="424"/>
      <c r="CS35" s="424"/>
      <c r="CT35" s="424"/>
      <c r="CU35" s="424"/>
      <c r="CV35" s="424"/>
      <c r="CW35" s="424"/>
      <c r="CX35" s="424"/>
      <c r="CY35" s="424"/>
      <c r="CZ35" s="424"/>
      <c r="DA35" s="424"/>
      <c r="DB35" s="424"/>
      <c r="DC35" s="424"/>
      <c r="DD35" s="424"/>
      <c r="DE35" s="424"/>
      <c r="DF35" s="424"/>
      <c r="DG35" s="424"/>
      <c r="DH35" s="424"/>
      <c r="DI35" s="424"/>
      <c r="DJ35" s="424"/>
      <c r="DK35" s="424"/>
      <c r="DL35" s="424"/>
      <c r="DM35" s="424"/>
      <c r="DN35" s="424"/>
      <c r="DO35" s="424"/>
      <c r="DP35" s="424"/>
      <c r="DQ35" s="424"/>
      <c r="DR35" s="424"/>
      <c r="DS35" s="424"/>
      <c r="DT35" s="424"/>
      <c r="DU35" s="424"/>
      <c r="DV35" s="424"/>
      <c r="DW35" s="424"/>
      <c r="DX35" s="424"/>
      <c r="DY35" s="424"/>
      <c r="DZ35" s="424"/>
      <c r="EA35" s="424"/>
      <c r="EB35" s="424"/>
      <c r="EC35" s="424"/>
      <c r="ED35" s="424"/>
      <c r="EE35" s="424"/>
      <c r="EF35" s="424"/>
      <c r="EG35" s="424"/>
      <c r="EH35" s="424"/>
      <c r="EI35" s="424"/>
      <c r="EJ35" s="424"/>
      <c r="EK35" s="424"/>
      <c r="EL35" s="424"/>
      <c r="EM35" s="424"/>
      <c r="EN35" s="424"/>
      <c r="EO35" s="424"/>
    </row>
    <row r="36" spans="1:145">
      <c r="A36" s="438" t="s">
        <v>215</v>
      </c>
      <c r="B36" s="439" t="s">
        <v>1073</v>
      </c>
      <c r="C36" s="427">
        <v>1</v>
      </c>
      <c r="D36" s="440">
        <v>750</v>
      </c>
      <c r="E36" s="429">
        <v>0</v>
      </c>
      <c r="F36" s="428">
        <f t="shared" si="5"/>
        <v>750</v>
      </c>
      <c r="G36" s="429">
        <f t="shared" si="2"/>
        <v>0</v>
      </c>
      <c r="H36" s="430">
        <f t="shared" si="6"/>
        <v>750</v>
      </c>
      <c r="Q36" s="424"/>
      <c r="R36" s="424"/>
      <c r="S36" s="424"/>
      <c r="T36" s="424"/>
      <c r="U36" s="424"/>
      <c r="V36" s="424"/>
      <c r="W36" s="424"/>
      <c r="X36" s="424"/>
      <c r="Y36" s="424"/>
      <c r="Z36" s="424"/>
      <c r="AA36" s="424"/>
      <c r="AB36" s="424"/>
      <c r="AC36" s="424"/>
      <c r="AD36" s="424"/>
      <c r="AE36" s="424"/>
      <c r="AF36" s="424"/>
      <c r="AG36" s="424"/>
      <c r="AH36" s="424"/>
      <c r="AI36" s="424"/>
      <c r="AJ36" s="424"/>
      <c r="AK36" s="424"/>
      <c r="AL36" s="424"/>
      <c r="AM36" s="424"/>
      <c r="AN36" s="424"/>
      <c r="AO36" s="424"/>
      <c r="AP36" s="424"/>
      <c r="AQ36" s="424"/>
      <c r="AR36" s="424"/>
      <c r="AS36" s="424"/>
      <c r="AT36" s="424"/>
      <c r="AU36" s="424"/>
      <c r="AV36" s="424"/>
      <c r="AW36" s="424"/>
      <c r="AX36" s="424"/>
      <c r="AY36" s="424"/>
      <c r="AZ36" s="424"/>
      <c r="BA36" s="424"/>
      <c r="BB36" s="424"/>
      <c r="BC36" s="424"/>
      <c r="BD36" s="424"/>
      <c r="BE36" s="424"/>
      <c r="BF36" s="424"/>
      <c r="BG36" s="424"/>
      <c r="BH36" s="424"/>
      <c r="BI36" s="424"/>
      <c r="BJ36" s="424"/>
      <c r="BK36" s="424"/>
      <c r="BL36" s="424"/>
      <c r="BM36" s="424"/>
      <c r="BN36" s="424"/>
      <c r="BO36" s="424"/>
      <c r="BP36" s="424"/>
      <c r="BQ36" s="424"/>
      <c r="BR36" s="424"/>
      <c r="BS36" s="424"/>
      <c r="BT36" s="424"/>
      <c r="BU36" s="424"/>
      <c r="BV36" s="424"/>
      <c r="BW36" s="424"/>
      <c r="BX36" s="424"/>
      <c r="BY36" s="424"/>
      <c r="BZ36" s="424"/>
      <c r="CA36" s="424"/>
      <c r="CB36" s="424"/>
      <c r="CC36" s="424"/>
      <c r="CD36" s="424"/>
      <c r="CE36" s="424"/>
      <c r="CF36" s="424"/>
      <c r="CG36" s="424"/>
      <c r="CH36" s="424"/>
      <c r="CI36" s="424"/>
      <c r="CJ36" s="424"/>
      <c r="CK36" s="424"/>
      <c r="CL36" s="424"/>
      <c r="CM36" s="424"/>
      <c r="CN36" s="424"/>
      <c r="CO36" s="424"/>
      <c r="CP36" s="424"/>
      <c r="CQ36" s="424"/>
      <c r="CR36" s="424"/>
      <c r="CS36" s="424"/>
      <c r="CT36" s="424"/>
      <c r="CU36" s="424"/>
      <c r="CV36" s="424"/>
      <c r="CW36" s="424"/>
      <c r="CX36" s="424"/>
      <c r="CY36" s="424"/>
      <c r="CZ36" s="424"/>
      <c r="DA36" s="424"/>
      <c r="DB36" s="424"/>
      <c r="DC36" s="424"/>
      <c r="DD36" s="424"/>
      <c r="DE36" s="424"/>
      <c r="DF36" s="424"/>
      <c r="DG36" s="424"/>
      <c r="DH36" s="424"/>
      <c r="DI36" s="424"/>
      <c r="DJ36" s="424"/>
      <c r="DK36" s="424"/>
      <c r="DL36" s="424"/>
      <c r="DM36" s="424"/>
      <c r="DN36" s="424"/>
      <c r="DO36" s="424"/>
      <c r="DP36" s="424"/>
      <c r="DQ36" s="424"/>
      <c r="DR36" s="424"/>
      <c r="DS36" s="424"/>
      <c r="DT36" s="424"/>
      <c r="DU36" s="424"/>
      <c r="DV36" s="424"/>
      <c r="DW36" s="424"/>
      <c r="DX36" s="424"/>
      <c r="DY36" s="424"/>
      <c r="DZ36" s="424"/>
      <c r="EA36" s="424"/>
      <c r="EB36" s="424"/>
      <c r="EC36" s="424"/>
      <c r="ED36" s="424"/>
      <c r="EE36" s="424"/>
      <c r="EF36" s="424"/>
      <c r="EG36" s="424"/>
      <c r="EH36" s="424"/>
      <c r="EI36" s="424"/>
      <c r="EJ36" s="424"/>
      <c r="EK36" s="424"/>
      <c r="EL36" s="424"/>
      <c r="EM36" s="424"/>
      <c r="EN36" s="424"/>
      <c r="EO36" s="424"/>
    </row>
    <row r="37" spans="1:145">
      <c r="A37" s="438" t="s">
        <v>215</v>
      </c>
      <c r="B37" s="439" t="s">
        <v>1074</v>
      </c>
      <c r="C37" s="427">
        <v>1</v>
      </c>
      <c r="D37" s="440">
        <v>18000</v>
      </c>
      <c r="E37" s="429">
        <v>0</v>
      </c>
      <c r="F37" s="428">
        <f t="shared" si="5"/>
        <v>18000</v>
      </c>
      <c r="G37" s="429">
        <f t="shared" si="2"/>
        <v>0</v>
      </c>
      <c r="H37" s="430">
        <f t="shared" si="6"/>
        <v>18000</v>
      </c>
      <c r="Q37" s="424"/>
      <c r="R37" s="424"/>
      <c r="S37" s="424"/>
      <c r="T37" s="424"/>
      <c r="U37" s="424"/>
      <c r="V37" s="424"/>
      <c r="W37" s="424"/>
      <c r="X37" s="424"/>
      <c r="Y37" s="424"/>
      <c r="Z37" s="424"/>
      <c r="AA37" s="424"/>
      <c r="AB37" s="424"/>
      <c r="AC37" s="424"/>
      <c r="AD37" s="424"/>
      <c r="AE37" s="424"/>
      <c r="AF37" s="424"/>
      <c r="AG37" s="424"/>
      <c r="AH37" s="424"/>
      <c r="AI37" s="424"/>
      <c r="AJ37" s="424"/>
      <c r="AK37" s="424"/>
      <c r="AL37" s="424"/>
      <c r="AM37" s="424"/>
      <c r="AN37" s="424"/>
      <c r="AO37" s="424"/>
      <c r="AP37" s="424"/>
      <c r="AQ37" s="424"/>
      <c r="AR37" s="424"/>
      <c r="AS37" s="424"/>
      <c r="AT37" s="424"/>
      <c r="AU37" s="424"/>
      <c r="AV37" s="424"/>
      <c r="AW37" s="424"/>
      <c r="AX37" s="424"/>
      <c r="AY37" s="424"/>
      <c r="AZ37" s="424"/>
      <c r="BA37" s="424"/>
      <c r="BB37" s="424"/>
      <c r="BC37" s="424"/>
      <c r="BD37" s="424"/>
      <c r="BE37" s="424"/>
      <c r="BF37" s="424"/>
      <c r="BG37" s="424"/>
      <c r="BH37" s="424"/>
      <c r="BI37" s="424"/>
      <c r="BJ37" s="424"/>
      <c r="BK37" s="424"/>
      <c r="BL37" s="424"/>
      <c r="BM37" s="424"/>
      <c r="BN37" s="424"/>
      <c r="BO37" s="424"/>
      <c r="BP37" s="424"/>
      <c r="BQ37" s="424"/>
      <c r="BR37" s="424"/>
      <c r="BS37" s="424"/>
      <c r="BT37" s="424"/>
      <c r="BU37" s="424"/>
      <c r="BV37" s="424"/>
      <c r="BW37" s="424"/>
      <c r="BX37" s="424"/>
      <c r="BY37" s="424"/>
      <c r="BZ37" s="424"/>
      <c r="CA37" s="424"/>
      <c r="CB37" s="424"/>
      <c r="CC37" s="424"/>
      <c r="CD37" s="424"/>
      <c r="CE37" s="424"/>
      <c r="CF37" s="424"/>
      <c r="CG37" s="424"/>
      <c r="CH37" s="424"/>
      <c r="CI37" s="424"/>
      <c r="CJ37" s="424"/>
      <c r="CK37" s="424"/>
      <c r="CL37" s="424"/>
      <c r="CM37" s="424"/>
      <c r="CN37" s="424"/>
      <c r="CO37" s="424"/>
      <c r="CP37" s="424"/>
      <c r="CQ37" s="424"/>
      <c r="CR37" s="424"/>
      <c r="CS37" s="424"/>
      <c r="CT37" s="424"/>
      <c r="CU37" s="424"/>
      <c r="CV37" s="424"/>
      <c r="CW37" s="424"/>
      <c r="CX37" s="424"/>
      <c r="CY37" s="424"/>
      <c r="CZ37" s="424"/>
      <c r="DA37" s="424"/>
      <c r="DB37" s="424"/>
      <c r="DC37" s="424"/>
      <c r="DD37" s="424"/>
      <c r="DE37" s="424"/>
      <c r="DF37" s="424"/>
      <c r="DG37" s="424"/>
      <c r="DH37" s="424"/>
      <c r="DI37" s="424"/>
      <c r="DJ37" s="424"/>
      <c r="DK37" s="424"/>
      <c r="DL37" s="424"/>
      <c r="DM37" s="424"/>
      <c r="DN37" s="424"/>
      <c r="DO37" s="424"/>
      <c r="DP37" s="424"/>
      <c r="DQ37" s="424"/>
      <c r="DR37" s="424"/>
      <c r="DS37" s="424"/>
      <c r="DT37" s="424"/>
      <c r="DU37" s="424"/>
      <c r="DV37" s="424"/>
      <c r="DW37" s="424"/>
      <c r="DX37" s="424"/>
      <c r="DY37" s="424"/>
      <c r="DZ37" s="424"/>
      <c r="EA37" s="424"/>
      <c r="EB37" s="424"/>
      <c r="EC37" s="424"/>
      <c r="ED37" s="424"/>
      <c r="EE37" s="424"/>
      <c r="EF37" s="424"/>
      <c r="EG37" s="424"/>
      <c r="EH37" s="424"/>
      <c r="EI37" s="424"/>
      <c r="EJ37" s="424"/>
      <c r="EK37" s="424"/>
      <c r="EL37" s="424"/>
      <c r="EM37" s="424"/>
      <c r="EN37" s="424"/>
      <c r="EO37" s="424"/>
    </row>
    <row r="38" spans="1:145">
      <c r="A38" s="438" t="s">
        <v>215</v>
      </c>
      <c r="B38" s="442" t="s">
        <v>1075</v>
      </c>
      <c r="C38" s="427">
        <v>1</v>
      </c>
      <c r="D38" s="428">
        <v>1400</v>
      </c>
      <c r="E38" s="429">
        <v>0</v>
      </c>
      <c r="F38" s="428">
        <f t="shared" si="5"/>
        <v>1400</v>
      </c>
      <c r="G38" s="429">
        <f t="shared" si="2"/>
        <v>0</v>
      </c>
      <c r="H38" s="430">
        <f t="shared" si="6"/>
        <v>1400</v>
      </c>
      <c r="Q38" s="424"/>
      <c r="R38" s="424"/>
      <c r="S38" s="424"/>
      <c r="T38" s="424"/>
      <c r="U38" s="424"/>
      <c r="V38" s="424"/>
      <c r="W38" s="424"/>
      <c r="X38" s="424"/>
      <c r="Y38" s="424"/>
      <c r="Z38" s="424"/>
      <c r="AA38" s="424"/>
      <c r="AB38" s="424"/>
      <c r="AC38" s="424"/>
      <c r="AD38" s="424"/>
      <c r="AE38" s="424"/>
      <c r="AF38" s="424"/>
      <c r="AG38" s="424"/>
      <c r="AH38" s="424"/>
      <c r="AI38" s="424"/>
      <c r="AJ38" s="424"/>
      <c r="AK38" s="424"/>
      <c r="AL38" s="424"/>
      <c r="AM38" s="424"/>
      <c r="AN38" s="424"/>
      <c r="AO38" s="424"/>
      <c r="AP38" s="424"/>
      <c r="AQ38" s="424"/>
      <c r="AR38" s="424"/>
      <c r="AS38" s="424"/>
      <c r="AT38" s="424"/>
      <c r="AU38" s="424"/>
      <c r="AV38" s="424"/>
      <c r="AW38" s="424"/>
      <c r="AX38" s="424"/>
      <c r="AY38" s="424"/>
      <c r="AZ38" s="424"/>
      <c r="BA38" s="424"/>
      <c r="BB38" s="424"/>
      <c r="BC38" s="424"/>
      <c r="BD38" s="424"/>
      <c r="BE38" s="424"/>
      <c r="BF38" s="424"/>
      <c r="BG38" s="424"/>
      <c r="BH38" s="424"/>
      <c r="BI38" s="424"/>
      <c r="BJ38" s="424"/>
      <c r="BK38" s="424"/>
      <c r="BL38" s="424"/>
      <c r="BM38" s="424"/>
      <c r="BN38" s="424"/>
      <c r="BO38" s="424"/>
      <c r="BP38" s="424"/>
      <c r="BQ38" s="424"/>
      <c r="BR38" s="424"/>
      <c r="BS38" s="424"/>
      <c r="BT38" s="424"/>
      <c r="BU38" s="424"/>
      <c r="BV38" s="424"/>
      <c r="BW38" s="424"/>
      <c r="BX38" s="424"/>
      <c r="BY38" s="424"/>
      <c r="BZ38" s="424"/>
      <c r="CA38" s="424"/>
      <c r="CB38" s="424"/>
      <c r="CC38" s="424"/>
      <c r="CD38" s="424"/>
      <c r="CE38" s="424"/>
      <c r="CF38" s="424"/>
      <c r="CG38" s="424"/>
      <c r="CH38" s="424"/>
      <c r="CI38" s="424"/>
      <c r="CJ38" s="424"/>
      <c r="CK38" s="424"/>
      <c r="CL38" s="424"/>
      <c r="CM38" s="424"/>
      <c r="CN38" s="424"/>
      <c r="CO38" s="424"/>
      <c r="CP38" s="424"/>
      <c r="CQ38" s="424"/>
      <c r="CR38" s="424"/>
      <c r="CS38" s="424"/>
      <c r="CT38" s="424"/>
      <c r="CU38" s="424"/>
      <c r="CV38" s="424"/>
      <c r="CW38" s="424"/>
      <c r="CX38" s="424"/>
      <c r="CY38" s="424"/>
      <c r="CZ38" s="424"/>
      <c r="DA38" s="424"/>
      <c r="DB38" s="424"/>
      <c r="DC38" s="424"/>
      <c r="DD38" s="424"/>
      <c r="DE38" s="424"/>
      <c r="DF38" s="424"/>
      <c r="DG38" s="424"/>
      <c r="DH38" s="424"/>
      <c r="DI38" s="424"/>
      <c r="DJ38" s="424"/>
      <c r="DK38" s="424"/>
      <c r="DL38" s="424"/>
      <c r="DM38" s="424"/>
      <c r="DN38" s="424"/>
      <c r="DO38" s="424"/>
      <c r="DP38" s="424"/>
      <c r="DQ38" s="424"/>
      <c r="DR38" s="424"/>
      <c r="DS38" s="424"/>
      <c r="DT38" s="424"/>
      <c r="DU38" s="424"/>
      <c r="DV38" s="424"/>
      <c r="DW38" s="424"/>
      <c r="DX38" s="424"/>
      <c r="DY38" s="424"/>
      <c r="DZ38" s="424"/>
      <c r="EA38" s="424"/>
      <c r="EB38" s="424"/>
      <c r="EC38" s="424"/>
      <c r="ED38" s="424"/>
      <c r="EE38" s="424"/>
      <c r="EF38" s="424"/>
      <c r="EG38" s="424"/>
      <c r="EH38" s="424"/>
      <c r="EI38" s="424"/>
      <c r="EJ38" s="424"/>
      <c r="EK38" s="424"/>
      <c r="EL38" s="424"/>
      <c r="EM38" s="424"/>
      <c r="EN38" s="424"/>
      <c r="EO38" s="424"/>
    </row>
    <row r="39" spans="1:145">
      <c r="A39" s="438" t="s">
        <v>215</v>
      </c>
      <c r="B39" s="442" t="s">
        <v>1076</v>
      </c>
      <c r="C39" s="427">
        <v>1</v>
      </c>
      <c r="D39" s="428">
        <v>700</v>
      </c>
      <c r="E39" s="429">
        <v>0</v>
      </c>
      <c r="F39" s="428">
        <f t="shared" si="5"/>
        <v>700</v>
      </c>
      <c r="G39" s="429">
        <f t="shared" si="2"/>
        <v>0</v>
      </c>
      <c r="H39" s="430">
        <f t="shared" si="6"/>
        <v>700</v>
      </c>
      <c r="Q39" s="424"/>
      <c r="R39" s="424"/>
      <c r="S39" s="424"/>
      <c r="T39" s="424"/>
      <c r="U39" s="424"/>
      <c r="V39" s="424"/>
      <c r="W39" s="424"/>
      <c r="X39" s="424"/>
      <c r="Y39" s="424"/>
      <c r="Z39" s="424"/>
      <c r="AA39" s="424"/>
      <c r="AB39" s="424"/>
      <c r="AC39" s="424"/>
      <c r="AD39" s="424"/>
      <c r="AE39" s="424"/>
      <c r="AF39" s="424"/>
      <c r="AG39" s="424"/>
      <c r="AH39" s="424"/>
      <c r="AI39" s="424"/>
      <c r="AJ39" s="424"/>
      <c r="AK39" s="424"/>
      <c r="AL39" s="424"/>
      <c r="AM39" s="424"/>
      <c r="AN39" s="424"/>
      <c r="AO39" s="424"/>
      <c r="AP39" s="424"/>
      <c r="AQ39" s="424"/>
      <c r="AR39" s="424"/>
      <c r="AS39" s="424"/>
      <c r="AT39" s="424"/>
      <c r="AU39" s="424"/>
      <c r="AV39" s="424"/>
      <c r="AW39" s="424"/>
      <c r="AX39" s="424"/>
      <c r="AY39" s="424"/>
      <c r="AZ39" s="424"/>
      <c r="BA39" s="424"/>
      <c r="BB39" s="424"/>
      <c r="BC39" s="424"/>
      <c r="BD39" s="424"/>
      <c r="BE39" s="424"/>
      <c r="BF39" s="424"/>
      <c r="BG39" s="424"/>
      <c r="BH39" s="424"/>
      <c r="BI39" s="424"/>
      <c r="BJ39" s="424"/>
      <c r="BK39" s="424"/>
      <c r="BL39" s="424"/>
      <c r="BM39" s="424"/>
      <c r="BN39" s="424"/>
      <c r="BO39" s="424"/>
      <c r="BP39" s="424"/>
      <c r="BQ39" s="424"/>
      <c r="BR39" s="424"/>
      <c r="BS39" s="424"/>
      <c r="BT39" s="424"/>
      <c r="BU39" s="424"/>
      <c r="BV39" s="424"/>
      <c r="BW39" s="424"/>
      <c r="BX39" s="424"/>
      <c r="BY39" s="424"/>
      <c r="BZ39" s="424"/>
      <c r="CA39" s="424"/>
      <c r="CB39" s="424"/>
      <c r="CC39" s="424"/>
      <c r="CD39" s="424"/>
      <c r="CE39" s="424"/>
      <c r="CF39" s="424"/>
      <c r="CG39" s="424"/>
      <c r="CH39" s="424"/>
      <c r="CI39" s="424"/>
      <c r="CJ39" s="424"/>
      <c r="CK39" s="424"/>
      <c r="CL39" s="424"/>
      <c r="CM39" s="424"/>
      <c r="CN39" s="424"/>
      <c r="CO39" s="424"/>
      <c r="CP39" s="424"/>
      <c r="CQ39" s="424"/>
      <c r="CR39" s="424"/>
      <c r="CS39" s="424"/>
      <c r="CT39" s="424"/>
      <c r="CU39" s="424"/>
      <c r="CV39" s="424"/>
      <c r="CW39" s="424"/>
      <c r="CX39" s="424"/>
      <c r="CY39" s="424"/>
      <c r="CZ39" s="424"/>
      <c r="DA39" s="424"/>
      <c r="DB39" s="424"/>
      <c r="DC39" s="424"/>
      <c r="DD39" s="424"/>
      <c r="DE39" s="424"/>
      <c r="DF39" s="424"/>
      <c r="DG39" s="424"/>
      <c r="DH39" s="424"/>
      <c r="DI39" s="424"/>
      <c r="DJ39" s="424"/>
      <c r="DK39" s="424"/>
      <c r="DL39" s="424"/>
      <c r="DM39" s="424"/>
      <c r="DN39" s="424"/>
      <c r="DO39" s="424"/>
      <c r="DP39" s="424"/>
      <c r="DQ39" s="424"/>
      <c r="DR39" s="424"/>
      <c r="DS39" s="424"/>
      <c r="DT39" s="424"/>
      <c r="DU39" s="424"/>
      <c r="DV39" s="424"/>
      <c r="DW39" s="424"/>
      <c r="DX39" s="424"/>
      <c r="DY39" s="424"/>
      <c r="DZ39" s="424"/>
      <c r="EA39" s="424"/>
      <c r="EB39" s="424"/>
      <c r="EC39" s="424"/>
      <c r="ED39" s="424"/>
      <c r="EE39" s="424"/>
      <c r="EF39" s="424"/>
      <c r="EG39" s="424"/>
      <c r="EH39" s="424"/>
      <c r="EI39" s="424"/>
      <c r="EJ39" s="424"/>
      <c r="EK39" s="424"/>
      <c r="EL39" s="424"/>
      <c r="EM39" s="424"/>
      <c r="EN39" s="424"/>
      <c r="EO39" s="424"/>
    </row>
    <row r="40" spans="1:145">
      <c r="A40" s="438" t="s">
        <v>215</v>
      </c>
      <c r="B40" s="442" t="s">
        <v>1077</v>
      </c>
      <c r="C40" s="427">
        <v>1</v>
      </c>
      <c r="D40" s="428">
        <v>500</v>
      </c>
      <c r="E40" s="429">
        <v>0</v>
      </c>
      <c r="F40" s="428">
        <f t="shared" si="5"/>
        <v>500</v>
      </c>
      <c r="G40" s="429">
        <f t="shared" si="2"/>
        <v>0</v>
      </c>
      <c r="H40" s="430">
        <f t="shared" si="6"/>
        <v>500</v>
      </c>
      <c r="Q40" s="424"/>
      <c r="R40" s="424"/>
      <c r="S40" s="424"/>
      <c r="T40" s="424"/>
      <c r="U40" s="424"/>
      <c r="V40" s="424"/>
      <c r="W40" s="424"/>
      <c r="X40" s="424"/>
      <c r="Y40" s="424"/>
      <c r="Z40" s="424"/>
      <c r="AA40" s="424"/>
      <c r="AB40" s="424"/>
      <c r="AC40" s="424"/>
      <c r="AD40" s="424"/>
      <c r="AE40" s="424"/>
      <c r="AF40" s="424"/>
      <c r="AG40" s="424"/>
      <c r="AH40" s="424"/>
      <c r="AI40" s="424"/>
      <c r="AJ40" s="424"/>
      <c r="AK40" s="424"/>
      <c r="AL40" s="424"/>
      <c r="AM40" s="424"/>
      <c r="AN40" s="424"/>
      <c r="AO40" s="424"/>
      <c r="AP40" s="424"/>
      <c r="AQ40" s="424"/>
      <c r="AR40" s="424"/>
      <c r="AS40" s="424"/>
      <c r="AT40" s="424"/>
      <c r="AU40" s="424"/>
      <c r="AV40" s="424"/>
      <c r="AW40" s="424"/>
      <c r="AX40" s="424"/>
      <c r="AY40" s="424"/>
      <c r="AZ40" s="424"/>
      <c r="BA40" s="424"/>
      <c r="BB40" s="424"/>
      <c r="BC40" s="424"/>
      <c r="BD40" s="424"/>
      <c r="BE40" s="424"/>
      <c r="BF40" s="424"/>
      <c r="BG40" s="424"/>
      <c r="BH40" s="424"/>
      <c r="BI40" s="424"/>
      <c r="BJ40" s="424"/>
      <c r="BK40" s="424"/>
      <c r="BL40" s="424"/>
      <c r="BM40" s="424"/>
      <c r="BN40" s="424"/>
      <c r="BO40" s="424"/>
      <c r="BP40" s="424"/>
      <c r="BQ40" s="424"/>
      <c r="BR40" s="424"/>
      <c r="BS40" s="424"/>
      <c r="BT40" s="424"/>
      <c r="BU40" s="424"/>
      <c r="BV40" s="424"/>
      <c r="BW40" s="424"/>
      <c r="BX40" s="424"/>
      <c r="BY40" s="424"/>
      <c r="BZ40" s="424"/>
      <c r="CA40" s="424"/>
      <c r="CB40" s="424"/>
      <c r="CC40" s="424"/>
      <c r="CD40" s="424"/>
      <c r="CE40" s="424"/>
      <c r="CF40" s="424"/>
      <c r="CG40" s="424"/>
      <c r="CH40" s="424"/>
      <c r="CI40" s="424"/>
      <c r="CJ40" s="424"/>
      <c r="CK40" s="424"/>
      <c r="CL40" s="424"/>
      <c r="CM40" s="424"/>
      <c r="CN40" s="424"/>
      <c r="CO40" s="424"/>
      <c r="CP40" s="424"/>
      <c r="CQ40" s="424"/>
      <c r="CR40" s="424"/>
      <c r="CS40" s="424"/>
      <c r="CT40" s="424"/>
      <c r="CU40" s="424"/>
      <c r="CV40" s="424"/>
      <c r="CW40" s="424"/>
      <c r="CX40" s="424"/>
      <c r="CY40" s="424"/>
      <c r="CZ40" s="424"/>
      <c r="DA40" s="424"/>
      <c r="DB40" s="424"/>
      <c r="DC40" s="424"/>
      <c r="DD40" s="424"/>
      <c r="DE40" s="424"/>
      <c r="DF40" s="424"/>
      <c r="DG40" s="424"/>
      <c r="DH40" s="424"/>
      <c r="DI40" s="424"/>
      <c r="DJ40" s="424"/>
      <c r="DK40" s="424"/>
      <c r="DL40" s="424"/>
      <c r="DM40" s="424"/>
      <c r="DN40" s="424"/>
      <c r="DO40" s="424"/>
      <c r="DP40" s="424"/>
      <c r="DQ40" s="424"/>
      <c r="DR40" s="424"/>
      <c r="DS40" s="424"/>
      <c r="DT40" s="424"/>
      <c r="DU40" s="424"/>
      <c r="DV40" s="424"/>
      <c r="DW40" s="424"/>
      <c r="DX40" s="424"/>
      <c r="DY40" s="424"/>
      <c r="DZ40" s="424"/>
      <c r="EA40" s="424"/>
      <c r="EB40" s="424"/>
      <c r="EC40" s="424"/>
      <c r="ED40" s="424"/>
      <c r="EE40" s="424"/>
      <c r="EF40" s="424"/>
      <c r="EG40" s="424"/>
      <c r="EH40" s="424"/>
      <c r="EI40" s="424"/>
      <c r="EJ40" s="424"/>
      <c r="EK40" s="424"/>
      <c r="EL40" s="424"/>
      <c r="EM40" s="424"/>
      <c r="EN40" s="424"/>
      <c r="EO40" s="424"/>
    </row>
    <row r="41" spans="1:145">
      <c r="A41" s="438" t="s">
        <v>215</v>
      </c>
      <c r="B41" s="442" t="s">
        <v>1078</v>
      </c>
      <c r="C41" s="427">
        <v>1</v>
      </c>
      <c r="D41" s="428">
        <v>2200</v>
      </c>
      <c r="E41" s="429">
        <v>0</v>
      </c>
      <c r="F41" s="428">
        <f t="shared" si="5"/>
        <v>2200</v>
      </c>
      <c r="G41" s="429">
        <f t="shared" si="2"/>
        <v>0</v>
      </c>
      <c r="H41" s="430">
        <f t="shared" si="6"/>
        <v>2200</v>
      </c>
      <c r="Q41" s="424"/>
      <c r="R41" s="424"/>
      <c r="S41" s="424"/>
      <c r="T41" s="424"/>
      <c r="U41" s="424"/>
      <c r="V41" s="424"/>
      <c r="W41" s="424"/>
      <c r="X41" s="424"/>
      <c r="Y41" s="424"/>
      <c r="Z41" s="424"/>
      <c r="AA41" s="424"/>
      <c r="AB41" s="424"/>
      <c r="AC41" s="424"/>
      <c r="AD41" s="424"/>
      <c r="AE41" s="424"/>
      <c r="AF41" s="424"/>
      <c r="AG41" s="424"/>
      <c r="AH41" s="424"/>
      <c r="AI41" s="424"/>
      <c r="AJ41" s="424"/>
      <c r="AK41" s="424"/>
      <c r="AL41" s="424"/>
      <c r="AM41" s="424"/>
      <c r="AN41" s="424"/>
      <c r="AO41" s="424"/>
      <c r="AP41" s="424"/>
      <c r="AQ41" s="424"/>
      <c r="AR41" s="424"/>
      <c r="AS41" s="424"/>
      <c r="AT41" s="424"/>
      <c r="AU41" s="424"/>
      <c r="AV41" s="424"/>
      <c r="AW41" s="424"/>
      <c r="AX41" s="424"/>
      <c r="AY41" s="424"/>
      <c r="AZ41" s="424"/>
      <c r="BA41" s="424"/>
      <c r="BB41" s="424"/>
      <c r="BC41" s="424"/>
      <c r="BD41" s="424"/>
      <c r="BE41" s="424"/>
      <c r="BF41" s="424"/>
      <c r="BG41" s="424"/>
      <c r="BH41" s="424"/>
      <c r="BI41" s="424"/>
      <c r="BJ41" s="424"/>
      <c r="BK41" s="424"/>
      <c r="BL41" s="424"/>
      <c r="BM41" s="424"/>
      <c r="BN41" s="424"/>
      <c r="BO41" s="424"/>
      <c r="BP41" s="424"/>
      <c r="BQ41" s="424"/>
      <c r="BR41" s="424"/>
      <c r="BS41" s="424"/>
      <c r="BT41" s="424"/>
      <c r="BU41" s="424"/>
      <c r="BV41" s="424"/>
      <c r="BW41" s="424"/>
      <c r="BX41" s="424"/>
      <c r="BY41" s="424"/>
      <c r="BZ41" s="424"/>
      <c r="CA41" s="424"/>
      <c r="CB41" s="424"/>
      <c r="CC41" s="424"/>
      <c r="CD41" s="424"/>
      <c r="CE41" s="424"/>
      <c r="CF41" s="424"/>
      <c r="CG41" s="424"/>
      <c r="CH41" s="424"/>
      <c r="CI41" s="424"/>
      <c r="CJ41" s="424"/>
      <c r="CK41" s="424"/>
      <c r="CL41" s="424"/>
      <c r="CM41" s="424"/>
      <c r="CN41" s="424"/>
      <c r="CO41" s="424"/>
      <c r="CP41" s="424"/>
      <c r="CQ41" s="424"/>
      <c r="CR41" s="424"/>
      <c r="CS41" s="424"/>
      <c r="CT41" s="424"/>
      <c r="CU41" s="424"/>
      <c r="CV41" s="424"/>
      <c r="CW41" s="424"/>
      <c r="CX41" s="424"/>
      <c r="CY41" s="424"/>
      <c r="CZ41" s="424"/>
      <c r="DA41" s="424"/>
      <c r="DB41" s="424"/>
      <c r="DC41" s="424"/>
      <c r="DD41" s="424"/>
      <c r="DE41" s="424"/>
      <c r="DF41" s="424"/>
      <c r="DG41" s="424"/>
      <c r="DH41" s="424"/>
      <c r="DI41" s="424"/>
      <c r="DJ41" s="424"/>
      <c r="DK41" s="424"/>
      <c r="DL41" s="424"/>
      <c r="DM41" s="424"/>
      <c r="DN41" s="424"/>
      <c r="DO41" s="424"/>
      <c r="DP41" s="424"/>
      <c r="DQ41" s="424"/>
      <c r="DR41" s="424"/>
      <c r="DS41" s="424"/>
      <c r="DT41" s="424"/>
      <c r="DU41" s="424"/>
      <c r="DV41" s="424"/>
      <c r="DW41" s="424"/>
      <c r="DX41" s="424"/>
      <c r="DY41" s="424"/>
      <c r="DZ41" s="424"/>
      <c r="EA41" s="424"/>
      <c r="EB41" s="424"/>
      <c r="EC41" s="424"/>
      <c r="ED41" s="424"/>
      <c r="EE41" s="424"/>
      <c r="EF41" s="424"/>
      <c r="EG41" s="424"/>
      <c r="EH41" s="424"/>
      <c r="EI41" s="424"/>
      <c r="EJ41" s="424"/>
      <c r="EK41" s="424"/>
      <c r="EL41" s="424"/>
      <c r="EM41" s="424"/>
      <c r="EN41" s="424"/>
      <c r="EO41" s="424"/>
    </row>
    <row r="42" spans="1:145">
      <c r="A42" s="438" t="s">
        <v>215</v>
      </c>
      <c r="B42" s="442" t="s">
        <v>476</v>
      </c>
      <c r="C42" s="427">
        <v>1</v>
      </c>
      <c r="D42" s="428">
        <v>1200</v>
      </c>
      <c r="E42" s="429">
        <v>0</v>
      </c>
      <c r="F42" s="428">
        <f t="shared" si="5"/>
        <v>1200</v>
      </c>
      <c r="G42" s="429">
        <f t="shared" si="2"/>
        <v>0</v>
      </c>
      <c r="H42" s="430">
        <f t="shared" si="6"/>
        <v>1200</v>
      </c>
      <c r="Q42" s="424"/>
      <c r="R42" s="424"/>
      <c r="S42" s="424"/>
      <c r="T42" s="424"/>
      <c r="U42" s="424"/>
      <c r="V42" s="424"/>
      <c r="W42" s="424"/>
      <c r="X42" s="424"/>
      <c r="Y42" s="424"/>
      <c r="Z42" s="424"/>
      <c r="AA42" s="424"/>
      <c r="AB42" s="424"/>
      <c r="AC42" s="424"/>
      <c r="AD42" s="424"/>
      <c r="AE42" s="424"/>
      <c r="AF42" s="424"/>
      <c r="AG42" s="424"/>
      <c r="AH42" s="424"/>
      <c r="AI42" s="424"/>
      <c r="AJ42" s="424"/>
      <c r="AK42" s="424"/>
      <c r="AL42" s="424"/>
      <c r="AM42" s="424"/>
      <c r="AN42" s="424"/>
      <c r="AO42" s="424"/>
      <c r="AP42" s="424"/>
      <c r="AQ42" s="424"/>
      <c r="AR42" s="424"/>
      <c r="AS42" s="424"/>
      <c r="AT42" s="424"/>
      <c r="AU42" s="424"/>
      <c r="AV42" s="424"/>
      <c r="AW42" s="424"/>
      <c r="AX42" s="424"/>
      <c r="AY42" s="424"/>
      <c r="AZ42" s="424"/>
      <c r="BA42" s="424"/>
      <c r="BB42" s="424"/>
      <c r="BC42" s="424"/>
      <c r="BD42" s="424"/>
      <c r="BE42" s="424"/>
      <c r="BF42" s="424"/>
      <c r="BG42" s="424"/>
      <c r="BH42" s="424"/>
      <c r="BI42" s="424"/>
      <c r="BJ42" s="424"/>
      <c r="BK42" s="424"/>
      <c r="BL42" s="424"/>
      <c r="BM42" s="424"/>
      <c r="BN42" s="424"/>
      <c r="BO42" s="424"/>
      <c r="BP42" s="424"/>
      <c r="BQ42" s="424"/>
      <c r="BR42" s="424"/>
      <c r="BS42" s="424"/>
      <c r="BT42" s="424"/>
      <c r="BU42" s="424"/>
      <c r="BV42" s="424"/>
      <c r="BW42" s="424"/>
      <c r="BX42" s="424"/>
      <c r="BY42" s="424"/>
      <c r="BZ42" s="424"/>
      <c r="CA42" s="424"/>
      <c r="CB42" s="424"/>
      <c r="CC42" s="424"/>
      <c r="CD42" s="424"/>
      <c r="CE42" s="424"/>
      <c r="CF42" s="424"/>
      <c r="CG42" s="424"/>
      <c r="CH42" s="424"/>
      <c r="CI42" s="424"/>
      <c r="CJ42" s="424"/>
      <c r="CK42" s="424"/>
      <c r="CL42" s="424"/>
      <c r="CM42" s="424"/>
      <c r="CN42" s="424"/>
      <c r="CO42" s="424"/>
      <c r="CP42" s="424"/>
      <c r="CQ42" s="424"/>
      <c r="CR42" s="424"/>
      <c r="CS42" s="424"/>
      <c r="CT42" s="424"/>
      <c r="CU42" s="424"/>
      <c r="CV42" s="424"/>
      <c r="CW42" s="424"/>
      <c r="CX42" s="424"/>
      <c r="CY42" s="424"/>
      <c r="CZ42" s="424"/>
      <c r="DA42" s="424"/>
      <c r="DB42" s="424"/>
      <c r="DC42" s="424"/>
      <c r="DD42" s="424"/>
      <c r="DE42" s="424"/>
      <c r="DF42" s="424"/>
      <c r="DG42" s="424"/>
      <c r="DH42" s="424"/>
      <c r="DI42" s="424"/>
      <c r="DJ42" s="424"/>
      <c r="DK42" s="424"/>
      <c r="DL42" s="424"/>
      <c r="DM42" s="424"/>
      <c r="DN42" s="424"/>
      <c r="DO42" s="424"/>
      <c r="DP42" s="424"/>
      <c r="DQ42" s="424"/>
      <c r="DR42" s="424"/>
      <c r="DS42" s="424"/>
      <c r="DT42" s="424"/>
      <c r="DU42" s="424"/>
      <c r="DV42" s="424"/>
      <c r="DW42" s="424"/>
      <c r="DX42" s="424"/>
      <c r="DY42" s="424"/>
      <c r="DZ42" s="424"/>
      <c r="EA42" s="424"/>
      <c r="EB42" s="424"/>
      <c r="EC42" s="424"/>
      <c r="ED42" s="424"/>
      <c r="EE42" s="424"/>
      <c r="EF42" s="424"/>
      <c r="EG42" s="424"/>
      <c r="EH42" s="424"/>
      <c r="EI42" s="424"/>
      <c r="EJ42" s="424"/>
      <c r="EK42" s="424"/>
      <c r="EL42" s="424"/>
      <c r="EM42" s="424"/>
      <c r="EN42" s="424"/>
      <c r="EO42" s="424"/>
    </row>
    <row r="43" spans="1:145">
      <c r="A43" s="438" t="s">
        <v>215</v>
      </c>
      <c r="B43" s="439" t="s">
        <v>163</v>
      </c>
      <c r="C43" s="427">
        <v>1</v>
      </c>
      <c r="D43" s="428">
        <v>2000</v>
      </c>
      <c r="E43" s="429">
        <v>0</v>
      </c>
      <c r="F43" s="428">
        <f t="shared" si="5"/>
        <v>2000</v>
      </c>
      <c r="G43" s="429">
        <f t="shared" si="2"/>
        <v>0</v>
      </c>
      <c r="H43" s="430">
        <f t="shared" si="6"/>
        <v>2000</v>
      </c>
      <c r="Q43" s="424"/>
      <c r="R43" s="424"/>
      <c r="S43" s="424"/>
      <c r="T43" s="424"/>
      <c r="U43" s="424"/>
      <c r="V43" s="424"/>
      <c r="W43" s="424"/>
      <c r="X43" s="424"/>
      <c r="Y43" s="424"/>
      <c r="Z43" s="424"/>
      <c r="AA43" s="424"/>
      <c r="AB43" s="424"/>
      <c r="AC43" s="424"/>
      <c r="AD43" s="424"/>
      <c r="AE43" s="424"/>
      <c r="AF43" s="424"/>
      <c r="AG43" s="424"/>
      <c r="AH43" s="424"/>
      <c r="AI43" s="424"/>
      <c r="AJ43" s="424"/>
      <c r="AK43" s="424"/>
      <c r="AL43" s="424"/>
      <c r="AM43" s="424"/>
      <c r="AN43" s="424"/>
      <c r="AO43" s="424"/>
      <c r="AP43" s="424"/>
      <c r="AQ43" s="424"/>
      <c r="AR43" s="424"/>
      <c r="AS43" s="424"/>
      <c r="AT43" s="424"/>
      <c r="AU43" s="424"/>
      <c r="AV43" s="424"/>
      <c r="AW43" s="424"/>
      <c r="AX43" s="424"/>
      <c r="AY43" s="424"/>
      <c r="AZ43" s="424"/>
      <c r="BA43" s="424"/>
      <c r="BB43" s="424"/>
      <c r="BC43" s="424"/>
      <c r="BD43" s="424"/>
      <c r="BE43" s="424"/>
      <c r="BF43" s="424"/>
      <c r="BG43" s="424"/>
      <c r="BH43" s="424"/>
      <c r="BI43" s="424"/>
      <c r="BJ43" s="424"/>
      <c r="BK43" s="424"/>
      <c r="BL43" s="424"/>
      <c r="BM43" s="424"/>
      <c r="BN43" s="424"/>
      <c r="BO43" s="424"/>
      <c r="BP43" s="424"/>
      <c r="BQ43" s="424"/>
      <c r="BR43" s="424"/>
      <c r="BS43" s="424"/>
      <c r="BT43" s="424"/>
      <c r="BU43" s="424"/>
      <c r="BV43" s="424"/>
      <c r="BW43" s="424"/>
      <c r="BX43" s="424"/>
      <c r="BY43" s="424"/>
      <c r="BZ43" s="424"/>
      <c r="CA43" s="424"/>
      <c r="CB43" s="424"/>
      <c r="CC43" s="424"/>
      <c r="CD43" s="424"/>
      <c r="CE43" s="424"/>
      <c r="CF43" s="424"/>
      <c r="CG43" s="424"/>
      <c r="CH43" s="424"/>
      <c r="CI43" s="424"/>
      <c r="CJ43" s="424"/>
      <c r="CK43" s="424"/>
      <c r="CL43" s="424"/>
      <c r="CM43" s="424"/>
      <c r="CN43" s="424"/>
      <c r="CO43" s="424"/>
      <c r="CP43" s="424"/>
      <c r="CQ43" s="424"/>
      <c r="CR43" s="424"/>
      <c r="CS43" s="424"/>
      <c r="CT43" s="424"/>
      <c r="CU43" s="424"/>
      <c r="CV43" s="424"/>
      <c r="CW43" s="424"/>
      <c r="CX43" s="424"/>
      <c r="CY43" s="424"/>
      <c r="CZ43" s="424"/>
      <c r="DA43" s="424"/>
      <c r="DB43" s="424"/>
      <c r="DC43" s="424"/>
      <c r="DD43" s="424"/>
      <c r="DE43" s="424"/>
      <c r="DF43" s="424"/>
      <c r="DG43" s="424"/>
      <c r="DH43" s="424"/>
      <c r="DI43" s="424"/>
      <c r="DJ43" s="424"/>
      <c r="DK43" s="424"/>
      <c r="DL43" s="424"/>
      <c r="DM43" s="424"/>
      <c r="DN43" s="424"/>
      <c r="DO43" s="424"/>
      <c r="DP43" s="424"/>
      <c r="DQ43" s="424"/>
      <c r="DR43" s="424"/>
      <c r="DS43" s="424"/>
      <c r="DT43" s="424"/>
      <c r="DU43" s="424"/>
      <c r="DV43" s="424"/>
      <c r="DW43" s="424"/>
      <c r="DX43" s="424"/>
      <c r="DY43" s="424"/>
      <c r="DZ43" s="424"/>
      <c r="EA43" s="424"/>
      <c r="EB43" s="424"/>
      <c r="EC43" s="424"/>
      <c r="ED43" s="424"/>
      <c r="EE43" s="424"/>
      <c r="EF43" s="424"/>
      <c r="EG43" s="424"/>
      <c r="EH43" s="424"/>
      <c r="EI43" s="424"/>
      <c r="EJ43" s="424"/>
      <c r="EK43" s="424"/>
      <c r="EL43" s="424"/>
      <c r="EM43" s="424"/>
      <c r="EN43" s="424"/>
      <c r="EO43" s="424"/>
    </row>
    <row r="44" spans="1:145">
      <c r="A44" s="438" t="s">
        <v>215</v>
      </c>
      <c r="B44" s="439" t="s">
        <v>1079</v>
      </c>
      <c r="C44" s="427">
        <v>1</v>
      </c>
      <c r="D44" s="428">
        <v>100</v>
      </c>
      <c r="E44" s="429">
        <v>0</v>
      </c>
      <c r="F44" s="428">
        <f t="shared" si="5"/>
        <v>100</v>
      </c>
      <c r="G44" s="429">
        <f t="shared" si="2"/>
        <v>0</v>
      </c>
      <c r="H44" s="430">
        <f t="shared" si="6"/>
        <v>100</v>
      </c>
      <c r="Q44" s="424"/>
      <c r="R44" s="424"/>
      <c r="S44" s="424"/>
      <c r="T44" s="424"/>
      <c r="U44" s="424"/>
      <c r="V44" s="424"/>
      <c r="W44" s="424"/>
      <c r="X44" s="424"/>
      <c r="Y44" s="424"/>
      <c r="Z44" s="424"/>
      <c r="AA44" s="424"/>
      <c r="AB44" s="424"/>
      <c r="AC44" s="424"/>
      <c r="AD44" s="424"/>
      <c r="AE44" s="424"/>
      <c r="AF44" s="424"/>
      <c r="AG44" s="424"/>
      <c r="AH44" s="424"/>
      <c r="AI44" s="424"/>
      <c r="AJ44" s="424"/>
      <c r="AK44" s="424"/>
      <c r="AL44" s="424"/>
      <c r="AM44" s="424"/>
      <c r="AN44" s="424"/>
      <c r="AO44" s="424"/>
      <c r="AP44" s="424"/>
      <c r="AQ44" s="424"/>
      <c r="AR44" s="424"/>
      <c r="AS44" s="424"/>
      <c r="AT44" s="424"/>
      <c r="AU44" s="424"/>
      <c r="AV44" s="424"/>
      <c r="AW44" s="424"/>
      <c r="AX44" s="424"/>
      <c r="AY44" s="424"/>
      <c r="AZ44" s="424"/>
      <c r="BA44" s="424"/>
      <c r="BB44" s="424"/>
      <c r="BC44" s="424"/>
      <c r="BD44" s="424"/>
      <c r="BE44" s="424"/>
      <c r="BF44" s="424"/>
      <c r="BG44" s="424"/>
      <c r="BH44" s="424"/>
      <c r="BI44" s="424"/>
      <c r="BJ44" s="424"/>
      <c r="BK44" s="424"/>
      <c r="BL44" s="424"/>
      <c r="BM44" s="424"/>
      <c r="BN44" s="424"/>
      <c r="BO44" s="424"/>
      <c r="BP44" s="424"/>
      <c r="BQ44" s="424"/>
      <c r="BR44" s="424"/>
      <c r="BS44" s="424"/>
      <c r="BT44" s="424"/>
      <c r="BU44" s="424"/>
      <c r="BV44" s="424"/>
      <c r="BW44" s="424"/>
      <c r="BX44" s="424"/>
      <c r="BY44" s="424"/>
      <c r="BZ44" s="424"/>
      <c r="CA44" s="424"/>
      <c r="CB44" s="424"/>
      <c r="CC44" s="424"/>
      <c r="CD44" s="424"/>
      <c r="CE44" s="424"/>
      <c r="CF44" s="424"/>
      <c r="CG44" s="424"/>
      <c r="CH44" s="424"/>
      <c r="CI44" s="424"/>
      <c r="CJ44" s="424"/>
      <c r="CK44" s="424"/>
      <c r="CL44" s="424"/>
      <c r="CM44" s="424"/>
      <c r="CN44" s="424"/>
      <c r="CO44" s="424"/>
      <c r="CP44" s="424"/>
      <c r="CQ44" s="424"/>
      <c r="CR44" s="424"/>
      <c r="CS44" s="424"/>
      <c r="CT44" s="424"/>
      <c r="CU44" s="424"/>
      <c r="CV44" s="424"/>
      <c r="CW44" s="424"/>
      <c r="CX44" s="424"/>
      <c r="CY44" s="424"/>
      <c r="CZ44" s="424"/>
      <c r="DA44" s="424"/>
      <c r="DB44" s="424"/>
      <c r="DC44" s="424"/>
      <c r="DD44" s="424"/>
      <c r="DE44" s="424"/>
      <c r="DF44" s="424"/>
      <c r="DG44" s="424"/>
      <c r="DH44" s="424"/>
      <c r="DI44" s="424"/>
      <c r="DJ44" s="424"/>
      <c r="DK44" s="424"/>
      <c r="DL44" s="424"/>
      <c r="DM44" s="424"/>
      <c r="DN44" s="424"/>
      <c r="DO44" s="424"/>
      <c r="DP44" s="424"/>
      <c r="DQ44" s="424"/>
      <c r="DR44" s="424"/>
      <c r="DS44" s="424"/>
      <c r="DT44" s="424"/>
      <c r="DU44" s="424"/>
      <c r="DV44" s="424"/>
      <c r="DW44" s="424"/>
      <c r="DX44" s="424"/>
      <c r="DY44" s="424"/>
      <c r="DZ44" s="424"/>
      <c r="EA44" s="424"/>
      <c r="EB44" s="424"/>
      <c r="EC44" s="424"/>
      <c r="ED44" s="424"/>
      <c r="EE44" s="424"/>
      <c r="EF44" s="424"/>
      <c r="EG44" s="424"/>
      <c r="EH44" s="424"/>
      <c r="EI44" s="424"/>
      <c r="EJ44" s="424"/>
      <c r="EK44" s="424"/>
      <c r="EL44" s="424"/>
      <c r="EM44" s="424"/>
      <c r="EN44" s="424"/>
      <c r="EO44" s="424"/>
    </row>
    <row r="45" spans="1:145">
      <c r="A45" s="438" t="s">
        <v>215</v>
      </c>
      <c r="B45" s="442" t="s">
        <v>1080</v>
      </c>
      <c r="C45" s="427">
        <v>1</v>
      </c>
      <c r="D45" s="428">
        <v>800</v>
      </c>
      <c r="E45" s="429">
        <v>0</v>
      </c>
      <c r="F45" s="428">
        <f t="shared" si="5"/>
        <v>800</v>
      </c>
      <c r="G45" s="429">
        <f t="shared" si="2"/>
        <v>0</v>
      </c>
      <c r="H45" s="430">
        <f t="shared" si="6"/>
        <v>800</v>
      </c>
      <c r="Q45" s="424"/>
      <c r="R45" s="424"/>
      <c r="S45" s="424"/>
      <c r="T45" s="424"/>
      <c r="U45" s="424"/>
      <c r="V45" s="424"/>
      <c r="W45" s="424"/>
      <c r="X45" s="424"/>
      <c r="Y45" s="424"/>
      <c r="Z45" s="424"/>
      <c r="AA45" s="424"/>
      <c r="AB45" s="424"/>
      <c r="AC45" s="424"/>
      <c r="AD45" s="424"/>
      <c r="AE45" s="424"/>
      <c r="AF45" s="424"/>
      <c r="AG45" s="424"/>
      <c r="AH45" s="424"/>
      <c r="AI45" s="424"/>
      <c r="AJ45" s="424"/>
      <c r="AK45" s="424"/>
      <c r="AL45" s="424"/>
      <c r="AM45" s="424"/>
      <c r="AN45" s="424"/>
      <c r="AO45" s="424"/>
      <c r="AP45" s="424"/>
      <c r="AQ45" s="424"/>
      <c r="AR45" s="424"/>
      <c r="AS45" s="424"/>
      <c r="AT45" s="424"/>
      <c r="AU45" s="424"/>
      <c r="AV45" s="424"/>
      <c r="AW45" s="424"/>
      <c r="AX45" s="424"/>
      <c r="AY45" s="424"/>
      <c r="AZ45" s="424"/>
      <c r="BA45" s="424"/>
      <c r="BB45" s="424"/>
      <c r="BC45" s="424"/>
      <c r="BD45" s="424"/>
      <c r="BE45" s="424"/>
      <c r="BF45" s="424"/>
      <c r="BG45" s="424"/>
      <c r="BH45" s="424"/>
      <c r="BI45" s="424"/>
      <c r="BJ45" s="424"/>
      <c r="BK45" s="424"/>
      <c r="BL45" s="424"/>
      <c r="BM45" s="424"/>
      <c r="BN45" s="424"/>
      <c r="BO45" s="424"/>
      <c r="BP45" s="424"/>
      <c r="BQ45" s="424"/>
      <c r="BR45" s="424"/>
      <c r="BS45" s="424"/>
      <c r="BT45" s="424"/>
      <c r="BU45" s="424"/>
      <c r="BV45" s="424"/>
      <c r="BW45" s="424"/>
      <c r="BX45" s="424"/>
      <c r="BY45" s="424"/>
      <c r="BZ45" s="424"/>
      <c r="CA45" s="424"/>
      <c r="CB45" s="424"/>
      <c r="CC45" s="424"/>
      <c r="CD45" s="424"/>
      <c r="CE45" s="424"/>
      <c r="CF45" s="424"/>
      <c r="CG45" s="424"/>
      <c r="CH45" s="424"/>
      <c r="CI45" s="424"/>
      <c r="CJ45" s="424"/>
      <c r="CK45" s="424"/>
      <c r="CL45" s="424"/>
      <c r="CM45" s="424"/>
      <c r="CN45" s="424"/>
      <c r="CO45" s="424"/>
      <c r="CP45" s="424"/>
      <c r="CQ45" s="424"/>
      <c r="CR45" s="424"/>
      <c r="CS45" s="424"/>
      <c r="CT45" s="424"/>
      <c r="CU45" s="424"/>
      <c r="CV45" s="424"/>
      <c r="CW45" s="424"/>
      <c r="CX45" s="424"/>
      <c r="CY45" s="424"/>
      <c r="CZ45" s="424"/>
      <c r="DA45" s="424"/>
      <c r="DB45" s="424"/>
      <c r="DC45" s="424"/>
      <c r="DD45" s="424"/>
      <c r="DE45" s="424"/>
      <c r="DF45" s="424"/>
      <c r="DG45" s="424"/>
      <c r="DH45" s="424"/>
      <c r="DI45" s="424"/>
      <c r="DJ45" s="424"/>
      <c r="DK45" s="424"/>
      <c r="DL45" s="424"/>
      <c r="DM45" s="424"/>
      <c r="DN45" s="424"/>
      <c r="DO45" s="424"/>
      <c r="DP45" s="424"/>
      <c r="DQ45" s="424"/>
      <c r="DR45" s="424"/>
      <c r="DS45" s="424"/>
      <c r="DT45" s="424"/>
      <c r="DU45" s="424"/>
      <c r="DV45" s="424"/>
      <c r="DW45" s="424"/>
      <c r="DX45" s="424"/>
      <c r="DY45" s="424"/>
      <c r="DZ45" s="424"/>
      <c r="EA45" s="424"/>
      <c r="EB45" s="424"/>
      <c r="EC45" s="424"/>
      <c r="ED45" s="424"/>
      <c r="EE45" s="424"/>
      <c r="EF45" s="424"/>
      <c r="EG45" s="424"/>
      <c r="EH45" s="424"/>
      <c r="EI45" s="424"/>
      <c r="EJ45" s="424"/>
      <c r="EK45" s="424"/>
      <c r="EL45" s="424"/>
      <c r="EM45" s="424"/>
      <c r="EN45" s="424"/>
      <c r="EO45" s="424"/>
    </row>
    <row r="46" spans="1:145">
      <c r="A46" s="438" t="s">
        <v>215</v>
      </c>
      <c r="B46" s="442" t="s">
        <v>1081</v>
      </c>
      <c r="C46" s="427">
        <v>1</v>
      </c>
      <c r="D46" s="428">
        <v>4500</v>
      </c>
      <c r="E46" s="429">
        <v>0</v>
      </c>
      <c r="F46" s="428">
        <f t="shared" si="5"/>
        <v>4500</v>
      </c>
      <c r="G46" s="429">
        <f t="shared" si="2"/>
        <v>0</v>
      </c>
      <c r="H46" s="430">
        <f t="shared" si="6"/>
        <v>4500</v>
      </c>
      <c r="I46" s="443"/>
      <c r="Q46" s="424"/>
      <c r="R46" s="424"/>
      <c r="S46" s="424"/>
      <c r="T46" s="424"/>
      <c r="U46" s="424"/>
      <c r="V46" s="424"/>
      <c r="W46" s="424"/>
      <c r="X46" s="424"/>
      <c r="Y46" s="424"/>
      <c r="Z46" s="424"/>
      <c r="AA46" s="424"/>
      <c r="AB46" s="424"/>
      <c r="AC46" s="424"/>
      <c r="AD46" s="424"/>
      <c r="AE46" s="424"/>
      <c r="AF46" s="424"/>
      <c r="AG46" s="424"/>
      <c r="AH46" s="424"/>
      <c r="AI46" s="424"/>
      <c r="AJ46" s="424"/>
      <c r="AK46" s="424"/>
      <c r="AL46" s="424"/>
      <c r="AM46" s="424"/>
      <c r="AN46" s="424"/>
      <c r="AO46" s="424"/>
      <c r="AP46" s="424"/>
      <c r="AQ46" s="424"/>
      <c r="AR46" s="424"/>
      <c r="AS46" s="424"/>
      <c r="AT46" s="424"/>
      <c r="AU46" s="424"/>
      <c r="AV46" s="424"/>
      <c r="AW46" s="424"/>
      <c r="AX46" s="424"/>
      <c r="AY46" s="424"/>
      <c r="AZ46" s="424"/>
      <c r="BA46" s="424"/>
      <c r="BB46" s="424"/>
      <c r="BC46" s="424"/>
      <c r="BD46" s="424"/>
      <c r="BE46" s="424"/>
      <c r="BF46" s="424"/>
      <c r="BG46" s="424"/>
      <c r="BH46" s="424"/>
      <c r="BI46" s="424"/>
      <c r="BJ46" s="424"/>
      <c r="BK46" s="424"/>
      <c r="BL46" s="424"/>
      <c r="BM46" s="424"/>
      <c r="BN46" s="424"/>
      <c r="BO46" s="424"/>
      <c r="BP46" s="424"/>
      <c r="BQ46" s="424"/>
      <c r="BR46" s="424"/>
      <c r="BS46" s="424"/>
      <c r="BT46" s="424"/>
      <c r="BU46" s="424"/>
      <c r="BV46" s="424"/>
      <c r="BW46" s="424"/>
      <c r="BX46" s="424"/>
      <c r="BY46" s="424"/>
      <c r="BZ46" s="424"/>
      <c r="CA46" s="424"/>
      <c r="CB46" s="424"/>
      <c r="CC46" s="424"/>
      <c r="CD46" s="424"/>
      <c r="CE46" s="424"/>
      <c r="CF46" s="424"/>
      <c r="CG46" s="424"/>
      <c r="CH46" s="424"/>
      <c r="CI46" s="424"/>
      <c r="CJ46" s="424"/>
      <c r="CK46" s="424"/>
      <c r="CL46" s="424"/>
      <c r="CM46" s="424"/>
      <c r="CN46" s="424"/>
      <c r="CO46" s="424"/>
      <c r="CP46" s="424"/>
      <c r="CQ46" s="424"/>
      <c r="CR46" s="424"/>
      <c r="CS46" s="424"/>
      <c r="CT46" s="424"/>
      <c r="CU46" s="424"/>
      <c r="CV46" s="424"/>
      <c r="CW46" s="424"/>
      <c r="CX46" s="424"/>
      <c r="CY46" s="424"/>
      <c r="CZ46" s="424"/>
      <c r="DA46" s="424"/>
      <c r="DB46" s="424"/>
      <c r="DC46" s="424"/>
      <c r="DD46" s="424"/>
      <c r="DE46" s="424"/>
      <c r="DF46" s="424"/>
      <c r="DG46" s="424"/>
      <c r="DH46" s="424"/>
      <c r="DI46" s="424"/>
      <c r="DJ46" s="424"/>
      <c r="DK46" s="424"/>
      <c r="DL46" s="424"/>
      <c r="DM46" s="424"/>
      <c r="DN46" s="424"/>
      <c r="DO46" s="424"/>
      <c r="DP46" s="424"/>
      <c r="DQ46" s="424"/>
      <c r="DR46" s="424"/>
      <c r="DS46" s="424"/>
      <c r="DT46" s="424"/>
      <c r="DU46" s="424"/>
      <c r="DV46" s="424"/>
      <c r="DW46" s="424"/>
      <c r="DX46" s="424"/>
      <c r="DY46" s="424"/>
      <c r="DZ46" s="424"/>
      <c r="EA46" s="424"/>
      <c r="EB46" s="424"/>
      <c r="EC46" s="424"/>
      <c r="ED46" s="424"/>
      <c r="EE46" s="424"/>
      <c r="EF46" s="424"/>
      <c r="EG46" s="424"/>
      <c r="EH46" s="424"/>
      <c r="EI46" s="424"/>
      <c r="EJ46" s="424"/>
      <c r="EK46" s="424"/>
      <c r="EL46" s="424"/>
      <c r="EM46" s="424"/>
      <c r="EN46" s="424"/>
      <c r="EO46" s="424"/>
    </row>
    <row r="47" spans="1:145">
      <c r="A47" s="438" t="s">
        <v>215</v>
      </c>
      <c r="B47" s="444" t="s">
        <v>1082</v>
      </c>
      <c r="C47" s="427">
        <v>1</v>
      </c>
      <c r="D47" s="440">
        <v>12500</v>
      </c>
      <c r="E47" s="429">
        <v>0</v>
      </c>
      <c r="F47" s="428">
        <f t="shared" si="5"/>
        <v>12500</v>
      </c>
      <c r="G47" s="429">
        <f t="shared" si="2"/>
        <v>0</v>
      </c>
      <c r="H47" s="430">
        <f t="shared" si="6"/>
        <v>12500</v>
      </c>
      <c r="Q47" s="424"/>
      <c r="R47" s="424"/>
      <c r="S47" s="424"/>
      <c r="T47" s="424"/>
      <c r="U47" s="424"/>
      <c r="V47" s="424"/>
      <c r="W47" s="424"/>
      <c r="X47" s="424"/>
      <c r="Y47" s="424"/>
      <c r="Z47" s="424"/>
      <c r="AA47" s="424"/>
      <c r="AB47" s="424"/>
      <c r="AC47" s="424"/>
      <c r="AD47" s="424"/>
      <c r="AE47" s="424"/>
      <c r="AF47" s="424"/>
      <c r="AG47" s="424"/>
      <c r="AH47" s="424"/>
      <c r="AI47" s="424"/>
      <c r="AJ47" s="424"/>
      <c r="AK47" s="424"/>
      <c r="AL47" s="424"/>
      <c r="AM47" s="424"/>
      <c r="AN47" s="424"/>
      <c r="AO47" s="424"/>
      <c r="AP47" s="424"/>
      <c r="AQ47" s="424"/>
      <c r="AR47" s="424"/>
      <c r="AS47" s="424"/>
      <c r="AT47" s="424"/>
      <c r="AU47" s="424"/>
      <c r="AV47" s="424"/>
      <c r="AW47" s="424"/>
      <c r="AX47" s="424"/>
      <c r="AY47" s="424"/>
      <c r="AZ47" s="424"/>
      <c r="BA47" s="424"/>
      <c r="BB47" s="424"/>
      <c r="BC47" s="424"/>
      <c r="BD47" s="424"/>
      <c r="BE47" s="424"/>
      <c r="BF47" s="424"/>
      <c r="BG47" s="424"/>
      <c r="BH47" s="424"/>
      <c r="BI47" s="424"/>
      <c r="BJ47" s="424"/>
      <c r="BK47" s="424"/>
      <c r="BL47" s="424"/>
      <c r="BM47" s="424"/>
      <c r="BN47" s="424"/>
      <c r="BO47" s="424"/>
      <c r="BP47" s="424"/>
      <c r="BQ47" s="424"/>
      <c r="BR47" s="424"/>
      <c r="BS47" s="424"/>
      <c r="BT47" s="424"/>
      <c r="BU47" s="424"/>
      <c r="BV47" s="424"/>
      <c r="BW47" s="424"/>
      <c r="BX47" s="424"/>
      <c r="BY47" s="424"/>
      <c r="BZ47" s="424"/>
      <c r="CA47" s="424"/>
      <c r="CB47" s="424"/>
      <c r="CC47" s="424"/>
      <c r="CD47" s="424"/>
      <c r="CE47" s="424"/>
      <c r="CF47" s="424"/>
      <c r="CG47" s="424"/>
      <c r="CH47" s="424"/>
      <c r="CI47" s="424"/>
      <c r="CJ47" s="424"/>
      <c r="CK47" s="424"/>
      <c r="CL47" s="424"/>
      <c r="CM47" s="424"/>
      <c r="CN47" s="424"/>
      <c r="CO47" s="424"/>
      <c r="CP47" s="424"/>
      <c r="CQ47" s="424"/>
      <c r="CR47" s="424"/>
      <c r="CS47" s="424"/>
      <c r="CT47" s="424"/>
      <c r="CU47" s="424"/>
      <c r="CV47" s="424"/>
      <c r="CW47" s="424"/>
      <c r="CX47" s="424"/>
      <c r="CY47" s="424"/>
      <c r="CZ47" s="424"/>
      <c r="DA47" s="424"/>
      <c r="DB47" s="424"/>
      <c r="DC47" s="424"/>
      <c r="DD47" s="424"/>
      <c r="DE47" s="424"/>
      <c r="DF47" s="424"/>
      <c r="DG47" s="424"/>
      <c r="DH47" s="424"/>
      <c r="DI47" s="424"/>
      <c r="DJ47" s="424"/>
      <c r="DK47" s="424"/>
      <c r="DL47" s="424"/>
      <c r="DM47" s="424"/>
      <c r="DN47" s="424"/>
      <c r="DO47" s="424"/>
      <c r="DP47" s="424"/>
      <c r="DQ47" s="424"/>
      <c r="DR47" s="424"/>
      <c r="DS47" s="424"/>
      <c r="DT47" s="424"/>
      <c r="DU47" s="424"/>
      <c r="DV47" s="424"/>
      <c r="DW47" s="424"/>
      <c r="DX47" s="424"/>
      <c r="DY47" s="424"/>
      <c r="DZ47" s="424"/>
      <c r="EA47" s="424"/>
      <c r="EB47" s="424"/>
      <c r="EC47" s="424"/>
      <c r="ED47" s="424"/>
      <c r="EE47" s="424"/>
      <c r="EF47" s="424"/>
      <c r="EG47" s="424"/>
      <c r="EH47" s="424"/>
      <c r="EI47" s="424"/>
      <c r="EJ47" s="424"/>
      <c r="EK47" s="424"/>
      <c r="EL47" s="424"/>
      <c r="EM47" s="424"/>
      <c r="EN47" s="424"/>
      <c r="EO47" s="424"/>
    </row>
    <row r="48" spans="1:145">
      <c r="A48" s="438" t="s">
        <v>215</v>
      </c>
      <c r="B48" s="444" t="s">
        <v>1083</v>
      </c>
      <c r="C48" s="427">
        <v>1</v>
      </c>
      <c r="D48" s="440">
        <v>600</v>
      </c>
      <c r="E48" s="429">
        <v>0</v>
      </c>
      <c r="F48" s="428">
        <f t="shared" si="5"/>
        <v>600</v>
      </c>
      <c r="G48" s="429">
        <f t="shared" si="2"/>
        <v>0</v>
      </c>
      <c r="H48" s="430">
        <f t="shared" si="6"/>
        <v>600</v>
      </c>
      <c r="Q48" s="424"/>
      <c r="R48" s="424"/>
      <c r="S48" s="424"/>
      <c r="T48" s="424"/>
      <c r="U48" s="424"/>
      <c r="V48" s="424"/>
      <c r="W48" s="424"/>
      <c r="X48" s="424"/>
      <c r="Y48" s="424"/>
      <c r="Z48" s="424"/>
      <c r="AA48" s="424"/>
      <c r="AB48" s="424"/>
      <c r="AC48" s="424"/>
      <c r="AD48" s="424"/>
      <c r="AE48" s="424"/>
      <c r="AF48" s="424"/>
      <c r="AG48" s="424"/>
      <c r="AH48" s="424"/>
      <c r="AI48" s="424"/>
      <c r="AJ48" s="424"/>
      <c r="AK48" s="424"/>
      <c r="AL48" s="424"/>
      <c r="AM48" s="424"/>
      <c r="AN48" s="424"/>
      <c r="AO48" s="424"/>
      <c r="AP48" s="424"/>
      <c r="AQ48" s="424"/>
      <c r="AR48" s="424"/>
      <c r="AS48" s="424"/>
      <c r="AT48" s="424"/>
      <c r="AU48" s="424"/>
      <c r="AV48" s="424"/>
      <c r="AW48" s="424"/>
      <c r="AX48" s="424"/>
      <c r="AY48" s="424"/>
      <c r="AZ48" s="424"/>
      <c r="BA48" s="424"/>
      <c r="BB48" s="424"/>
      <c r="BC48" s="424"/>
      <c r="BD48" s="424"/>
      <c r="BE48" s="424"/>
      <c r="BF48" s="424"/>
      <c r="BG48" s="424"/>
      <c r="BH48" s="424"/>
      <c r="BI48" s="424"/>
      <c r="BJ48" s="424"/>
      <c r="BK48" s="424"/>
      <c r="BL48" s="424"/>
      <c r="BM48" s="424"/>
      <c r="BN48" s="424"/>
      <c r="BO48" s="424"/>
      <c r="BP48" s="424"/>
      <c r="BQ48" s="424"/>
      <c r="BR48" s="424"/>
      <c r="BS48" s="424"/>
      <c r="BT48" s="424"/>
      <c r="BU48" s="424"/>
      <c r="BV48" s="424"/>
      <c r="BW48" s="424"/>
      <c r="BX48" s="424"/>
      <c r="BY48" s="424"/>
      <c r="BZ48" s="424"/>
      <c r="CA48" s="424"/>
      <c r="CB48" s="424"/>
      <c r="CC48" s="424"/>
      <c r="CD48" s="424"/>
      <c r="CE48" s="424"/>
      <c r="CF48" s="424"/>
      <c r="CG48" s="424"/>
      <c r="CH48" s="424"/>
      <c r="CI48" s="424"/>
      <c r="CJ48" s="424"/>
      <c r="CK48" s="424"/>
      <c r="CL48" s="424"/>
      <c r="CM48" s="424"/>
      <c r="CN48" s="424"/>
      <c r="CO48" s="424"/>
      <c r="CP48" s="424"/>
      <c r="CQ48" s="424"/>
      <c r="CR48" s="424"/>
      <c r="CS48" s="424"/>
      <c r="CT48" s="424"/>
      <c r="CU48" s="424"/>
      <c r="CV48" s="424"/>
      <c r="CW48" s="424"/>
      <c r="CX48" s="424"/>
      <c r="CY48" s="424"/>
      <c r="CZ48" s="424"/>
      <c r="DA48" s="424"/>
      <c r="DB48" s="424"/>
      <c r="DC48" s="424"/>
      <c r="DD48" s="424"/>
      <c r="DE48" s="424"/>
      <c r="DF48" s="424"/>
      <c r="DG48" s="424"/>
      <c r="DH48" s="424"/>
      <c r="DI48" s="424"/>
      <c r="DJ48" s="424"/>
      <c r="DK48" s="424"/>
      <c r="DL48" s="424"/>
      <c r="DM48" s="424"/>
      <c r="DN48" s="424"/>
      <c r="DO48" s="424"/>
      <c r="DP48" s="424"/>
      <c r="DQ48" s="424"/>
      <c r="DR48" s="424"/>
      <c r="DS48" s="424"/>
      <c r="DT48" s="424"/>
      <c r="DU48" s="424"/>
      <c r="DV48" s="424"/>
      <c r="DW48" s="424"/>
      <c r="DX48" s="424"/>
      <c r="DY48" s="424"/>
      <c r="DZ48" s="424"/>
      <c r="EA48" s="424"/>
      <c r="EB48" s="424"/>
      <c r="EC48" s="424"/>
      <c r="ED48" s="424"/>
      <c r="EE48" s="424"/>
      <c r="EF48" s="424"/>
      <c r="EG48" s="424"/>
      <c r="EH48" s="424"/>
      <c r="EI48" s="424"/>
      <c r="EJ48" s="424"/>
      <c r="EK48" s="424"/>
      <c r="EL48" s="424"/>
      <c r="EM48" s="424"/>
      <c r="EN48" s="424"/>
      <c r="EO48" s="424"/>
    </row>
    <row r="49" spans="1:145" ht="27.6">
      <c r="A49" s="420" t="s">
        <v>1053</v>
      </c>
      <c r="B49" s="421" t="s">
        <v>1084</v>
      </c>
      <c r="C49" s="422" t="s">
        <v>1035</v>
      </c>
      <c r="D49" s="422" t="s">
        <v>1036</v>
      </c>
      <c r="E49" s="422" t="s">
        <v>1037</v>
      </c>
      <c r="F49" s="422" t="s">
        <v>1036</v>
      </c>
      <c r="G49" s="422" t="s">
        <v>627</v>
      </c>
      <c r="H49" s="433" t="s">
        <v>1055</v>
      </c>
      <c r="Q49" s="424"/>
      <c r="R49" s="424"/>
      <c r="S49" s="424"/>
      <c r="T49" s="424"/>
      <c r="U49" s="424"/>
      <c r="V49" s="424"/>
      <c r="W49" s="424"/>
      <c r="X49" s="424"/>
      <c r="Y49" s="424"/>
      <c r="Z49" s="424"/>
      <c r="AA49" s="424"/>
      <c r="AB49" s="424"/>
      <c r="AC49" s="424"/>
      <c r="AD49" s="424"/>
      <c r="AE49" s="424"/>
      <c r="AF49" s="424"/>
      <c r="AG49" s="424"/>
      <c r="AH49" s="424"/>
      <c r="AI49" s="424"/>
      <c r="AJ49" s="424"/>
      <c r="AK49" s="424"/>
      <c r="AL49" s="424"/>
      <c r="AM49" s="424"/>
      <c r="AN49" s="424"/>
      <c r="AO49" s="424"/>
      <c r="AP49" s="424"/>
      <c r="AQ49" s="424"/>
      <c r="AR49" s="424"/>
      <c r="AS49" s="424"/>
      <c r="AT49" s="424"/>
      <c r="AU49" s="424"/>
      <c r="AV49" s="424"/>
      <c r="AW49" s="424"/>
      <c r="AX49" s="424"/>
      <c r="AY49" s="424"/>
      <c r="AZ49" s="424"/>
      <c r="BA49" s="424"/>
      <c r="BB49" s="424"/>
      <c r="BC49" s="424"/>
      <c r="BD49" s="424"/>
      <c r="BE49" s="424"/>
      <c r="BF49" s="424"/>
      <c r="BG49" s="424"/>
      <c r="BH49" s="424"/>
      <c r="BI49" s="424"/>
      <c r="BJ49" s="424"/>
      <c r="BK49" s="424"/>
      <c r="BL49" s="424"/>
      <c r="BM49" s="424"/>
      <c r="BN49" s="424"/>
      <c r="BO49" s="424"/>
      <c r="BP49" s="424"/>
      <c r="BQ49" s="424"/>
      <c r="BR49" s="424"/>
      <c r="BS49" s="424"/>
      <c r="BT49" s="424"/>
      <c r="BU49" s="424"/>
      <c r="BV49" s="424"/>
      <c r="BW49" s="424"/>
      <c r="BX49" s="424"/>
      <c r="BY49" s="424"/>
      <c r="BZ49" s="424"/>
      <c r="CA49" s="424"/>
      <c r="CB49" s="424"/>
      <c r="CC49" s="424"/>
      <c r="CD49" s="424"/>
      <c r="CE49" s="424"/>
      <c r="CF49" s="424"/>
      <c r="CG49" s="424"/>
      <c r="CH49" s="424"/>
      <c r="CI49" s="424"/>
      <c r="CJ49" s="424"/>
      <c r="CK49" s="424"/>
      <c r="CL49" s="424"/>
      <c r="CM49" s="424"/>
      <c r="CN49" s="424"/>
      <c r="CO49" s="424"/>
      <c r="CP49" s="424"/>
      <c r="CQ49" s="424"/>
      <c r="CR49" s="424"/>
      <c r="CS49" s="424"/>
      <c r="CT49" s="424"/>
      <c r="CU49" s="424"/>
      <c r="CV49" s="424"/>
      <c r="CW49" s="424"/>
      <c r="CX49" s="424"/>
      <c r="CY49" s="424"/>
      <c r="CZ49" s="424"/>
      <c r="DA49" s="424"/>
      <c r="DB49" s="424"/>
      <c r="DC49" s="424"/>
      <c r="DD49" s="424"/>
      <c r="DE49" s="424"/>
      <c r="DF49" s="424"/>
      <c r="DG49" s="424"/>
      <c r="DH49" s="424"/>
      <c r="DI49" s="424"/>
      <c r="DJ49" s="424"/>
      <c r="DK49" s="424"/>
      <c r="DL49" s="424"/>
      <c r="DM49" s="424"/>
      <c r="DN49" s="424"/>
      <c r="DO49" s="424"/>
      <c r="DP49" s="424"/>
      <c r="DQ49" s="424"/>
      <c r="DR49" s="424"/>
      <c r="DS49" s="424"/>
      <c r="DT49" s="424"/>
      <c r="DU49" s="424"/>
      <c r="DV49" s="424"/>
      <c r="DW49" s="424"/>
      <c r="DX49" s="424"/>
      <c r="DY49" s="424"/>
      <c r="DZ49" s="424"/>
      <c r="EA49" s="424"/>
      <c r="EB49" s="424"/>
      <c r="EC49" s="424"/>
      <c r="ED49" s="424"/>
      <c r="EE49" s="424"/>
      <c r="EF49" s="424"/>
      <c r="EG49" s="424"/>
      <c r="EH49" s="424"/>
      <c r="EI49" s="424"/>
      <c r="EJ49" s="424"/>
      <c r="EK49" s="424"/>
      <c r="EL49" s="424"/>
      <c r="EM49" s="424"/>
      <c r="EN49" s="424"/>
      <c r="EO49" s="424"/>
    </row>
    <row r="50" spans="1:145">
      <c r="A50" s="438" t="s">
        <v>215</v>
      </c>
      <c r="B50" s="439" t="s">
        <v>1085</v>
      </c>
      <c r="C50" s="445">
        <v>1</v>
      </c>
      <c r="D50" s="428">
        <v>800</v>
      </c>
      <c r="E50" s="429">
        <v>0</v>
      </c>
      <c r="F50" s="428">
        <f t="shared" ref="F50:F59" si="7">(D50-(D50*E50%))</f>
        <v>800</v>
      </c>
      <c r="G50" s="429">
        <f t="shared" si="2"/>
        <v>0</v>
      </c>
      <c r="H50" s="430">
        <f t="shared" ref="H50:H59" si="8">F50+G50</f>
        <v>800</v>
      </c>
      <c r="Q50" s="424"/>
      <c r="R50" s="424"/>
      <c r="S50" s="424"/>
      <c r="T50" s="424"/>
      <c r="U50" s="424"/>
      <c r="V50" s="424"/>
      <c r="W50" s="424"/>
      <c r="X50" s="424"/>
      <c r="Y50" s="424"/>
      <c r="Z50" s="424"/>
      <c r="AA50" s="424"/>
      <c r="AB50" s="424"/>
      <c r="AC50" s="424"/>
      <c r="AD50" s="424"/>
      <c r="AE50" s="424"/>
      <c r="AF50" s="424"/>
      <c r="AG50" s="424"/>
      <c r="AH50" s="424"/>
      <c r="AI50" s="424"/>
      <c r="AJ50" s="424"/>
      <c r="AK50" s="424"/>
      <c r="AL50" s="424"/>
      <c r="AM50" s="424"/>
      <c r="AN50" s="424"/>
      <c r="AO50" s="424"/>
      <c r="AP50" s="424"/>
      <c r="AQ50" s="424"/>
      <c r="AR50" s="424"/>
      <c r="AS50" s="424"/>
      <c r="AT50" s="424"/>
      <c r="AU50" s="424"/>
      <c r="AV50" s="424"/>
      <c r="AW50" s="424"/>
      <c r="AX50" s="424"/>
      <c r="AY50" s="424"/>
      <c r="AZ50" s="424"/>
      <c r="BA50" s="424"/>
      <c r="BB50" s="424"/>
      <c r="BC50" s="424"/>
      <c r="BD50" s="424"/>
      <c r="BE50" s="424"/>
      <c r="BF50" s="424"/>
      <c r="BG50" s="424"/>
      <c r="BH50" s="424"/>
      <c r="BI50" s="424"/>
      <c r="BJ50" s="424"/>
      <c r="BK50" s="424"/>
      <c r="BL50" s="424"/>
      <c r="BM50" s="424"/>
      <c r="BN50" s="424"/>
      <c r="BO50" s="424"/>
      <c r="BP50" s="424"/>
      <c r="BQ50" s="424"/>
      <c r="BR50" s="424"/>
      <c r="BS50" s="424"/>
      <c r="BT50" s="424"/>
      <c r="BU50" s="424"/>
      <c r="BV50" s="424"/>
      <c r="BW50" s="424"/>
      <c r="BX50" s="424"/>
      <c r="BY50" s="424"/>
      <c r="BZ50" s="424"/>
      <c r="CA50" s="424"/>
      <c r="CB50" s="424"/>
      <c r="CC50" s="424"/>
      <c r="CD50" s="424"/>
      <c r="CE50" s="424"/>
      <c r="CF50" s="424"/>
      <c r="CG50" s="424"/>
      <c r="CH50" s="424"/>
      <c r="CI50" s="424"/>
      <c r="CJ50" s="424"/>
      <c r="CK50" s="424"/>
      <c r="CL50" s="424"/>
      <c r="CM50" s="424"/>
      <c r="CN50" s="424"/>
      <c r="CO50" s="424"/>
      <c r="CP50" s="424"/>
      <c r="CQ50" s="424"/>
      <c r="CR50" s="424"/>
      <c r="CS50" s="424"/>
      <c r="CT50" s="424"/>
      <c r="CU50" s="424"/>
      <c r="CV50" s="424"/>
      <c r="CW50" s="424"/>
      <c r="CX50" s="424"/>
      <c r="CY50" s="424"/>
      <c r="CZ50" s="424"/>
      <c r="DA50" s="424"/>
      <c r="DB50" s="424"/>
      <c r="DC50" s="424"/>
      <c r="DD50" s="424"/>
      <c r="DE50" s="424"/>
      <c r="DF50" s="424"/>
      <c r="DG50" s="424"/>
      <c r="DH50" s="424"/>
      <c r="DI50" s="424"/>
      <c r="DJ50" s="424"/>
      <c r="DK50" s="424"/>
      <c r="DL50" s="424"/>
      <c r="DM50" s="424"/>
      <c r="DN50" s="424"/>
      <c r="DO50" s="424"/>
      <c r="DP50" s="424"/>
      <c r="DQ50" s="424"/>
      <c r="DR50" s="424"/>
      <c r="DS50" s="424"/>
      <c r="DT50" s="424"/>
      <c r="DU50" s="424"/>
      <c r="DV50" s="424"/>
      <c r="DW50" s="424"/>
      <c r="DX50" s="424"/>
      <c r="DY50" s="424"/>
      <c r="DZ50" s="424"/>
      <c r="EA50" s="424"/>
      <c r="EB50" s="424"/>
      <c r="EC50" s="424"/>
      <c r="ED50" s="424"/>
      <c r="EE50" s="424"/>
      <c r="EF50" s="424"/>
      <c r="EG50" s="424"/>
      <c r="EH50" s="424"/>
      <c r="EI50" s="424"/>
      <c r="EJ50" s="424"/>
      <c r="EK50" s="424"/>
      <c r="EL50" s="424"/>
      <c r="EM50" s="424"/>
      <c r="EN50" s="424"/>
      <c r="EO50" s="424"/>
    </row>
    <row r="51" spans="1:145">
      <c r="A51" s="438" t="s">
        <v>215</v>
      </c>
      <c r="B51" s="439" t="s">
        <v>1086</v>
      </c>
      <c r="C51" s="427">
        <v>1</v>
      </c>
      <c r="D51" s="428">
        <v>6</v>
      </c>
      <c r="E51" s="429">
        <v>0</v>
      </c>
      <c r="F51" s="428">
        <f t="shared" si="7"/>
        <v>6</v>
      </c>
      <c r="G51" s="429">
        <f t="shared" si="2"/>
        <v>0</v>
      </c>
      <c r="H51" s="430">
        <f t="shared" si="8"/>
        <v>6</v>
      </c>
      <c r="Q51" s="424"/>
      <c r="R51" s="424"/>
      <c r="S51" s="424"/>
      <c r="T51" s="424"/>
      <c r="U51" s="424"/>
      <c r="V51" s="424"/>
      <c r="W51" s="424"/>
      <c r="X51" s="424"/>
      <c r="Y51" s="424"/>
      <c r="Z51" s="424"/>
      <c r="AA51" s="424"/>
      <c r="AB51" s="424"/>
      <c r="AC51" s="424"/>
      <c r="AD51" s="424"/>
      <c r="AE51" s="424"/>
      <c r="AF51" s="424"/>
      <c r="AG51" s="424"/>
      <c r="AH51" s="424"/>
      <c r="AI51" s="424"/>
      <c r="AJ51" s="424"/>
      <c r="AK51" s="424"/>
      <c r="AL51" s="424"/>
      <c r="AM51" s="424"/>
      <c r="AN51" s="424"/>
      <c r="AO51" s="424"/>
      <c r="AP51" s="424"/>
      <c r="AQ51" s="424"/>
      <c r="AR51" s="424"/>
      <c r="AS51" s="424"/>
      <c r="AT51" s="424"/>
      <c r="AU51" s="424"/>
      <c r="AV51" s="424"/>
      <c r="AW51" s="424"/>
      <c r="AX51" s="424"/>
      <c r="AY51" s="424"/>
      <c r="AZ51" s="424"/>
      <c r="BA51" s="424"/>
      <c r="BB51" s="424"/>
      <c r="BC51" s="424"/>
      <c r="BD51" s="424"/>
      <c r="BE51" s="424"/>
      <c r="BF51" s="424"/>
      <c r="BG51" s="424"/>
      <c r="BH51" s="424"/>
      <c r="BI51" s="424"/>
      <c r="BJ51" s="424"/>
      <c r="BK51" s="424"/>
      <c r="BL51" s="424"/>
      <c r="BM51" s="424"/>
      <c r="BN51" s="424"/>
      <c r="BO51" s="424"/>
      <c r="BP51" s="424"/>
      <c r="BQ51" s="424"/>
      <c r="BR51" s="424"/>
      <c r="BS51" s="424"/>
      <c r="BT51" s="424"/>
      <c r="BU51" s="424"/>
      <c r="BV51" s="424"/>
      <c r="BW51" s="424"/>
      <c r="BX51" s="424"/>
      <c r="BY51" s="424"/>
      <c r="BZ51" s="424"/>
      <c r="CA51" s="424"/>
      <c r="CB51" s="424"/>
      <c r="CC51" s="424"/>
      <c r="CD51" s="424"/>
      <c r="CE51" s="424"/>
      <c r="CF51" s="424"/>
      <c r="CG51" s="424"/>
      <c r="CH51" s="424"/>
      <c r="CI51" s="424"/>
      <c r="CJ51" s="424"/>
      <c r="CK51" s="424"/>
      <c r="CL51" s="424"/>
      <c r="CM51" s="424"/>
      <c r="CN51" s="424"/>
      <c r="CO51" s="424"/>
      <c r="CP51" s="424"/>
      <c r="CQ51" s="424"/>
      <c r="CR51" s="424"/>
      <c r="CS51" s="424"/>
      <c r="CT51" s="424"/>
      <c r="CU51" s="424"/>
      <c r="CV51" s="424"/>
      <c r="CW51" s="424"/>
      <c r="CX51" s="424"/>
      <c r="CY51" s="424"/>
      <c r="CZ51" s="424"/>
      <c r="DA51" s="424"/>
      <c r="DB51" s="424"/>
      <c r="DC51" s="424"/>
      <c r="DD51" s="424"/>
      <c r="DE51" s="424"/>
      <c r="DF51" s="424"/>
      <c r="DG51" s="424"/>
      <c r="DH51" s="424"/>
      <c r="DI51" s="424"/>
      <c r="DJ51" s="424"/>
      <c r="DK51" s="424"/>
      <c r="DL51" s="424"/>
      <c r="DM51" s="424"/>
      <c r="DN51" s="424"/>
      <c r="DO51" s="424"/>
      <c r="DP51" s="424"/>
      <c r="DQ51" s="424"/>
      <c r="DR51" s="424"/>
      <c r="DS51" s="424"/>
      <c r="DT51" s="424"/>
      <c r="DU51" s="424"/>
      <c r="DV51" s="424"/>
      <c r="DW51" s="424"/>
      <c r="DX51" s="424"/>
      <c r="DY51" s="424"/>
      <c r="DZ51" s="424"/>
      <c r="EA51" s="424"/>
      <c r="EB51" s="424"/>
      <c r="EC51" s="424"/>
      <c r="ED51" s="424"/>
      <c r="EE51" s="424"/>
      <c r="EF51" s="424"/>
      <c r="EG51" s="424"/>
      <c r="EH51" s="424"/>
      <c r="EI51" s="424"/>
      <c r="EJ51" s="424"/>
      <c r="EK51" s="424"/>
      <c r="EL51" s="424"/>
      <c r="EM51" s="424"/>
      <c r="EN51" s="424"/>
      <c r="EO51" s="424"/>
    </row>
    <row r="52" spans="1:145">
      <c r="A52" s="438" t="s">
        <v>215</v>
      </c>
      <c r="B52" s="439" t="s">
        <v>1087</v>
      </c>
      <c r="C52" s="427">
        <v>1</v>
      </c>
      <c r="D52" s="428">
        <v>1500</v>
      </c>
      <c r="E52" s="429">
        <v>0</v>
      </c>
      <c r="F52" s="428">
        <f t="shared" si="7"/>
        <v>1500</v>
      </c>
      <c r="G52" s="429">
        <f t="shared" si="2"/>
        <v>0</v>
      </c>
      <c r="H52" s="430">
        <f t="shared" si="8"/>
        <v>1500</v>
      </c>
      <c r="Q52" s="424"/>
      <c r="R52" s="424"/>
      <c r="S52" s="424"/>
      <c r="T52" s="424"/>
      <c r="U52" s="424"/>
      <c r="V52" s="424"/>
      <c r="W52" s="424"/>
      <c r="X52" s="424"/>
      <c r="Y52" s="424"/>
      <c r="Z52" s="424"/>
      <c r="AA52" s="424"/>
      <c r="AB52" s="424"/>
      <c r="AC52" s="424"/>
      <c r="AD52" s="424"/>
      <c r="AE52" s="424"/>
      <c r="AF52" s="424"/>
      <c r="AG52" s="424"/>
      <c r="AH52" s="424"/>
      <c r="AI52" s="424"/>
      <c r="AJ52" s="424"/>
      <c r="AK52" s="424"/>
      <c r="AL52" s="424"/>
      <c r="AM52" s="424"/>
      <c r="AN52" s="424"/>
      <c r="AO52" s="424"/>
      <c r="AP52" s="424"/>
      <c r="AQ52" s="424"/>
      <c r="AR52" s="424"/>
      <c r="AS52" s="424"/>
      <c r="AT52" s="424"/>
      <c r="AU52" s="424"/>
      <c r="AV52" s="424"/>
      <c r="AW52" s="424"/>
      <c r="AX52" s="424"/>
      <c r="AY52" s="424"/>
      <c r="AZ52" s="424"/>
      <c r="BA52" s="424"/>
      <c r="BB52" s="424"/>
      <c r="BC52" s="424"/>
      <c r="BD52" s="424"/>
      <c r="BE52" s="424"/>
      <c r="BF52" s="424"/>
      <c r="BG52" s="424"/>
      <c r="BH52" s="424"/>
      <c r="BI52" s="424"/>
      <c r="BJ52" s="424"/>
      <c r="BK52" s="424"/>
      <c r="BL52" s="424"/>
      <c r="BM52" s="424"/>
      <c r="BN52" s="424"/>
      <c r="BO52" s="424"/>
      <c r="BP52" s="424"/>
      <c r="BQ52" s="424"/>
      <c r="BR52" s="424"/>
      <c r="BS52" s="424"/>
      <c r="BT52" s="424"/>
      <c r="BU52" s="424"/>
      <c r="BV52" s="424"/>
      <c r="BW52" s="424"/>
      <c r="BX52" s="424"/>
      <c r="BY52" s="424"/>
      <c r="BZ52" s="424"/>
      <c r="CA52" s="424"/>
      <c r="CB52" s="424"/>
      <c r="CC52" s="424"/>
      <c r="CD52" s="424"/>
      <c r="CE52" s="424"/>
      <c r="CF52" s="424"/>
      <c r="CG52" s="424"/>
      <c r="CH52" s="424"/>
      <c r="CI52" s="424"/>
      <c r="CJ52" s="424"/>
      <c r="CK52" s="424"/>
      <c r="CL52" s="424"/>
      <c r="CM52" s="424"/>
      <c r="CN52" s="424"/>
      <c r="CO52" s="424"/>
      <c r="CP52" s="424"/>
      <c r="CQ52" s="424"/>
      <c r="CR52" s="424"/>
      <c r="CS52" s="424"/>
      <c r="CT52" s="424"/>
      <c r="CU52" s="424"/>
      <c r="CV52" s="424"/>
      <c r="CW52" s="424"/>
      <c r="CX52" s="424"/>
      <c r="CY52" s="424"/>
      <c r="CZ52" s="424"/>
      <c r="DA52" s="424"/>
      <c r="DB52" s="424"/>
      <c r="DC52" s="424"/>
      <c r="DD52" s="424"/>
      <c r="DE52" s="424"/>
      <c r="DF52" s="424"/>
      <c r="DG52" s="424"/>
      <c r="DH52" s="424"/>
      <c r="DI52" s="424"/>
      <c r="DJ52" s="424"/>
      <c r="DK52" s="424"/>
      <c r="DL52" s="424"/>
      <c r="DM52" s="424"/>
      <c r="DN52" s="424"/>
      <c r="DO52" s="424"/>
      <c r="DP52" s="424"/>
      <c r="DQ52" s="424"/>
      <c r="DR52" s="424"/>
      <c r="DS52" s="424"/>
      <c r="DT52" s="424"/>
      <c r="DU52" s="424"/>
      <c r="DV52" s="424"/>
      <c r="DW52" s="424"/>
      <c r="DX52" s="424"/>
      <c r="DY52" s="424"/>
      <c r="DZ52" s="424"/>
      <c r="EA52" s="424"/>
      <c r="EB52" s="424"/>
      <c r="EC52" s="424"/>
      <c r="ED52" s="424"/>
      <c r="EE52" s="424"/>
      <c r="EF52" s="424"/>
      <c r="EG52" s="424"/>
      <c r="EH52" s="424"/>
      <c r="EI52" s="424"/>
      <c r="EJ52" s="424"/>
      <c r="EK52" s="424"/>
      <c r="EL52" s="424"/>
      <c r="EM52" s="424"/>
      <c r="EN52" s="424"/>
      <c r="EO52" s="424"/>
    </row>
    <row r="53" spans="1:145">
      <c r="A53" s="438" t="s">
        <v>215</v>
      </c>
      <c r="B53" s="439" t="s">
        <v>1088</v>
      </c>
      <c r="C53" s="427">
        <v>1</v>
      </c>
      <c r="D53" s="428">
        <v>900</v>
      </c>
      <c r="E53" s="429">
        <v>0</v>
      </c>
      <c r="F53" s="428">
        <f t="shared" si="7"/>
        <v>900</v>
      </c>
      <c r="G53" s="429">
        <f t="shared" si="2"/>
        <v>0</v>
      </c>
      <c r="H53" s="430">
        <f t="shared" si="8"/>
        <v>900</v>
      </c>
      <c r="Q53" s="424"/>
      <c r="R53" s="424"/>
      <c r="S53" s="424"/>
      <c r="T53" s="424"/>
      <c r="U53" s="424"/>
      <c r="V53" s="424"/>
      <c r="W53" s="424"/>
      <c r="X53" s="424"/>
      <c r="Y53" s="424"/>
      <c r="Z53" s="424"/>
      <c r="AA53" s="424"/>
      <c r="AB53" s="424"/>
      <c r="AC53" s="424"/>
      <c r="AD53" s="424"/>
      <c r="AE53" s="424"/>
      <c r="AF53" s="424"/>
      <c r="AG53" s="424"/>
      <c r="AH53" s="424"/>
      <c r="AI53" s="424"/>
      <c r="AJ53" s="424"/>
      <c r="AK53" s="424"/>
      <c r="AL53" s="424"/>
      <c r="AM53" s="424"/>
      <c r="AN53" s="424"/>
      <c r="AO53" s="424"/>
      <c r="AP53" s="424"/>
      <c r="AQ53" s="424"/>
      <c r="AR53" s="424"/>
      <c r="AS53" s="424"/>
      <c r="AT53" s="424"/>
      <c r="AU53" s="424"/>
      <c r="AV53" s="424"/>
      <c r="AW53" s="424"/>
      <c r="AX53" s="424"/>
      <c r="AY53" s="424"/>
      <c r="AZ53" s="424"/>
      <c r="BA53" s="424"/>
      <c r="BB53" s="424"/>
      <c r="BC53" s="424"/>
      <c r="BD53" s="424"/>
      <c r="BE53" s="424"/>
      <c r="BF53" s="424"/>
      <c r="BG53" s="424"/>
      <c r="BH53" s="424"/>
      <c r="BI53" s="424"/>
      <c r="BJ53" s="424"/>
      <c r="BK53" s="424"/>
      <c r="BL53" s="424"/>
      <c r="BM53" s="424"/>
      <c r="BN53" s="424"/>
      <c r="BO53" s="424"/>
      <c r="BP53" s="424"/>
      <c r="BQ53" s="424"/>
      <c r="BR53" s="424"/>
      <c r="BS53" s="424"/>
      <c r="BT53" s="424"/>
      <c r="BU53" s="424"/>
      <c r="BV53" s="424"/>
      <c r="BW53" s="424"/>
      <c r="BX53" s="424"/>
      <c r="BY53" s="424"/>
      <c r="BZ53" s="424"/>
      <c r="CA53" s="424"/>
      <c r="CB53" s="424"/>
      <c r="CC53" s="424"/>
      <c r="CD53" s="424"/>
      <c r="CE53" s="424"/>
      <c r="CF53" s="424"/>
      <c r="CG53" s="424"/>
      <c r="CH53" s="424"/>
      <c r="CI53" s="424"/>
      <c r="CJ53" s="424"/>
      <c r="CK53" s="424"/>
      <c r="CL53" s="424"/>
      <c r="CM53" s="424"/>
      <c r="CN53" s="424"/>
      <c r="CO53" s="424"/>
      <c r="CP53" s="424"/>
      <c r="CQ53" s="424"/>
      <c r="CR53" s="424"/>
      <c r="CS53" s="424"/>
      <c r="CT53" s="424"/>
      <c r="CU53" s="424"/>
      <c r="CV53" s="424"/>
      <c r="CW53" s="424"/>
      <c r="CX53" s="424"/>
      <c r="CY53" s="424"/>
      <c r="CZ53" s="424"/>
      <c r="DA53" s="424"/>
      <c r="DB53" s="424"/>
      <c r="DC53" s="424"/>
      <c r="DD53" s="424"/>
      <c r="DE53" s="424"/>
      <c r="DF53" s="424"/>
      <c r="DG53" s="424"/>
      <c r="DH53" s="424"/>
      <c r="DI53" s="424"/>
      <c r="DJ53" s="424"/>
      <c r="DK53" s="424"/>
      <c r="DL53" s="424"/>
      <c r="DM53" s="424"/>
      <c r="DN53" s="424"/>
      <c r="DO53" s="424"/>
      <c r="DP53" s="424"/>
      <c r="DQ53" s="424"/>
      <c r="DR53" s="424"/>
      <c r="DS53" s="424"/>
      <c r="DT53" s="424"/>
      <c r="DU53" s="424"/>
      <c r="DV53" s="424"/>
      <c r="DW53" s="424"/>
      <c r="DX53" s="424"/>
      <c r="DY53" s="424"/>
      <c r="DZ53" s="424"/>
      <c r="EA53" s="424"/>
      <c r="EB53" s="424"/>
      <c r="EC53" s="424"/>
      <c r="ED53" s="424"/>
      <c r="EE53" s="424"/>
      <c r="EF53" s="424"/>
      <c r="EG53" s="424"/>
      <c r="EH53" s="424"/>
      <c r="EI53" s="424"/>
      <c r="EJ53" s="424"/>
      <c r="EK53" s="424"/>
      <c r="EL53" s="424"/>
      <c r="EM53" s="424"/>
      <c r="EN53" s="424"/>
      <c r="EO53" s="424"/>
    </row>
    <row r="54" spans="1:145">
      <c r="A54" s="438" t="s">
        <v>215</v>
      </c>
      <c r="B54" s="439" t="s">
        <v>1089</v>
      </c>
      <c r="C54" s="445">
        <v>1</v>
      </c>
      <c r="D54" s="428">
        <v>800</v>
      </c>
      <c r="E54" s="429">
        <v>0</v>
      </c>
      <c r="F54" s="428">
        <f t="shared" si="7"/>
        <v>800</v>
      </c>
      <c r="G54" s="429">
        <f t="shared" si="2"/>
        <v>0</v>
      </c>
      <c r="H54" s="430">
        <f t="shared" si="8"/>
        <v>800</v>
      </c>
      <c r="Q54" s="424"/>
      <c r="R54" s="424"/>
      <c r="S54" s="424"/>
      <c r="T54" s="424"/>
      <c r="U54" s="424"/>
      <c r="V54" s="424"/>
      <c r="W54" s="424"/>
      <c r="X54" s="424"/>
      <c r="Y54" s="424"/>
      <c r="Z54" s="424"/>
      <c r="AA54" s="424"/>
      <c r="AB54" s="424"/>
      <c r="AC54" s="424"/>
      <c r="AD54" s="424"/>
      <c r="AE54" s="424"/>
      <c r="AF54" s="424"/>
      <c r="AG54" s="424"/>
      <c r="AH54" s="424"/>
      <c r="AI54" s="424"/>
      <c r="AJ54" s="424"/>
      <c r="AK54" s="424"/>
      <c r="AL54" s="424"/>
      <c r="AM54" s="424"/>
      <c r="AN54" s="424"/>
      <c r="AO54" s="424"/>
      <c r="AP54" s="424"/>
      <c r="AQ54" s="424"/>
      <c r="AR54" s="424"/>
      <c r="AS54" s="424"/>
      <c r="AT54" s="424"/>
      <c r="AU54" s="424"/>
      <c r="AV54" s="424"/>
      <c r="AW54" s="424"/>
      <c r="AX54" s="424"/>
      <c r="AY54" s="424"/>
      <c r="AZ54" s="424"/>
      <c r="BA54" s="424"/>
      <c r="BB54" s="424"/>
      <c r="BC54" s="424"/>
      <c r="BD54" s="424"/>
      <c r="BE54" s="424"/>
      <c r="BF54" s="424"/>
      <c r="BG54" s="424"/>
      <c r="BH54" s="424"/>
      <c r="BI54" s="424"/>
      <c r="BJ54" s="424"/>
      <c r="BK54" s="424"/>
      <c r="BL54" s="424"/>
      <c r="BM54" s="424"/>
      <c r="BN54" s="424"/>
      <c r="BO54" s="424"/>
      <c r="BP54" s="424"/>
      <c r="BQ54" s="424"/>
      <c r="BR54" s="424"/>
      <c r="BS54" s="424"/>
      <c r="BT54" s="424"/>
      <c r="BU54" s="424"/>
      <c r="BV54" s="424"/>
      <c r="BW54" s="424"/>
      <c r="BX54" s="424"/>
      <c r="BY54" s="424"/>
      <c r="BZ54" s="424"/>
      <c r="CA54" s="424"/>
      <c r="CB54" s="424"/>
      <c r="CC54" s="424"/>
      <c r="CD54" s="424"/>
      <c r="CE54" s="424"/>
      <c r="CF54" s="424"/>
      <c r="CG54" s="424"/>
      <c r="CH54" s="424"/>
      <c r="CI54" s="424"/>
      <c r="CJ54" s="424"/>
      <c r="CK54" s="424"/>
      <c r="CL54" s="424"/>
      <c r="CM54" s="424"/>
      <c r="CN54" s="424"/>
      <c r="CO54" s="424"/>
      <c r="CP54" s="424"/>
      <c r="CQ54" s="424"/>
      <c r="CR54" s="424"/>
      <c r="CS54" s="424"/>
      <c r="CT54" s="424"/>
      <c r="CU54" s="424"/>
      <c r="CV54" s="424"/>
      <c r="CW54" s="424"/>
      <c r="CX54" s="424"/>
      <c r="CY54" s="424"/>
      <c r="CZ54" s="424"/>
      <c r="DA54" s="424"/>
      <c r="DB54" s="424"/>
      <c r="DC54" s="424"/>
      <c r="DD54" s="424"/>
      <c r="DE54" s="424"/>
      <c r="DF54" s="424"/>
      <c r="DG54" s="424"/>
      <c r="DH54" s="424"/>
      <c r="DI54" s="424"/>
      <c r="DJ54" s="424"/>
      <c r="DK54" s="424"/>
      <c r="DL54" s="424"/>
      <c r="DM54" s="424"/>
      <c r="DN54" s="424"/>
      <c r="DO54" s="424"/>
      <c r="DP54" s="424"/>
      <c r="DQ54" s="424"/>
      <c r="DR54" s="424"/>
      <c r="DS54" s="424"/>
      <c r="DT54" s="424"/>
      <c r="DU54" s="424"/>
      <c r="DV54" s="424"/>
      <c r="DW54" s="424"/>
      <c r="DX54" s="424"/>
      <c r="DY54" s="424"/>
      <c r="DZ54" s="424"/>
      <c r="EA54" s="424"/>
      <c r="EB54" s="424"/>
      <c r="EC54" s="424"/>
      <c r="ED54" s="424"/>
      <c r="EE54" s="424"/>
      <c r="EF54" s="424"/>
      <c r="EG54" s="424"/>
      <c r="EH54" s="424"/>
      <c r="EI54" s="424"/>
      <c r="EJ54" s="424"/>
      <c r="EK54" s="424"/>
      <c r="EL54" s="424"/>
      <c r="EM54" s="424"/>
      <c r="EN54" s="424"/>
      <c r="EO54" s="424"/>
    </row>
    <row r="55" spans="1:145">
      <c r="A55" s="438" t="s">
        <v>215</v>
      </c>
      <c r="B55" s="439" t="s">
        <v>1090</v>
      </c>
      <c r="C55" s="427">
        <v>1</v>
      </c>
      <c r="D55" s="428">
        <v>2100</v>
      </c>
      <c r="E55" s="429">
        <v>0</v>
      </c>
      <c r="F55" s="428">
        <f t="shared" si="7"/>
        <v>2100</v>
      </c>
      <c r="G55" s="429">
        <f t="shared" si="2"/>
        <v>0</v>
      </c>
      <c r="H55" s="430">
        <f t="shared" si="8"/>
        <v>2100</v>
      </c>
      <c r="Q55" s="424"/>
      <c r="R55" s="424"/>
      <c r="S55" s="424"/>
      <c r="T55" s="424"/>
      <c r="U55" s="424"/>
      <c r="V55" s="424"/>
      <c r="W55" s="424"/>
      <c r="X55" s="424"/>
      <c r="Y55" s="424"/>
      <c r="Z55" s="424"/>
      <c r="AA55" s="424"/>
      <c r="AB55" s="424"/>
      <c r="AC55" s="424"/>
      <c r="AD55" s="424"/>
      <c r="AE55" s="424"/>
      <c r="AF55" s="424"/>
      <c r="AG55" s="424"/>
      <c r="AH55" s="424"/>
      <c r="AI55" s="424"/>
      <c r="AJ55" s="424"/>
      <c r="AK55" s="424"/>
      <c r="AL55" s="424"/>
      <c r="AM55" s="424"/>
      <c r="AN55" s="424"/>
      <c r="AO55" s="424"/>
      <c r="AP55" s="424"/>
      <c r="AQ55" s="424"/>
      <c r="AR55" s="424"/>
      <c r="AS55" s="424"/>
      <c r="AT55" s="424"/>
      <c r="AU55" s="424"/>
      <c r="AV55" s="424"/>
      <c r="AW55" s="424"/>
      <c r="AX55" s="424"/>
      <c r="AY55" s="424"/>
      <c r="AZ55" s="424"/>
      <c r="BA55" s="424"/>
      <c r="BB55" s="424"/>
      <c r="BC55" s="424"/>
      <c r="BD55" s="424"/>
      <c r="BE55" s="424"/>
      <c r="BF55" s="424"/>
      <c r="BG55" s="424"/>
      <c r="BH55" s="424"/>
      <c r="BI55" s="424"/>
      <c r="BJ55" s="424"/>
      <c r="BK55" s="424"/>
      <c r="BL55" s="424"/>
      <c r="BM55" s="424"/>
      <c r="BN55" s="424"/>
      <c r="BO55" s="424"/>
      <c r="BP55" s="424"/>
      <c r="BQ55" s="424"/>
      <c r="BR55" s="424"/>
      <c r="BS55" s="424"/>
      <c r="BT55" s="424"/>
      <c r="BU55" s="424"/>
      <c r="BV55" s="424"/>
      <c r="BW55" s="424"/>
      <c r="BX55" s="424"/>
      <c r="BY55" s="424"/>
      <c r="BZ55" s="424"/>
      <c r="CA55" s="424"/>
      <c r="CB55" s="424"/>
      <c r="CC55" s="424"/>
      <c r="CD55" s="424"/>
      <c r="CE55" s="424"/>
      <c r="CF55" s="424"/>
      <c r="CG55" s="424"/>
      <c r="CH55" s="424"/>
      <c r="CI55" s="424"/>
      <c r="CJ55" s="424"/>
      <c r="CK55" s="424"/>
      <c r="CL55" s="424"/>
      <c r="CM55" s="424"/>
      <c r="CN55" s="424"/>
      <c r="CO55" s="424"/>
      <c r="CP55" s="424"/>
      <c r="CQ55" s="424"/>
      <c r="CR55" s="424"/>
      <c r="CS55" s="424"/>
      <c r="CT55" s="424"/>
      <c r="CU55" s="424"/>
      <c r="CV55" s="424"/>
      <c r="CW55" s="424"/>
      <c r="CX55" s="424"/>
      <c r="CY55" s="424"/>
      <c r="CZ55" s="424"/>
      <c r="DA55" s="424"/>
      <c r="DB55" s="424"/>
      <c r="DC55" s="424"/>
      <c r="DD55" s="424"/>
      <c r="DE55" s="424"/>
      <c r="DF55" s="424"/>
      <c r="DG55" s="424"/>
      <c r="DH55" s="424"/>
      <c r="DI55" s="424"/>
      <c r="DJ55" s="424"/>
      <c r="DK55" s="424"/>
      <c r="DL55" s="424"/>
      <c r="DM55" s="424"/>
      <c r="DN55" s="424"/>
      <c r="DO55" s="424"/>
      <c r="DP55" s="424"/>
      <c r="DQ55" s="424"/>
      <c r="DR55" s="424"/>
      <c r="DS55" s="424"/>
      <c r="DT55" s="424"/>
      <c r="DU55" s="424"/>
      <c r="DV55" s="424"/>
      <c r="DW55" s="424"/>
      <c r="DX55" s="424"/>
      <c r="DY55" s="424"/>
      <c r="DZ55" s="424"/>
      <c r="EA55" s="424"/>
      <c r="EB55" s="424"/>
      <c r="EC55" s="424"/>
      <c r="ED55" s="424"/>
      <c r="EE55" s="424"/>
      <c r="EF55" s="424"/>
      <c r="EG55" s="424"/>
      <c r="EH55" s="424"/>
      <c r="EI55" s="424"/>
      <c r="EJ55" s="424"/>
      <c r="EK55" s="424"/>
      <c r="EL55" s="424"/>
      <c r="EM55" s="424"/>
      <c r="EN55" s="424"/>
      <c r="EO55" s="424"/>
    </row>
    <row r="56" spans="1:145">
      <c r="A56" s="438" t="s">
        <v>215</v>
      </c>
      <c r="B56" s="439" t="s">
        <v>1091</v>
      </c>
      <c r="C56" s="427">
        <v>1</v>
      </c>
      <c r="D56" s="428">
        <v>300</v>
      </c>
      <c r="E56" s="429">
        <v>0</v>
      </c>
      <c r="F56" s="428">
        <f t="shared" si="7"/>
        <v>300</v>
      </c>
      <c r="G56" s="429">
        <f t="shared" si="2"/>
        <v>0</v>
      </c>
      <c r="H56" s="430">
        <f t="shared" si="8"/>
        <v>300</v>
      </c>
      <c r="Q56" s="424"/>
      <c r="R56" s="424"/>
      <c r="S56" s="424"/>
      <c r="T56" s="424"/>
      <c r="U56" s="424"/>
      <c r="V56" s="424"/>
      <c r="W56" s="424"/>
      <c r="X56" s="424"/>
      <c r="Y56" s="424"/>
      <c r="Z56" s="424"/>
      <c r="AA56" s="424"/>
      <c r="AB56" s="424"/>
      <c r="AC56" s="424"/>
      <c r="AD56" s="424"/>
      <c r="AE56" s="424"/>
      <c r="AF56" s="424"/>
      <c r="AG56" s="424"/>
      <c r="AH56" s="424"/>
      <c r="AI56" s="424"/>
      <c r="AJ56" s="424"/>
      <c r="AK56" s="424"/>
      <c r="AL56" s="424"/>
      <c r="AM56" s="424"/>
      <c r="AN56" s="424"/>
      <c r="AO56" s="424"/>
      <c r="AP56" s="424"/>
      <c r="AQ56" s="424"/>
      <c r="AR56" s="424"/>
      <c r="AS56" s="424"/>
      <c r="AT56" s="424"/>
      <c r="AU56" s="424"/>
      <c r="AV56" s="424"/>
      <c r="AW56" s="424"/>
      <c r="AX56" s="424"/>
      <c r="AY56" s="424"/>
      <c r="AZ56" s="424"/>
      <c r="BA56" s="424"/>
      <c r="BB56" s="424"/>
      <c r="BC56" s="424"/>
      <c r="BD56" s="424"/>
      <c r="BE56" s="424"/>
      <c r="BF56" s="424"/>
      <c r="BG56" s="424"/>
      <c r="BH56" s="424"/>
      <c r="BI56" s="424"/>
      <c r="BJ56" s="424"/>
      <c r="BK56" s="424"/>
      <c r="BL56" s="424"/>
      <c r="BM56" s="424"/>
      <c r="BN56" s="424"/>
      <c r="BO56" s="424"/>
      <c r="BP56" s="424"/>
      <c r="BQ56" s="424"/>
      <c r="BR56" s="424"/>
      <c r="BS56" s="424"/>
      <c r="BT56" s="424"/>
      <c r="BU56" s="424"/>
      <c r="BV56" s="424"/>
      <c r="BW56" s="424"/>
      <c r="BX56" s="424"/>
      <c r="BY56" s="424"/>
      <c r="BZ56" s="424"/>
      <c r="CA56" s="424"/>
      <c r="CB56" s="424"/>
      <c r="CC56" s="424"/>
      <c r="CD56" s="424"/>
      <c r="CE56" s="424"/>
      <c r="CF56" s="424"/>
      <c r="CG56" s="424"/>
      <c r="CH56" s="424"/>
      <c r="CI56" s="424"/>
      <c r="CJ56" s="424"/>
      <c r="CK56" s="424"/>
      <c r="CL56" s="424"/>
      <c r="CM56" s="424"/>
      <c r="CN56" s="424"/>
      <c r="CO56" s="424"/>
      <c r="CP56" s="424"/>
      <c r="CQ56" s="424"/>
      <c r="CR56" s="424"/>
      <c r="CS56" s="424"/>
      <c r="CT56" s="424"/>
      <c r="CU56" s="424"/>
      <c r="CV56" s="424"/>
      <c r="CW56" s="424"/>
      <c r="CX56" s="424"/>
      <c r="CY56" s="424"/>
      <c r="CZ56" s="424"/>
      <c r="DA56" s="424"/>
      <c r="DB56" s="424"/>
      <c r="DC56" s="424"/>
      <c r="DD56" s="424"/>
      <c r="DE56" s="424"/>
      <c r="DF56" s="424"/>
      <c r="DG56" s="424"/>
      <c r="DH56" s="424"/>
      <c r="DI56" s="424"/>
      <c r="DJ56" s="424"/>
      <c r="DK56" s="424"/>
      <c r="DL56" s="424"/>
      <c r="DM56" s="424"/>
      <c r="DN56" s="424"/>
      <c r="DO56" s="424"/>
      <c r="DP56" s="424"/>
      <c r="DQ56" s="424"/>
      <c r="DR56" s="424"/>
      <c r="DS56" s="424"/>
      <c r="DT56" s="424"/>
      <c r="DU56" s="424"/>
      <c r="DV56" s="424"/>
      <c r="DW56" s="424"/>
      <c r="DX56" s="424"/>
      <c r="DY56" s="424"/>
      <c r="DZ56" s="424"/>
      <c r="EA56" s="424"/>
      <c r="EB56" s="424"/>
      <c r="EC56" s="424"/>
      <c r="ED56" s="424"/>
      <c r="EE56" s="424"/>
      <c r="EF56" s="424"/>
      <c r="EG56" s="424"/>
      <c r="EH56" s="424"/>
      <c r="EI56" s="424"/>
      <c r="EJ56" s="424"/>
      <c r="EK56" s="424"/>
      <c r="EL56" s="424"/>
      <c r="EM56" s="424"/>
      <c r="EN56" s="424"/>
      <c r="EO56" s="424"/>
    </row>
    <row r="57" spans="1:145">
      <c r="A57" s="438" t="s">
        <v>215</v>
      </c>
      <c r="B57" s="439" t="s">
        <v>1092</v>
      </c>
      <c r="C57" s="427">
        <v>1</v>
      </c>
      <c r="D57" s="428">
        <v>500</v>
      </c>
      <c r="E57" s="429">
        <v>0</v>
      </c>
      <c r="F57" s="428">
        <f t="shared" si="7"/>
        <v>500</v>
      </c>
      <c r="G57" s="429">
        <f t="shared" si="2"/>
        <v>0</v>
      </c>
      <c r="H57" s="430">
        <f t="shared" si="8"/>
        <v>500</v>
      </c>
      <c r="Q57" s="424"/>
      <c r="R57" s="424"/>
      <c r="S57" s="424"/>
      <c r="T57" s="424"/>
      <c r="U57" s="424"/>
      <c r="V57" s="424"/>
      <c r="W57" s="424"/>
      <c r="X57" s="424"/>
      <c r="Y57" s="424"/>
      <c r="Z57" s="424"/>
      <c r="AA57" s="424"/>
      <c r="AB57" s="424"/>
      <c r="AC57" s="424"/>
      <c r="AD57" s="424"/>
      <c r="AE57" s="424"/>
      <c r="AF57" s="424"/>
      <c r="AG57" s="424"/>
      <c r="AH57" s="424"/>
      <c r="AI57" s="424"/>
      <c r="AJ57" s="424"/>
      <c r="AK57" s="424"/>
      <c r="AL57" s="424"/>
      <c r="AM57" s="424"/>
      <c r="AN57" s="424"/>
      <c r="AO57" s="424"/>
      <c r="AP57" s="424"/>
      <c r="AQ57" s="424"/>
      <c r="AR57" s="424"/>
      <c r="AS57" s="424"/>
      <c r="AT57" s="424"/>
      <c r="AU57" s="424"/>
      <c r="AV57" s="424"/>
      <c r="AW57" s="424"/>
      <c r="AX57" s="424"/>
      <c r="AY57" s="424"/>
      <c r="AZ57" s="424"/>
      <c r="BA57" s="424"/>
      <c r="BB57" s="424"/>
      <c r="BC57" s="424"/>
      <c r="BD57" s="424"/>
      <c r="BE57" s="424"/>
      <c r="BF57" s="424"/>
      <c r="BG57" s="424"/>
      <c r="BH57" s="424"/>
      <c r="BI57" s="424"/>
      <c r="BJ57" s="424"/>
      <c r="BK57" s="424"/>
      <c r="BL57" s="424"/>
      <c r="BM57" s="424"/>
      <c r="BN57" s="424"/>
      <c r="BO57" s="424"/>
      <c r="BP57" s="424"/>
      <c r="BQ57" s="424"/>
      <c r="BR57" s="424"/>
      <c r="BS57" s="424"/>
      <c r="BT57" s="424"/>
      <c r="BU57" s="424"/>
      <c r="BV57" s="424"/>
      <c r="BW57" s="424"/>
      <c r="BX57" s="424"/>
      <c r="BY57" s="424"/>
      <c r="BZ57" s="424"/>
      <c r="CA57" s="424"/>
      <c r="CB57" s="424"/>
      <c r="CC57" s="424"/>
      <c r="CD57" s="424"/>
      <c r="CE57" s="424"/>
      <c r="CF57" s="424"/>
      <c r="CG57" s="424"/>
      <c r="CH57" s="424"/>
      <c r="CI57" s="424"/>
      <c r="CJ57" s="424"/>
      <c r="CK57" s="424"/>
      <c r="CL57" s="424"/>
      <c r="CM57" s="424"/>
      <c r="CN57" s="424"/>
      <c r="CO57" s="424"/>
      <c r="CP57" s="424"/>
      <c r="CQ57" s="424"/>
      <c r="CR57" s="424"/>
      <c r="CS57" s="424"/>
      <c r="CT57" s="424"/>
      <c r="CU57" s="424"/>
      <c r="CV57" s="424"/>
      <c r="CW57" s="424"/>
      <c r="CX57" s="424"/>
      <c r="CY57" s="424"/>
      <c r="CZ57" s="424"/>
      <c r="DA57" s="424"/>
      <c r="DB57" s="424"/>
      <c r="DC57" s="424"/>
      <c r="DD57" s="424"/>
      <c r="DE57" s="424"/>
      <c r="DF57" s="424"/>
      <c r="DG57" s="424"/>
      <c r="DH57" s="424"/>
      <c r="DI57" s="424"/>
      <c r="DJ57" s="424"/>
      <c r="DK57" s="424"/>
      <c r="DL57" s="424"/>
      <c r="DM57" s="424"/>
      <c r="DN57" s="424"/>
      <c r="DO57" s="424"/>
      <c r="DP57" s="424"/>
      <c r="DQ57" s="424"/>
      <c r="DR57" s="424"/>
      <c r="DS57" s="424"/>
      <c r="DT57" s="424"/>
      <c r="DU57" s="424"/>
      <c r="DV57" s="424"/>
      <c r="DW57" s="424"/>
      <c r="DX57" s="424"/>
      <c r="DY57" s="424"/>
      <c r="DZ57" s="424"/>
      <c r="EA57" s="424"/>
      <c r="EB57" s="424"/>
      <c r="EC57" s="424"/>
      <c r="ED57" s="424"/>
      <c r="EE57" s="424"/>
      <c r="EF57" s="424"/>
      <c r="EG57" s="424"/>
      <c r="EH57" s="424"/>
      <c r="EI57" s="424"/>
      <c r="EJ57" s="424"/>
      <c r="EK57" s="424"/>
      <c r="EL57" s="424"/>
      <c r="EM57" s="424"/>
      <c r="EN57" s="424"/>
      <c r="EO57" s="424"/>
    </row>
    <row r="58" spans="1:145">
      <c r="A58" s="438" t="s">
        <v>215</v>
      </c>
      <c r="B58" s="439" t="s">
        <v>1093</v>
      </c>
      <c r="C58" s="427">
        <v>1</v>
      </c>
      <c r="D58" s="428">
        <v>1000</v>
      </c>
      <c r="E58" s="429">
        <v>0</v>
      </c>
      <c r="F58" s="428">
        <f t="shared" si="7"/>
        <v>1000</v>
      </c>
      <c r="G58" s="429">
        <f t="shared" si="2"/>
        <v>0</v>
      </c>
      <c r="H58" s="430">
        <f t="shared" si="8"/>
        <v>1000</v>
      </c>
      <c r="Q58" s="424"/>
      <c r="R58" s="424"/>
      <c r="S58" s="424"/>
      <c r="T58" s="424"/>
      <c r="U58" s="424"/>
      <c r="V58" s="424"/>
      <c r="W58" s="424"/>
      <c r="X58" s="424"/>
      <c r="Y58" s="424"/>
      <c r="Z58" s="424"/>
      <c r="AA58" s="424"/>
      <c r="AB58" s="424"/>
      <c r="AC58" s="424"/>
      <c r="AD58" s="424"/>
      <c r="AE58" s="424"/>
      <c r="AF58" s="424"/>
      <c r="AG58" s="424"/>
      <c r="AH58" s="424"/>
      <c r="AI58" s="424"/>
      <c r="AJ58" s="424"/>
      <c r="AK58" s="424"/>
      <c r="AL58" s="424"/>
      <c r="AM58" s="424"/>
      <c r="AN58" s="424"/>
      <c r="AO58" s="424"/>
      <c r="AP58" s="424"/>
      <c r="AQ58" s="424"/>
      <c r="AR58" s="424"/>
      <c r="AS58" s="424"/>
      <c r="AT58" s="424"/>
      <c r="AU58" s="424"/>
      <c r="AV58" s="424"/>
      <c r="AW58" s="424"/>
      <c r="AX58" s="424"/>
      <c r="AY58" s="424"/>
      <c r="AZ58" s="424"/>
      <c r="BA58" s="424"/>
      <c r="BB58" s="424"/>
      <c r="BC58" s="424"/>
      <c r="BD58" s="424"/>
      <c r="BE58" s="424"/>
      <c r="BF58" s="424"/>
      <c r="BG58" s="424"/>
      <c r="BH58" s="424"/>
      <c r="BI58" s="424"/>
      <c r="BJ58" s="424"/>
      <c r="BK58" s="424"/>
      <c r="BL58" s="424"/>
      <c r="BM58" s="424"/>
      <c r="BN58" s="424"/>
      <c r="BO58" s="424"/>
      <c r="BP58" s="424"/>
      <c r="BQ58" s="424"/>
      <c r="BR58" s="424"/>
      <c r="BS58" s="424"/>
      <c r="BT58" s="424"/>
      <c r="BU58" s="424"/>
      <c r="BV58" s="424"/>
      <c r="BW58" s="424"/>
      <c r="BX58" s="424"/>
      <c r="BY58" s="424"/>
      <c r="BZ58" s="424"/>
      <c r="CA58" s="424"/>
      <c r="CB58" s="424"/>
      <c r="CC58" s="424"/>
      <c r="CD58" s="424"/>
      <c r="CE58" s="424"/>
      <c r="CF58" s="424"/>
      <c r="CG58" s="424"/>
      <c r="CH58" s="424"/>
      <c r="CI58" s="424"/>
      <c r="CJ58" s="424"/>
      <c r="CK58" s="424"/>
      <c r="CL58" s="424"/>
      <c r="CM58" s="424"/>
      <c r="CN58" s="424"/>
      <c r="CO58" s="424"/>
      <c r="CP58" s="424"/>
      <c r="CQ58" s="424"/>
      <c r="CR58" s="424"/>
      <c r="CS58" s="424"/>
      <c r="CT58" s="424"/>
      <c r="CU58" s="424"/>
      <c r="CV58" s="424"/>
      <c r="CW58" s="424"/>
      <c r="CX58" s="424"/>
      <c r="CY58" s="424"/>
      <c r="CZ58" s="424"/>
      <c r="DA58" s="424"/>
      <c r="DB58" s="424"/>
      <c r="DC58" s="424"/>
      <c r="DD58" s="424"/>
      <c r="DE58" s="424"/>
      <c r="DF58" s="424"/>
      <c r="DG58" s="424"/>
      <c r="DH58" s="424"/>
      <c r="DI58" s="424"/>
      <c r="DJ58" s="424"/>
      <c r="DK58" s="424"/>
      <c r="DL58" s="424"/>
      <c r="DM58" s="424"/>
      <c r="DN58" s="424"/>
      <c r="DO58" s="424"/>
      <c r="DP58" s="424"/>
      <c r="DQ58" s="424"/>
      <c r="DR58" s="424"/>
      <c r="DS58" s="424"/>
      <c r="DT58" s="424"/>
      <c r="DU58" s="424"/>
      <c r="DV58" s="424"/>
      <c r="DW58" s="424"/>
      <c r="DX58" s="424"/>
      <c r="DY58" s="424"/>
      <c r="DZ58" s="424"/>
      <c r="EA58" s="424"/>
      <c r="EB58" s="424"/>
      <c r="EC58" s="424"/>
      <c r="ED58" s="424"/>
      <c r="EE58" s="424"/>
      <c r="EF58" s="424"/>
      <c r="EG58" s="424"/>
      <c r="EH58" s="424"/>
      <c r="EI58" s="424"/>
      <c r="EJ58" s="424"/>
      <c r="EK58" s="424"/>
      <c r="EL58" s="424"/>
      <c r="EM58" s="424"/>
      <c r="EN58" s="424"/>
      <c r="EO58" s="424"/>
    </row>
    <row r="59" spans="1:145">
      <c r="A59" s="438" t="s">
        <v>215</v>
      </c>
      <c r="B59" s="439" t="s">
        <v>1094</v>
      </c>
      <c r="C59" s="427">
        <v>1</v>
      </c>
      <c r="D59" s="430">
        <v>2700</v>
      </c>
      <c r="E59" s="429">
        <v>0</v>
      </c>
      <c r="F59" s="428">
        <f t="shared" si="7"/>
        <v>2700</v>
      </c>
      <c r="G59" s="429">
        <f t="shared" si="2"/>
        <v>0</v>
      </c>
      <c r="H59" s="430">
        <f t="shared" si="8"/>
        <v>2700</v>
      </c>
      <c r="Q59" s="424"/>
      <c r="R59" s="424"/>
      <c r="S59" s="424"/>
      <c r="T59" s="424"/>
      <c r="U59" s="424"/>
      <c r="V59" s="424"/>
      <c r="W59" s="424"/>
      <c r="X59" s="424"/>
      <c r="Y59" s="424"/>
      <c r="Z59" s="424"/>
      <c r="AA59" s="424"/>
      <c r="AB59" s="424"/>
      <c r="AC59" s="424"/>
      <c r="AD59" s="424"/>
      <c r="AE59" s="424"/>
      <c r="AF59" s="424"/>
      <c r="AG59" s="424"/>
      <c r="AH59" s="424"/>
      <c r="AI59" s="424"/>
      <c r="AJ59" s="424"/>
      <c r="AK59" s="424"/>
      <c r="AL59" s="424"/>
      <c r="AM59" s="424"/>
      <c r="AN59" s="424"/>
      <c r="AO59" s="424"/>
      <c r="AP59" s="424"/>
      <c r="AQ59" s="424"/>
      <c r="AR59" s="424"/>
      <c r="AS59" s="424"/>
      <c r="AT59" s="424"/>
      <c r="AU59" s="424"/>
      <c r="AV59" s="424"/>
      <c r="AW59" s="424"/>
      <c r="AX59" s="424"/>
      <c r="AY59" s="424"/>
      <c r="AZ59" s="424"/>
      <c r="BA59" s="424"/>
      <c r="BB59" s="424"/>
      <c r="BC59" s="424"/>
      <c r="BD59" s="424"/>
      <c r="BE59" s="424"/>
      <c r="BF59" s="424"/>
      <c r="BG59" s="424"/>
      <c r="BH59" s="424"/>
      <c r="BI59" s="424"/>
      <c r="BJ59" s="424"/>
      <c r="BK59" s="424"/>
      <c r="BL59" s="424"/>
      <c r="BM59" s="424"/>
      <c r="BN59" s="424"/>
      <c r="BO59" s="424"/>
      <c r="BP59" s="424"/>
      <c r="BQ59" s="424"/>
      <c r="BR59" s="424"/>
      <c r="BS59" s="424"/>
      <c r="BT59" s="424"/>
      <c r="BU59" s="424"/>
      <c r="BV59" s="424"/>
      <c r="BW59" s="424"/>
      <c r="BX59" s="424"/>
      <c r="BY59" s="424"/>
      <c r="BZ59" s="424"/>
      <c r="CA59" s="424"/>
      <c r="CB59" s="424"/>
      <c r="CC59" s="424"/>
      <c r="CD59" s="424"/>
      <c r="CE59" s="424"/>
      <c r="CF59" s="424"/>
      <c r="CG59" s="424"/>
      <c r="CH59" s="424"/>
      <c r="CI59" s="424"/>
      <c r="CJ59" s="424"/>
      <c r="CK59" s="424"/>
      <c r="CL59" s="424"/>
      <c r="CM59" s="424"/>
      <c r="CN59" s="424"/>
      <c r="CO59" s="424"/>
      <c r="CP59" s="424"/>
      <c r="CQ59" s="424"/>
      <c r="CR59" s="424"/>
      <c r="CS59" s="424"/>
      <c r="CT59" s="424"/>
      <c r="CU59" s="424"/>
      <c r="CV59" s="424"/>
      <c r="CW59" s="424"/>
      <c r="CX59" s="424"/>
      <c r="CY59" s="424"/>
      <c r="CZ59" s="424"/>
      <c r="DA59" s="424"/>
      <c r="DB59" s="424"/>
      <c r="DC59" s="424"/>
      <c r="DD59" s="424"/>
      <c r="DE59" s="424"/>
      <c r="DF59" s="424"/>
      <c r="DG59" s="424"/>
      <c r="DH59" s="424"/>
      <c r="DI59" s="424"/>
      <c r="DJ59" s="424"/>
      <c r="DK59" s="424"/>
      <c r="DL59" s="424"/>
      <c r="DM59" s="424"/>
      <c r="DN59" s="424"/>
      <c r="DO59" s="424"/>
      <c r="DP59" s="424"/>
      <c r="DQ59" s="424"/>
      <c r="DR59" s="424"/>
      <c r="DS59" s="424"/>
      <c r="DT59" s="424"/>
      <c r="DU59" s="424"/>
      <c r="DV59" s="424"/>
      <c r="DW59" s="424"/>
      <c r="DX59" s="424"/>
      <c r="DY59" s="424"/>
      <c r="DZ59" s="424"/>
      <c r="EA59" s="424"/>
      <c r="EB59" s="424"/>
      <c r="EC59" s="424"/>
      <c r="ED59" s="424"/>
      <c r="EE59" s="424"/>
      <c r="EF59" s="424"/>
      <c r="EG59" s="424"/>
      <c r="EH59" s="424"/>
      <c r="EI59" s="424"/>
      <c r="EJ59" s="424"/>
      <c r="EK59" s="424"/>
      <c r="EL59" s="424"/>
      <c r="EM59" s="424"/>
      <c r="EN59" s="424"/>
      <c r="EO59" s="424"/>
    </row>
    <row r="60" spans="1:145" ht="27.6">
      <c r="A60" s="420" t="s">
        <v>1095</v>
      </c>
      <c r="B60" s="421" t="s">
        <v>1096</v>
      </c>
      <c r="C60" s="422" t="s">
        <v>1035</v>
      </c>
      <c r="D60" s="422" t="s">
        <v>1036</v>
      </c>
      <c r="E60" s="422" t="s">
        <v>1037</v>
      </c>
      <c r="F60" s="422" t="s">
        <v>1036</v>
      </c>
      <c r="G60" s="422" t="s">
        <v>627</v>
      </c>
      <c r="H60" s="433" t="s">
        <v>1055</v>
      </c>
      <c r="Q60" s="424"/>
      <c r="R60" s="424"/>
      <c r="S60" s="424"/>
      <c r="T60" s="424"/>
      <c r="U60" s="424"/>
      <c r="V60" s="424"/>
      <c r="W60" s="424"/>
      <c r="X60" s="424"/>
      <c r="Y60" s="424"/>
      <c r="Z60" s="424"/>
      <c r="AA60" s="424"/>
      <c r="AB60" s="424"/>
      <c r="AC60" s="424"/>
      <c r="AD60" s="424"/>
      <c r="AE60" s="424"/>
      <c r="AF60" s="424"/>
      <c r="AG60" s="424"/>
      <c r="AH60" s="424"/>
      <c r="AI60" s="424"/>
      <c r="AJ60" s="424"/>
      <c r="AK60" s="424"/>
      <c r="AL60" s="424"/>
      <c r="AM60" s="424"/>
      <c r="AN60" s="424"/>
      <c r="AO60" s="424"/>
      <c r="AP60" s="424"/>
      <c r="AQ60" s="424"/>
      <c r="AR60" s="424"/>
      <c r="AS60" s="424"/>
      <c r="AT60" s="424"/>
      <c r="AU60" s="424"/>
      <c r="AV60" s="424"/>
      <c r="AW60" s="424"/>
      <c r="AX60" s="424"/>
      <c r="AY60" s="424"/>
      <c r="AZ60" s="424"/>
      <c r="BA60" s="424"/>
      <c r="BB60" s="424"/>
      <c r="BC60" s="424"/>
      <c r="BD60" s="424"/>
      <c r="BE60" s="424"/>
      <c r="BF60" s="424"/>
      <c r="BG60" s="424"/>
      <c r="BH60" s="424"/>
      <c r="BI60" s="424"/>
      <c r="BJ60" s="424"/>
      <c r="BK60" s="424"/>
      <c r="BL60" s="424"/>
      <c r="BM60" s="424"/>
      <c r="BN60" s="424"/>
      <c r="BO60" s="424"/>
      <c r="BP60" s="424"/>
      <c r="BQ60" s="424"/>
      <c r="BR60" s="424"/>
      <c r="BS60" s="424"/>
      <c r="BT60" s="424"/>
      <c r="BU60" s="424"/>
      <c r="BV60" s="424"/>
      <c r="BW60" s="424"/>
      <c r="BX60" s="424"/>
      <c r="BY60" s="424"/>
      <c r="BZ60" s="424"/>
      <c r="CA60" s="424"/>
      <c r="CB60" s="424"/>
      <c r="CC60" s="424"/>
      <c r="CD60" s="424"/>
      <c r="CE60" s="424"/>
      <c r="CF60" s="424"/>
      <c r="CG60" s="424"/>
      <c r="CH60" s="424"/>
      <c r="CI60" s="424"/>
      <c r="CJ60" s="424"/>
      <c r="CK60" s="424"/>
      <c r="CL60" s="424"/>
      <c r="CM60" s="424"/>
      <c r="CN60" s="424"/>
      <c r="CO60" s="424"/>
      <c r="CP60" s="424"/>
      <c r="CQ60" s="424"/>
      <c r="CR60" s="424"/>
      <c r="CS60" s="424"/>
      <c r="CT60" s="424"/>
      <c r="CU60" s="424"/>
      <c r="CV60" s="424"/>
      <c r="CW60" s="424"/>
      <c r="CX60" s="424"/>
      <c r="CY60" s="424"/>
      <c r="CZ60" s="424"/>
      <c r="DA60" s="424"/>
      <c r="DB60" s="424"/>
      <c r="DC60" s="424"/>
      <c r="DD60" s="424"/>
      <c r="DE60" s="424"/>
      <c r="DF60" s="424"/>
      <c r="DG60" s="424"/>
      <c r="DH60" s="424"/>
      <c r="DI60" s="424"/>
      <c r="DJ60" s="424"/>
      <c r="DK60" s="424"/>
      <c r="DL60" s="424"/>
      <c r="DM60" s="424"/>
      <c r="DN60" s="424"/>
      <c r="DO60" s="424"/>
      <c r="DP60" s="424"/>
      <c r="DQ60" s="424"/>
      <c r="DR60" s="424"/>
      <c r="DS60" s="424"/>
      <c r="DT60" s="424"/>
      <c r="DU60" s="424"/>
      <c r="DV60" s="424"/>
      <c r="DW60" s="424"/>
      <c r="DX60" s="424"/>
      <c r="DY60" s="424"/>
      <c r="DZ60" s="424"/>
      <c r="EA60" s="424"/>
      <c r="EB60" s="424"/>
      <c r="EC60" s="424"/>
      <c r="ED60" s="424"/>
      <c r="EE60" s="424"/>
      <c r="EF60" s="424"/>
      <c r="EG60" s="424"/>
      <c r="EH60" s="424"/>
      <c r="EI60" s="424"/>
      <c r="EJ60" s="424"/>
      <c r="EK60" s="424"/>
      <c r="EL60" s="424"/>
      <c r="EM60" s="424"/>
      <c r="EN60" s="424"/>
      <c r="EO60" s="424"/>
    </row>
    <row r="61" spans="1:145">
      <c r="A61" s="446" t="s">
        <v>215</v>
      </c>
      <c r="B61" s="442" t="s">
        <v>1097</v>
      </c>
      <c r="C61" s="427">
        <v>1</v>
      </c>
      <c r="D61" s="428">
        <v>1500</v>
      </c>
      <c r="E61" s="429">
        <v>0</v>
      </c>
      <c r="F61" s="428">
        <f t="shared" ref="F61:F84" si="9">(D61-(D61*E61%))</f>
        <v>1500</v>
      </c>
      <c r="G61" s="429">
        <f t="shared" si="2"/>
        <v>0</v>
      </c>
      <c r="H61" s="430">
        <f t="shared" ref="H61:H84" si="10">F61+G61</f>
        <v>1500</v>
      </c>
      <c r="Q61" s="424"/>
      <c r="R61" s="424"/>
      <c r="S61" s="424"/>
      <c r="T61" s="424"/>
      <c r="U61" s="424"/>
      <c r="V61" s="424"/>
      <c r="W61" s="424"/>
      <c r="X61" s="424"/>
      <c r="Y61" s="424"/>
      <c r="Z61" s="424"/>
      <c r="AA61" s="424"/>
      <c r="AB61" s="424"/>
      <c r="AC61" s="424"/>
      <c r="AD61" s="424"/>
      <c r="AE61" s="424"/>
      <c r="AF61" s="424"/>
      <c r="AG61" s="424"/>
      <c r="AH61" s="424"/>
      <c r="AI61" s="424"/>
      <c r="AJ61" s="424"/>
      <c r="AK61" s="424"/>
      <c r="AL61" s="424"/>
      <c r="AM61" s="424"/>
      <c r="AN61" s="424"/>
      <c r="AO61" s="424"/>
      <c r="AP61" s="424"/>
      <c r="AQ61" s="424"/>
      <c r="AR61" s="424"/>
      <c r="AS61" s="424"/>
      <c r="AT61" s="424"/>
      <c r="AU61" s="424"/>
      <c r="AV61" s="424"/>
      <c r="AW61" s="424"/>
      <c r="AX61" s="424"/>
      <c r="AY61" s="424"/>
      <c r="AZ61" s="424"/>
      <c r="BA61" s="424"/>
      <c r="BB61" s="424"/>
      <c r="BC61" s="424"/>
      <c r="BD61" s="424"/>
      <c r="BE61" s="424"/>
      <c r="BF61" s="424"/>
      <c r="BG61" s="424"/>
      <c r="BH61" s="424"/>
      <c r="BI61" s="424"/>
      <c r="BJ61" s="424"/>
      <c r="BK61" s="424"/>
      <c r="BL61" s="424"/>
      <c r="BM61" s="424"/>
      <c r="BN61" s="424"/>
      <c r="BO61" s="424"/>
      <c r="BP61" s="424"/>
      <c r="BQ61" s="424"/>
      <c r="BR61" s="424"/>
      <c r="BS61" s="424"/>
      <c r="BT61" s="424"/>
      <c r="BU61" s="424"/>
      <c r="BV61" s="424"/>
      <c r="BW61" s="424"/>
      <c r="BX61" s="424"/>
      <c r="BY61" s="424"/>
      <c r="BZ61" s="424"/>
      <c r="CA61" s="424"/>
      <c r="CB61" s="424"/>
      <c r="CC61" s="424"/>
      <c r="CD61" s="424"/>
      <c r="CE61" s="424"/>
      <c r="CF61" s="424"/>
      <c r="CG61" s="424"/>
      <c r="CH61" s="424"/>
      <c r="CI61" s="424"/>
      <c r="CJ61" s="424"/>
      <c r="CK61" s="424"/>
      <c r="CL61" s="424"/>
      <c r="CM61" s="424"/>
      <c r="CN61" s="424"/>
      <c r="CO61" s="424"/>
      <c r="CP61" s="424"/>
      <c r="CQ61" s="424"/>
      <c r="CR61" s="424"/>
      <c r="CS61" s="424"/>
      <c r="CT61" s="424"/>
      <c r="CU61" s="424"/>
      <c r="CV61" s="424"/>
      <c r="CW61" s="424"/>
      <c r="CX61" s="424"/>
      <c r="CY61" s="424"/>
      <c r="CZ61" s="424"/>
      <c r="DA61" s="424"/>
      <c r="DB61" s="424"/>
      <c r="DC61" s="424"/>
      <c r="DD61" s="424"/>
      <c r="DE61" s="424"/>
      <c r="DF61" s="424"/>
      <c r="DG61" s="424"/>
      <c r="DH61" s="424"/>
      <c r="DI61" s="424"/>
      <c r="DJ61" s="424"/>
      <c r="DK61" s="424"/>
      <c r="DL61" s="424"/>
      <c r="DM61" s="424"/>
      <c r="DN61" s="424"/>
      <c r="DO61" s="424"/>
      <c r="DP61" s="424"/>
      <c r="DQ61" s="424"/>
      <c r="DR61" s="424"/>
      <c r="DS61" s="424"/>
      <c r="DT61" s="424"/>
      <c r="DU61" s="424"/>
      <c r="DV61" s="424"/>
      <c r="DW61" s="424"/>
      <c r="DX61" s="424"/>
      <c r="DY61" s="424"/>
      <c r="DZ61" s="424"/>
      <c r="EA61" s="424"/>
      <c r="EB61" s="424"/>
      <c r="EC61" s="424"/>
      <c r="ED61" s="424"/>
      <c r="EE61" s="424"/>
      <c r="EF61" s="424"/>
      <c r="EG61" s="424"/>
      <c r="EH61" s="424"/>
      <c r="EI61" s="424"/>
      <c r="EJ61" s="424"/>
      <c r="EK61" s="424"/>
      <c r="EL61" s="424"/>
      <c r="EM61" s="424"/>
      <c r="EN61" s="424"/>
      <c r="EO61" s="424"/>
    </row>
    <row r="62" spans="1:145">
      <c r="A62" s="446" t="s">
        <v>215</v>
      </c>
      <c r="B62" s="442" t="s">
        <v>1098</v>
      </c>
      <c r="C62" s="427">
        <v>1</v>
      </c>
      <c r="D62" s="428">
        <v>7500</v>
      </c>
      <c r="E62" s="429">
        <v>0</v>
      </c>
      <c r="F62" s="428">
        <f t="shared" si="9"/>
        <v>7500</v>
      </c>
      <c r="G62" s="429">
        <f t="shared" si="2"/>
        <v>0</v>
      </c>
      <c r="H62" s="430">
        <f t="shared" si="10"/>
        <v>7500</v>
      </c>
      <c r="Q62" s="424"/>
      <c r="R62" s="424"/>
      <c r="S62" s="424"/>
      <c r="T62" s="424"/>
      <c r="U62" s="424"/>
      <c r="V62" s="424"/>
      <c r="W62" s="424"/>
      <c r="X62" s="424"/>
      <c r="Y62" s="424"/>
      <c r="Z62" s="424"/>
      <c r="AA62" s="424"/>
      <c r="AB62" s="424"/>
      <c r="AC62" s="424"/>
      <c r="AD62" s="424"/>
      <c r="AE62" s="424"/>
      <c r="AF62" s="424"/>
      <c r="AG62" s="424"/>
      <c r="AH62" s="424"/>
      <c r="AI62" s="424"/>
      <c r="AJ62" s="424"/>
      <c r="AK62" s="424"/>
      <c r="AL62" s="424"/>
      <c r="AM62" s="424"/>
      <c r="AN62" s="424"/>
      <c r="AO62" s="424"/>
      <c r="AP62" s="424"/>
      <c r="AQ62" s="424"/>
      <c r="AR62" s="424"/>
      <c r="AS62" s="424"/>
      <c r="AT62" s="424"/>
      <c r="AU62" s="424"/>
      <c r="AV62" s="424"/>
      <c r="AW62" s="424"/>
      <c r="AX62" s="424"/>
      <c r="AY62" s="424"/>
      <c r="AZ62" s="424"/>
      <c r="BA62" s="424"/>
      <c r="BB62" s="424"/>
      <c r="BC62" s="424"/>
      <c r="BD62" s="424"/>
      <c r="BE62" s="424"/>
      <c r="BF62" s="424"/>
      <c r="BG62" s="424"/>
      <c r="BH62" s="424"/>
      <c r="BI62" s="424"/>
      <c r="BJ62" s="424"/>
      <c r="BK62" s="424"/>
      <c r="BL62" s="424"/>
      <c r="BM62" s="424"/>
      <c r="BN62" s="424"/>
      <c r="BO62" s="424"/>
      <c r="BP62" s="424"/>
      <c r="BQ62" s="424"/>
      <c r="BR62" s="424"/>
      <c r="BS62" s="424"/>
      <c r="BT62" s="424"/>
      <c r="BU62" s="424"/>
      <c r="BV62" s="424"/>
      <c r="BW62" s="424"/>
      <c r="BX62" s="424"/>
      <c r="BY62" s="424"/>
      <c r="BZ62" s="424"/>
      <c r="CA62" s="424"/>
      <c r="CB62" s="424"/>
      <c r="CC62" s="424"/>
      <c r="CD62" s="424"/>
      <c r="CE62" s="424"/>
      <c r="CF62" s="424"/>
      <c r="CG62" s="424"/>
      <c r="CH62" s="424"/>
      <c r="CI62" s="424"/>
      <c r="CJ62" s="424"/>
      <c r="CK62" s="424"/>
      <c r="CL62" s="424"/>
      <c r="CM62" s="424"/>
      <c r="CN62" s="424"/>
      <c r="CO62" s="424"/>
      <c r="CP62" s="424"/>
      <c r="CQ62" s="424"/>
      <c r="CR62" s="424"/>
      <c r="CS62" s="424"/>
      <c r="CT62" s="424"/>
      <c r="CU62" s="424"/>
      <c r="CV62" s="424"/>
      <c r="CW62" s="424"/>
      <c r="CX62" s="424"/>
      <c r="CY62" s="424"/>
      <c r="CZ62" s="424"/>
      <c r="DA62" s="424"/>
      <c r="DB62" s="424"/>
      <c r="DC62" s="424"/>
      <c r="DD62" s="424"/>
      <c r="DE62" s="424"/>
      <c r="DF62" s="424"/>
      <c r="DG62" s="424"/>
      <c r="DH62" s="424"/>
      <c r="DI62" s="424"/>
      <c r="DJ62" s="424"/>
      <c r="DK62" s="424"/>
      <c r="DL62" s="424"/>
      <c r="DM62" s="424"/>
      <c r="DN62" s="424"/>
      <c r="DO62" s="424"/>
      <c r="DP62" s="424"/>
      <c r="DQ62" s="424"/>
      <c r="DR62" s="424"/>
      <c r="DS62" s="424"/>
      <c r="DT62" s="424"/>
      <c r="DU62" s="424"/>
      <c r="DV62" s="424"/>
      <c r="DW62" s="424"/>
      <c r="DX62" s="424"/>
      <c r="DY62" s="424"/>
      <c r="DZ62" s="424"/>
      <c r="EA62" s="424"/>
      <c r="EB62" s="424"/>
      <c r="EC62" s="424"/>
      <c r="ED62" s="424"/>
      <c r="EE62" s="424"/>
      <c r="EF62" s="424"/>
      <c r="EG62" s="424"/>
      <c r="EH62" s="424"/>
      <c r="EI62" s="424"/>
      <c r="EJ62" s="424"/>
      <c r="EK62" s="424"/>
      <c r="EL62" s="424"/>
      <c r="EM62" s="424"/>
      <c r="EN62" s="424"/>
      <c r="EO62" s="424"/>
    </row>
    <row r="63" spans="1:145">
      <c r="A63" s="446" t="s">
        <v>215</v>
      </c>
      <c r="B63" s="442" t="s">
        <v>1099</v>
      </c>
      <c r="C63" s="427">
        <v>1</v>
      </c>
      <c r="D63" s="428">
        <v>1000</v>
      </c>
      <c r="E63" s="429">
        <v>0</v>
      </c>
      <c r="F63" s="428">
        <f t="shared" si="9"/>
        <v>1000</v>
      </c>
      <c r="G63" s="429">
        <f t="shared" si="2"/>
        <v>0</v>
      </c>
      <c r="H63" s="430">
        <f t="shared" si="10"/>
        <v>1000</v>
      </c>
      <c r="Q63" s="424"/>
      <c r="R63" s="424"/>
      <c r="S63" s="424"/>
      <c r="T63" s="424"/>
      <c r="U63" s="424"/>
      <c r="V63" s="424"/>
      <c r="W63" s="424"/>
      <c r="X63" s="424"/>
      <c r="Y63" s="424"/>
      <c r="Z63" s="424"/>
      <c r="AA63" s="424"/>
      <c r="AB63" s="424"/>
      <c r="AC63" s="424"/>
      <c r="AD63" s="424"/>
      <c r="AE63" s="424"/>
      <c r="AF63" s="424"/>
      <c r="AG63" s="424"/>
      <c r="AH63" s="424"/>
      <c r="AI63" s="424"/>
      <c r="AJ63" s="424"/>
      <c r="AK63" s="424"/>
      <c r="AL63" s="424"/>
      <c r="AM63" s="424"/>
      <c r="AN63" s="424"/>
      <c r="AO63" s="424"/>
      <c r="AP63" s="424"/>
      <c r="AQ63" s="424"/>
      <c r="AR63" s="424"/>
      <c r="AS63" s="424"/>
      <c r="AT63" s="424"/>
      <c r="AU63" s="424"/>
      <c r="AV63" s="424"/>
      <c r="AW63" s="424"/>
      <c r="AX63" s="424"/>
      <c r="AY63" s="424"/>
      <c r="AZ63" s="424"/>
      <c r="BA63" s="424"/>
      <c r="BB63" s="424"/>
      <c r="BC63" s="424"/>
      <c r="BD63" s="424"/>
      <c r="BE63" s="424"/>
      <c r="BF63" s="424"/>
      <c r="BG63" s="424"/>
      <c r="BH63" s="424"/>
      <c r="BI63" s="424"/>
      <c r="BJ63" s="424"/>
      <c r="BK63" s="424"/>
      <c r="BL63" s="424"/>
      <c r="BM63" s="424"/>
      <c r="BN63" s="424"/>
      <c r="BO63" s="424"/>
      <c r="BP63" s="424"/>
      <c r="BQ63" s="424"/>
      <c r="BR63" s="424"/>
      <c r="BS63" s="424"/>
      <c r="BT63" s="424"/>
      <c r="BU63" s="424"/>
      <c r="BV63" s="424"/>
      <c r="BW63" s="424"/>
      <c r="BX63" s="424"/>
      <c r="BY63" s="424"/>
      <c r="BZ63" s="424"/>
      <c r="CA63" s="424"/>
      <c r="CB63" s="424"/>
      <c r="CC63" s="424"/>
      <c r="CD63" s="424"/>
      <c r="CE63" s="424"/>
      <c r="CF63" s="424"/>
      <c r="CG63" s="424"/>
      <c r="CH63" s="424"/>
      <c r="CI63" s="424"/>
      <c r="CJ63" s="424"/>
      <c r="CK63" s="424"/>
      <c r="CL63" s="424"/>
      <c r="CM63" s="424"/>
      <c r="CN63" s="424"/>
      <c r="CO63" s="424"/>
      <c r="CP63" s="424"/>
      <c r="CQ63" s="424"/>
      <c r="CR63" s="424"/>
      <c r="CS63" s="424"/>
      <c r="CT63" s="424"/>
      <c r="CU63" s="424"/>
      <c r="CV63" s="424"/>
      <c r="CW63" s="424"/>
      <c r="CX63" s="424"/>
      <c r="CY63" s="424"/>
      <c r="CZ63" s="424"/>
      <c r="DA63" s="424"/>
      <c r="DB63" s="424"/>
      <c r="DC63" s="424"/>
      <c r="DD63" s="424"/>
      <c r="DE63" s="424"/>
      <c r="DF63" s="424"/>
      <c r="DG63" s="424"/>
      <c r="DH63" s="424"/>
      <c r="DI63" s="424"/>
      <c r="DJ63" s="424"/>
      <c r="DK63" s="424"/>
      <c r="DL63" s="424"/>
      <c r="DM63" s="424"/>
      <c r="DN63" s="424"/>
      <c r="DO63" s="424"/>
      <c r="DP63" s="424"/>
      <c r="DQ63" s="424"/>
      <c r="DR63" s="424"/>
      <c r="DS63" s="424"/>
      <c r="DT63" s="424"/>
      <c r="DU63" s="424"/>
      <c r="DV63" s="424"/>
      <c r="DW63" s="424"/>
      <c r="DX63" s="424"/>
      <c r="DY63" s="424"/>
      <c r="DZ63" s="424"/>
      <c r="EA63" s="424"/>
      <c r="EB63" s="424"/>
      <c r="EC63" s="424"/>
      <c r="ED63" s="424"/>
      <c r="EE63" s="424"/>
      <c r="EF63" s="424"/>
      <c r="EG63" s="424"/>
      <c r="EH63" s="424"/>
      <c r="EI63" s="424"/>
      <c r="EJ63" s="424"/>
      <c r="EK63" s="424"/>
      <c r="EL63" s="424"/>
      <c r="EM63" s="424"/>
      <c r="EN63" s="424"/>
      <c r="EO63" s="424"/>
    </row>
    <row r="64" spans="1:145">
      <c r="A64" s="446" t="s">
        <v>215</v>
      </c>
      <c r="B64" s="442" t="s">
        <v>1100</v>
      </c>
      <c r="C64" s="427">
        <v>1</v>
      </c>
      <c r="D64" s="428">
        <v>7500</v>
      </c>
      <c r="E64" s="429">
        <v>0</v>
      </c>
      <c r="F64" s="428">
        <f t="shared" si="9"/>
        <v>7500</v>
      </c>
      <c r="G64" s="429">
        <f t="shared" si="2"/>
        <v>0</v>
      </c>
      <c r="H64" s="430">
        <f t="shared" si="10"/>
        <v>7500</v>
      </c>
      <c r="Q64" s="424"/>
      <c r="R64" s="424"/>
      <c r="S64" s="424"/>
      <c r="T64" s="424"/>
      <c r="U64" s="424"/>
      <c r="V64" s="424"/>
      <c r="W64" s="424"/>
      <c r="X64" s="424"/>
      <c r="Y64" s="424"/>
      <c r="Z64" s="424"/>
      <c r="AA64" s="424"/>
      <c r="AB64" s="424"/>
      <c r="AC64" s="424"/>
      <c r="AD64" s="424"/>
      <c r="AE64" s="424"/>
      <c r="AF64" s="424"/>
      <c r="AG64" s="424"/>
      <c r="AH64" s="424"/>
      <c r="AI64" s="424"/>
      <c r="AJ64" s="424"/>
      <c r="AK64" s="424"/>
      <c r="AL64" s="424"/>
      <c r="AM64" s="424"/>
      <c r="AN64" s="424"/>
      <c r="AO64" s="424"/>
      <c r="AP64" s="424"/>
      <c r="AQ64" s="424"/>
      <c r="AR64" s="424"/>
      <c r="AS64" s="424"/>
      <c r="AT64" s="424"/>
      <c r="AU64" s="424"/>
      <c r="AV64" s="424"/>
      <c r="AW64" s="424"/>
      <c r="AX64" s="424"/>
      <c r="AY64" s="424"/>
      <c r="AZ64" s="424"/>
      <c r="BA64" s="424"/>
      <c r="BB64" s="424"/>
      <c r="BC64" s="424"/>
      <c r="BD64" s="424"/>
      <c r="BE64" s="424"/>
      <c r="BF64" s="424"/>
      <c r="BG64" s="424"/>
      <c r="BH64" s="424"/>
      <c r="BI64" s="424"/>
      <c r="BJ64" s="424"/>
      <c r="BK64" s="424"/>
      <c r="BL64" s="424"/>
      <c r="BM64" s="424"/>
      <c r="BN64" s="424"/>
      <c r="BO64" s="424"/>
      <c r="BP64" s="424"/>
      <c r="BQ64" s="424"/>
      <c r="BR64" s="424"/>
      <c r="BS64" s="424"/>
      <c r="BT64" s="424"/>
      <c r="BU64" s="424"/>
      <c r="BV64" s="424"/>
      <c r="BW64" s="424"/>
      <c r="BX64" s="424"/>
      <c r="BY64" s="424"/>
      <c r="BZ64" s="424"/>
      <c r="CA64" s="424"/>
      <c r="CB64" s="424"/>
      <c r="CC64" s="424"/>
      <c r="CD64" s="424"/>
      <c r="CE64" s="424"/>
      <c r="CF64" s="424"/>
      <c r="CG64" s="424"/>
      <c r="CH64" s="424"/>
      <c r="CI64" s="424"/>
      <c r="CJ64" s="424"/>
      <c r="CK64" s="424"/>
      <c r="CL64" s="424"/>
      <c r="CM64" s="424"/>
      <c r="CN64" s="424"/>
      <c r="CO64" s="424"/>
      <c r="CP64" s="424"/>
      <c r="CQ64" s="424"/>
      <c r="CR64" s="424"/>
      <c r="CS64" s="424"/>
      <c r="CT64" s="424"/>
      <c r="CU64" s="424"/>
      <c r="CV64" s="424"/>
      <c r="CW64" s="424"/>
      <c r="CX64" s="424"/>
      <c r="CY64" s="424"/>
      <c r="CZ64" s="424"/>
      <c r="DA64" s="424"/>
      <c r="DB64" s="424"/>
      <c r="DC64" s="424"/>
      <c r="DD64" s="424"/>
      <c r="DE64" s="424"/>
      <c r="DF64" s="424"/>
      <c r="DG64" s="424"/>
      <c r="DH64" s="424"/>
      <c r="DI64" s="424"/>
      <c r="DJ64" s="424"/>
      <c r="DK64" s="424"/>
      <c r="DL64" s="424"/>
      <c r="DM64" s="424"/>
      <c r="DN64" s="424"/>
      <c r="DO64" s="424"/>
      <c r="DP64" s="424"/>
      <c r="DQ64" s="424"/>
      <c r="DR64" s="424"/>
      <c r="DS64" s="424"/>
      <c r="DT64" s="424"/>
      <c r="DU64" s="424"/>
      <c r="DV64" s="424"/>
      <c r="DW64" s="424"/>
      <c r="DX64" s="424"/>
      <c r="DY64" s="424"/>
      <c r="DZ64" s="424"/>
      <c r="EA64" s="424"/>
      <c r="EB64" s="424"/>
      <c r="EC64" s="424"/>
      <c r="ED64" s="424"/>
      <c r="EE64" s="424"/>
      <c r="EF64" s="424"/>
      <c r="EG64" s="424"/>
      <c r="EH64" s="424"/>
      <c r="EI64" s="424"/>
      <c r="EJ64" s="424"/>
      <c r="EK64" s="424"/>
      <c r="EL64" s="424"/>
      <c r="EM64" s="424"/>
      <c r="EN64" s="424"/>
      <c r="EO64" s="424"/>
    </row>
    <row r="65" spans="1:145">
      <c r="A65" s="446" t="s">
        <v>215</v>
      </c>
      <c r="B65" s="442" t="s">
        <v>1101</v>
      </c>
      <c r="C65" s="427">
        <v>1</v>
      </c>
      <c r="D65" s="428">
        <v>2000</v>
      </c>
      <c r="E65" s="429">
        <v>0</v>
      </c>
      <c r="F65" s="428">
        <f t="shared" si="9"/>
        <v>2000</v>
      </c>
      <c r="G65" s="429">
        <f t="shared" si="2"/>
        <v>0</v>
      </c>
      <c r="H65" s="430">
        <f t="shared" si="10"/>
        <v>2000</v>
      </c>
      <c r="Q65" s="424"/>
      <c r="R65" s="424"/>
      <c r="S65" s="424"/>
      <c r="T65" s="424"/>
      <c r="U65" s="424"/>
      <c r="V65" s="424"/>
      <c r="W65" s="424"/>
      <c r="X65" s="424"/>
      <c r="Y65" s="424"/>
      <c r="Z65" s="424"/>
      <c r="AA65" s="424"/>
      <c r="AB65" s="424"/>
      <c r="AC65" s="424"/>
      <c r="AD65" s="424"/>
      <c r="AE65" s="424"/>
      <c r="AF65" s="424"/>
      <c r="AG65" s="424"/>
      <c r="AH65" s="424"/>
      <c r="AI65" s="424"/>
      <c r="AJ65" s="424"/>
      <c r="AK65" s="424"/>
      <c r="AL65" s="424"/>
      <c r="AM65" s="424"/>
      <c r="AN65" s="424"/>
      <c r="AO65" s="424"/>
      <c r="AP65" s="424"/>
      <c r="AQ65" s="424"/>
      <c r="AR65" s="424"/>
      <c r="AS65" s="424"/>
      <c r="AT65" s="424"/>
      <c r="AU65" s="424"/>
      <c r="AV65" s="424"/>
      <c r="AW65" s="424"/>
      <c r="AX65" s="424"/>
      <c r="AY65" s="424"/>
      <c r="AZ65" s="424"/>
      <c r="BA65" s="424"/>
      <c r="BB65" s="424"/>
      <c r="BC65" s="424"/>
      <c r="BD65" s="424"/>
      <c r="BE65" s="424"/>
      <c r="BF65" s="424"/>
      <c r="BG65" s="424"/>
      <c r="BH65" s="424"/>
      <c r="BI65" s="424"/>
      <c r="BJ65" s="424"/>
      <c r="BK65" s="424"/>
      <c r="BL65" s="424"/>
      <c r="BM65" s="424"/>
      <c r="BN65" s="424"/>
      <c r="BO65" s="424"/>
      <c r="BP65" s="424"/>
      <c r="BQ65" s="424"/>
      <c r="BR65" s="424"/>
      <c r="BS65" s="424"/>
      <c r="BT65" s="424"/>
      <c r="BU65" s="424"/>
      <c r="BV65" s="424"/>
      <c r="BW65" s="424"/>
      <c r="BX65" s="424"/>
      <c r="BY65" s="424"/>
      <c r="BZ65" s="424"/>
      <c r="CA65" s="424"/>
      <c r="CB65" s="424"/>
      <c r="CC65" s="424"/>
      <c r="CD65" s="424"/>
      <c r="CE65" s="424"/>
      <c r="CF65" s="424"/>
      <c r="CG65" s="424"/>
      <c r="CH65" s="424"/>
      <c r="CI65" s="424"/>
      <c r="CJ65" s="424"/>
      <c r="CK65" s="424"/>
      <c r="CL65" s="424"/>
      <c r="CM65" s="424"/>
      <c r="CN65" s="424"/>
      <c r="CO65" s="424"/>
      <c r="CP65" s="424"/>
      <c r="CQ65" s="424"/>
      <c r="CR65" s="424"/>
      <c r="CS65" s="424"/>
      <c r="CT65" s="424"/>
      <c r="CU65" s="424"/>
      <c r="CV65" s="424"/>
      <c r="CW65" s="424"/>
      <c r="CX65" s="424"/>
      <c r="CY65" s="424"/>
      <c r="CZ65" s="424"/>
      <c r="DA65" s="424"/>
      <c r="DB65" s="424"/>
      <c r="DC65" s="424"/>
      <c r="DD65" s="424"/>
      <c r="DE65" s="424"/>
      <c r="DF65" s="424"/>
      <c r="DG65" s="424"/>
      <c r="DH65" s="424"/>
      <c r="DI65" s="424"/>
      <c r="DJ65" s="424"/>
      <c r="DK65" s="424"/>
      <c r="DL65" s="424"/>
      <c r="DM65" s="424"/>
      <c r="DN65" s="424"/>
      <c r="DO65" s="424"/>
      <c r="DP65" s="424"/>
      <c r="DQ65" s="424"/>
      <c r="DR65" s="424"/>
      <c r="DS65" s="424"/>
      <c r="DT65" s="424"/>
      <c r="DU65" s="424"/>
      <c r="DV65" s="424"/>
      <c r="DW65" s="424"/>
      <c r="DX65" s="424"/>
      <c r="DY65" s="424"/>
      <c r="DZ65" s="424"/>
      <c r="EA65" s="424"/>
      <c r="EB65" s="424"/>
      <c r="EC65" s="424"/>
      <c r="ED65" s="424"/>
      <c r="EE65" s="424"/>
      <c r="EF65" s="424"/>
      <c r="EG65" s="424"/>
      <c r="EH65" s="424"/>
      <c r="EI65" s="424"/>
      <c r="EJ65" s="424"/>
      <c r="EK65" s="424"/>
      <c r="EL65" s="424"/>
      <c r="EM65" s="424"/>
      <c r="EN65" s="424"/>
      <c r="EO65" s="424"/>
    </row>
    <row r="66" spans="1:145">
      <c r="A66" s="446" t="s">
        <v>215</v>
      </c>
      <c r="B66" s="442" t="s">
        <v>1102</v>
      </c>
      <c r="C66" s="427">
        <v>1</v>
      </c>
      <c r="D66" s="428">
        <v>500</v>
      </c>
      <c r="E66" s="429">
        <v>0</v>
      </c>
      <c r="F66" s="428">
        <f t="shared" si="9"/>
        <v>500</v>
      </c>
      <c r="G66" s="429">
        <f t="shared" si="2"/>
        <v>0</v>
      </c>
      <c r="H66" s="430">
        <f t="shared" si="10"/>
        <v>500</v>
      </c>
      <c r="Q66" s="424"/>
      <c r="R66" s="424"/>
      <c r="S66" s="424"/>
      <c r="T66" s="424"/>
      <c r="U66" s="424"/>
      <c r="V66" s="424"/>
      <c r="W66" s="424"/>
      <c r="X66" s="424"/>
      <c r="Y66" s="424"/>
      <c r="Z66" s="424"/>
      <c r="AA66" s="424"/>
      <c r="AB66" s="424"/>
      <c r="AC66" s="424"/>
      <c r="AD66" s="424"/>
      <c r="AE66" s="424"/>
      <c r="AF66" s="424"/>
      <c r="AG66" s="424"/>
      <c r="AH66" s="424"/>
      <c r="AI66" s="424"/>
      <c r="AJ66" s="424"/>
      <c r="AK66" s="424"/>
      <c r="AL66" s="424"/>
      <c r="AM66" s="424"/>
      <c r="AN66" s="424"/>
      <c r="AO66" s="424"/>
      <c r="AP66" s="424"/>
      <c r="AQ66" s="424"/>
      <c r="AR66" s="424"/>
      <c r="AS66" s="424"/>
      <c r="AT66" s="424"/>
      <c r="AU66" s="424"/>
      <c r="AV66" s="424"/>
      <c r="AW66" s="424"/>
      <c r="AX66" s="424"/>
      <c r="AY66" s="424"/>
      <c r="AZ66" s="424"/>
      <c r="BA66" s="424"/>
      <c r="BB66" s="424"/>
      <c r="BC66" s="424"/>
      <c r="BD66" s="424"/>
      <c r="BE66" s="424"/>
      <c r="BF66" s="424"/>
      <c r="BG66" s="424"/>
      <c r="BH66" s="424"/>
      <c r="BI66" s="424"/>
      <c r="BJ66" s="424"/>
      <c r="BK66" s="424"/>
      <c r="BL66" s="424"/>
      <c r="BM66" s="424"/>
      <c r="BN66" s="424"/>
      <c r="BO66" s="424"/>
      <c r="BP66" s="424"/>
      <c r="BQ66" s="424"/>
      <c r="BR66" s="424"/>
      <c r="BS66" s="424"/>
      <c r="BT66" s="424"/>
      <c r="BU66" s="424"/>
      <c r="BV66" s="424"/>
      <c r="BW66" s="424"/>
      <c r="BX66" s="424"/>
      <c r="BY66" s="424"/>
      <c r="BZ66" s="424"/>
      <c r="CA66" s="424"/>
      <c r="CB66" s="424"/>
      <c r="CC66" s="424"/>
      <c r="CD66" s="424"/>
      <c r="CE66" s="424"/>
      <c r="CF66" s="424"/>
      <c r="CG66" s="424"/>
      <c r="CH66" s="424"/>
      <c r="CI66" s="424"/>
      <c r="CJ66" s="424"/>
      <c r="CK66" s="424"/>
      <c r="CL66" s="424"/>
      <c r="CM66" s="424"/>
      <c r="CN66" s="424"/>
      <c r="CO66" s="424"/>
      <c r="CP66" s="424"/>
      <c r="CQ66" s="424"/>
      <c r="CR66" s="424"/>
      <c r="CS66" s="424"/>
      <c r="CT66" s="424"/>
      <c r="CU66" s="424"/>
      <c r="CV66" s="424"/>
      <c r="CW66" s="424"/>
      <c r="CX66" s="424"/>
      <c r="CY66" s="424"/>
      <c r="CZ66" s="424"/>
      <c r="DA66" s="424"/>
      <c r="DB66" s="424"/>
      <c r="DC66" s="424"/>
      <c r="DD66" s="424"/>
      <c r="DE66" s="424"/>
      <c r="DF66" s="424"/>
      <c r="DG66" s="424"/>
      <c r="DH66" s="424"/>
      <c r="DI66" s="424"/>
      <c r="DJ66" s="424"/>
      <c r="DK66" s="424"/>
      <c r="DL66" s="424"/>
      <c r="DM66" s="424"/>
      <c r="DN66" s="424"/>
      <c r="DO66" s="424"/>
      <c r="DP66" s="424"/>
      <c r="DQ66" s="424"/>
      <c r="DR66" s="424"/>
      <c r="DS66" s="424"/>
      <c r="DT66" s="424"/>
      <c r="DU66" s="424"/>
      <c r="DV66" s="424"/>
      <c r="DW66" s="424"/>
      <c r="DX66" s="424"/>
      <c r="DY66" s="424"/>
      <c r="DZ66" s="424"/>
      <c r="EA66" s="424"/>
      <c r="EB66" s="424"/>
      <c r="EC66" s="424"/>
      <c r="ED66" s="424"/>
      <c r="EE66" s="424"/>
      <c r="EF66" s="424"/>
      <c r="EG66" s="424"/>
      <c r="EH66" s="424"/>
      <c r="EI66" s="424"/>
      <c r="EJ66" s="424"/>
      <c r="EK66" s="424"/>
      <c r="EL66" s="424"/>
      <c r="EM66" s="424"/>
      <c r="EN66" s="424"/>
      <c r="EO66" s="424"/>
    </row>
    <row r="67" spans="1:145">
      <c r="A67" s="446" t="s">
        <v>215</v>
      </c>
      <c r="B67" s="442" t="s">
        <v>1103</v>
      </c>
      <c r="C67" s="427">
        <v>1</v>
      </c>
      <c r="D67" s="428">
        <v>1500</v>
      </c>
      <c r="E67" s="429">
        <v>0</v>
      </c>
      <c r="F67" s="428">
        <f t="shared" si="9"/>
        <v>1500</v>
      </c>
      <c r="G67" s="429">
        <f t="shared" si="2"/>
        <v>0</v>
      </c>
      <c r="H67" s="430">
        <f t="shared" si="10"/>
        <v>1500</v>
      </c>
      <c r="Q67" s="424"/>
      <c r="R67" s="424"/>
      <c r="S67" s="424"/>
      <c r="T67" s="424"/>
      <c r="U67" s="424"/>
      <c r="V67" s="424"/>
      <c r="W67" s="424"/>
      <c r="X67" s="424"/>
      <c r="Y67" s="424"/>
      <c r="Z67" s="424"/>
      <c r="AA67" s="424"/>
      <c r="AB67" s="424"/>
      <c r="AC67" s="424"/>
      <c r="AD67" s="424"/>
      <c r="AE67" s="424"/>
      <c r="AF67" s="424"/>
      <c r="AG67" s="424"/>
      <c r="AH67" s="424"/>
      <c r="AI67" s="424"/>
      <c r="AJ67" s="424"/>
      <c r="AK67" s="424"/>
      <c r="AL67" s="424"/>
      <c r="AM67" s="424"/>
      <c r="AN67" s="424"/>
      <c r="AO67" s="424"/>
      <c r="AP67" s="424"/>
      <c r="AQ67" s="424"/>
      <c r="AR67" s="424"/>
      <c r="AS67" s="424"/>
      <c r="AT67" s="424"/>
      <c r="AU67" s="424"/>
      <c r="AV67" s="424"/>
      <c r="AW67" s="424"/>
      <c r="AX67" s="424"/>
      <c r="AY67" s="424"/>
      <c r="AZ67" s="424"/>
      <c r="BA67" s="424"/>
      <c r="BB67" s="424"/>
      <c r="BC67" s="424"/>
      <c r="BD67" s="424"/>
      <c r="BE67" s="424"/>
      <c r="BF67" s="424"/>
      <c r="BG67" s="424"/>
      <c r="BH67" s="424"/>
      <c r="BI67" s="424"/>
      <c r="BJ67" s="424"/>
      <c r="BK67" s="424"/>
      <c r="BL67" s="424"/>
      <c r="BM67" s="424"/>
      <c r="BN67" s="424"/>
      <c r="BO67" s="424"/>
      <c r="BP67" s="424"/>
      <c r="BQ67" s="424"/>
      <c r="BR67" s="424"/>
      <c r="BS67" s="424"/>
      <c r="BT67" s="424"/>
      <c r="BU67" s="424"/>
      <c r="BV67" s="424"/>
      <c r="BW67" s="424"/>
      <c r="BX67" s="424"/>
      <c r="BY67" s="424"/>
      <c r="BZ67" s="424"/>
      <c r="CA67" s="424"/>
      <c r="CB67" s="424"/>
      <c r="CC67" s="424"/>
      <c r="CD67" s="424"/>
      <c r="CE67" s="424"/>
      <c r="CF67" s="424"/>
      <c r="CG67" s="424"/>
      <c r="CH67" s="424"/>
      <c r="CI67" s="424"/>
      <c r="CJ67" s="424"/>
      <c r="CK67" s="424"/>
      <c r="CL67" s="424"/>
      <c r="CM67" s="424"/>
      <c r="CN67" s="424"/>
      <c r="CO67" s="424"/>
      <c r="CP67" s="424"/>
      <c r="CQ67" s="424"/>
      <c r="CR67" s="424"/>
      <c r="CS67" s="424"/>
      <c r="CT67" s="424"/>
      <c r="CU67" s="424"/>
      <c r="CV67" s="424"/>
      <c r="CW67" s="424"/>
      <c r="CX67" s="424"/>
      <c r="CY67" s="424"/>
      <c r="CZ67" s="424"/>
      <c r="DA67" s="424"/>
      <c r="DB67" s="424"/>
      <c r="DC67" s="424"/>
      <c r="DD67" s="424"/>
      <c r="DE67" s="424"/>
      <c r="DF67" s="424"/>
      <c r="DG67" s="424"/>
      <c r="DH67" s="424"/>
      <c r="DI67" s="424"/>
      <c r="DJ67" s="424"/>
      <c r="DK67" s="424"/>
      <c r="DL67" s="424"/>
      <c r="DM67" s="424"/>
      <c r="DN67" s="424"/>
      <c r="DO67" s="424"/>
      <c r="DP67" s="424"/>
      <c r="DQ67" s="424"/>
      <c r="DR67" s="424"/>
      <c r="DS67" s="424"/>
      <c r="DT67" s="424"/>
      <c r="DU67" s="424"/>
      <c r="DV67" s="424"/>
      <c r="DW67" s="424"/>
      <c r="DX67" s="424"/>
      <c r="DY67" s="424"/>
      <c r="DZ67" s="424"/>
      <c r="EA67" s="424"/>
      <c r="EB67" s="424"/>
      <c r="EC67" s="424"/>
      <c r="ED67" s="424"/>
      <c r="EE67" s="424"/>
      <c r="EF67" s="424"/>
      <c r="EG67" s="424"/>
      <c r="EH67" s="424"/>
      <c r="EI67" s="424"/>
      <c r="EJ67" s="424"/>
      <c r="EK67" s="424"/>
      <c r="EL67" s="424"/>
      <c r="EM67" s="424"/>
      <c r="EN67" s="424"/>
      <c r="EO67" s="424"/>
    </row>
    <row r="68" spans="1:145">
      <c r="A68" s="446" t="s">
        <v>215</v>
      </c>
      <c r="B68" s="442" t="s">
        <v>68</v>
      </c>
      <c r="C68" s="427">
        <v>1</v>
      </c>
      <c r="D68" s="428">
        <v>500</v>
      </c>
      <c r="E68" s="429">
        <v>0</v>
      </c>
      <c r="F68" s="428">
        <f t="shared" si="9"/>
        <v>500</v>
      </c>
      <c r="G68" s="429">
        <f t="shared" si="2"/>
        <v>0</v>
      </c>
      <c r="H68" s="430">
        <f t="shared" si="10"/>
        <v>500</v>
      </c>
      <c r="Q68" s="424"/>
      <c r="R68" s="424"/>
      <c r="S68" s="424"/>
      <c r="T68" s="424"/>
      <c r="U68" s="424"/>
      <c r="V68" s="424"/>
      <c r="W68" s="424"/>
      <c r="X68" s="424"/>
      <c r="Y68" s="424"/>
      <c r="Z68" s="424"/>
      <c r="AA68" s="424"/>
      <c r="AB68" s="424"/>
      <c r="AC68" s="424"/>
      <c r="AD68" s="424"/>
      <c r="AE68" s="424"/>
      <c r="AF68" s="424"/>
      <c r="AG68" s="424"/>
      <c r="AH68" s="424"/>
      <c r="AI68" s="424"/>
      <c r="AJ68" s="424"/>
      <c r="AK68" s="424"/>
      <c r="AL68" s="424"/>
      <c r="AM68" s="424"/>
      <c r="AN68" s="424"/>
      <c r="AO68" s="424"/>
      <c r="AP68" s="424"/>
      <c r="AQ68" s="424"/>
      <c r="AR68" s="424"/>
      <c r="AS68" s="424"/>
      <c r="AT68" s="424"/>
      <c r="AU68" s="424"/>
      <c r="AV68" s="424"/>
      <c r="AW68" s="424"/>
      <c r="AX68" s="424"/>
      <c r="AY68" s="424"/>
      <c r="AZ68" s="424"/>
      <c r="BA68" s="424"/>
      <c r="BB68" s="424"/>
      <c r="BC68" s="424"/>
      <c r="BD68" s="424"/>
      <c r="BE68" s="424"/>
      <c r="BF68" s="424"/>
      <c r="BG68" s="424"/>
      <c r="BH68" s="424"/>
      <c r="BI68" s="424"/>
      <c r="BJ68" s="424"/>
      <c r="BK68" s="424"/>
      <c r="BL68" s="424"/>
      <c r="BM68" s="424"/>
      <c r="BN68" s="424"/>
      <c r="BO68" s="424"/>
      <c r="BP68" s="424"/>
      <c r="BQ68" s="424"/>
      <c r="BR68" s="424"/>
      <c r="BS68" s="424"/>
      <c r="BT68" s="424"/>
      <c r="BU68" s="424"/>
      <c r="BV68" s="424"/>
      <c r="BW68" s="424"/>
      <c r="BX68" s="424"/>
      <c r="BY68" s="424"/>
      <c r="BZ68" s="424"/>
      <c r="CA68" s="424"/>
      <c r="CB68" s="424"/>
      <c r="CC68" s="424"/>
      <c r="CD68" s="424"/>
      <c r="CE68" s="424"/>
      <c r="CF68" s="424"/>
      <c r="CG68" s="424"/>
      <c r="CH68" s="424"/>
      <c r="CI68" s="424"/>
      <c r="CJ68" s="424"/>
      <c r="CK68" s="424"/>
      <c r="CL68" s="424"/>
      <c r="CM68" s="424"/>
      <c r="CN68" s="424"/>
      <c r="CO68" s="424"/>
      <c r="CP68" s="424"/>
      <c r="CQ68" s="424"/>
      <c r="CR68" s="424"/>
      <c r="CS68" s="424"/>
      <c r="CT68" s="424"/>
      <c r="CU68" s="424"/>
      <c r="CV68" s="424"/>
      <c r="CW68" s="424"/>
      <c r="CX68" s="424"/>
      <c r="CY68" s="424"/>
      <c r="CZ68" s="424"/>
      <c r="DA68" s="424"/>
      <c r="DB68" s="424"/>
      <c r="DC68" s="424"/>
      <c r="DD68" s="424"/>
      <c r="DE68" s="424"/>
      <c r="DF68" s="424"/>
      <c r="DG68" s="424"/>
      <c r="DH68" s="424"/>
      <c r="DI68" s="424"/>
      <c r="DJ68" s="424"/>
      <c r="DK68" s="424"/>
      <c r="DL68" s="424"/>
      <c r="DM68" s="424"/>
      <c r="DN68" s="424"/>
      <c r="DO68" s="424"/>
      <c r="DP68" s="424"/>
      <c r="DQ68" s="424"/>
      <c r="DR68" s="424"/>
      <c r="DS68" s="424"/>
      <c r="DT68" s="424"/>
      <c r="DU68" s="424"/>
      <c r="DV68" s="424"/>
      <c r="DW68" s="424"/>
      <c r="DX68" s="424"/>
      <c r="DY68" s="424"/>
      <c r="DZ68" s="424"/>
      <c r="EA68" s="424"/>
      <c r="EB68" s="424"/>
      <c r="EC68" s="424"/>
      <c r="ED68" s="424"/>
      <c r="EE68" s="424"/>
      <c r="EF68" s="424"/>
      <c r="EG68" s="424"/>
      <c r="EH68" s="424"/>
      <c r="EI68" s="424"/>
      <c r="EJ68" s="424"/>
      <c r="EK68" s="424"/>
      <c r="EL68" s="424"/>
      <c r="EM68" s="424"/>
      <c r="EN68" s="424"/>
      <c r="EO68" s="424"/>
    </row>
    <row r="69" spans="1:145">
      <c r="A69" s="446" t="s">
        <v>215</v>
      </c>
      <c r="B69" s="442" t="s">
        <v>51</v>
      </c>
      <c r="C69" s="427">
        <v>1</v>
      </c>
      <c r="D69" s="428">
        <v>3500</v>
      </c>
      <c r="E69" s="429">
        <v>0</v>
      </c>
      <c r="F69" s="428">
        <f t="shared" si="9"/>
        <v>3500</v>
      </c>
      <c r="G69" s="429">
        <f t="shared" si="2"/>
        <v>0</v>
      </c>
      <c r="H69" s="430">
        <f t="shared" si="10"/>
        <v>3500</v>
      </c>
      <c r="Q69" s="424"/>
      <c r="R69" s="424"/>
      <c r="S69" s="424"/>
      <c r="T69" s="424"/>
      <c r="U69" s="424"/>
      <c r="V69" s="424"/>
      <c r="W69" s="424"/>
      <c r="X69" s="424"/>
      <c r="Y69" s="424"/>
      <c r="Z69" s="424"/>
      <c r="AA69" s="424"/>
      <c r="AB69" s="424"/>
      <c r="AC69" s="424"/>
      <c r="AD69" s="424"/>
      <c r="AE69" s="424"/>
      <c r="AF69" s="424"/>
      <c r="AG69" s="424"/>
      <c r="AH69" s="424"/>
      <c r="AI69" s="424"/>
      <c r="AJ69" s="424"/>
      <c r="AK69" s="424"/>
      <c r="AL69" s="424"/>
      <c r="AM69" s="424"/>
      <c r="AN69" s="424"/>
      <c r="AO69" s="424"/>
      <c r="AP69" s="424"/>
      <c r="AQ69" s="424"/>
      <c r="AR69" s="424"/>
      <c r="AS69" s="424"/>
      <c r="AT69" s="424"/>
      <c r="AU69" s="424"/>
      <c r="AV69" s="424"/>
      <c r="AW69" s="424"/>
      <c r="AX69" s="424"/>
      <c r="AY69" s="424"/>
      <c r="AZ69" s="424"/>
      <c r="BA69" s="424"/>
      <c r="BB69" s="424"/>
      <c r="BC69" s="424"/>
      <c r="BD69" s="424"/>
      <c r="BE69" s="424"/>
      <c r="BF69" s="424"/>
      <c r="BG69" s="424"/>
      <c r="BH69" s="424"/>
      <c r="BI69" s="424"/>
      <c r="BJ69" s="424"/>
      <c r="BK69" s="424"/>
      <c r="BL69" s="424"/>
      <c r="BM69" s="424"/>
      <c r="BN69" s="424"/>
      <c r="BO69" s="424"/>
      <c r="BP69" s="424"/>
      <c r="BQ69" s="424"/>
      <c r="BR69" s="424"/>
      <c r="BS69" s="424"/>
      <c r="BT69" s="424"/>
      <c r="BU69" s="424"/>
      <c r="BV69" s="424"/>
      <c r="BW69" s="424"/>
      <c r="BX69" s="424"/>
      <c r="BY69" s="424"/>
      <c r="BZ69" s="424"/>
      <c r="CA69" s="424"/>
      <c r="CB69" s="424"/>
      <c r="CC69" s="424"/>
      <c r="CD69" s="424"/>
      <c r="CE69" s="424"/>
      <c r="CF69" s="424"/>
      <c r="CG69" s="424"/>
      <c r="CH69" s="424"/>
      <c r="CI69" s="424"/>
      <c r="CJ69" s="424"/>
      <c r="CK69" s="424"/>
      <c r="CL69" s="424"/>
      <c r="CM69" s="424"/>
      <c r="CN69" s="424"/>
      <c r="CO69" s="424"/>
      <c r="CP69" s="424"/>
      <c r="CQ69" s="424"/>
      <c r="CR69" s="424"/>
      <c r="CS69" s="424"/>
      <c r="CT69" s="424"/>
      <c r="CU69" s="424"/>
      <c r="CV69" s="424"/>
      <c r="CW69" s="424"/>
      <c r="CX69" s="424"/>
      <c r="CY69" s="424"/>
      <c r="CZ69" s="424"/>
      <c r="DA69" s="424"/>
      <c r="DB69" s="424"/>
      <c r="DC69" s="424"/>
      <c r="DD69" s="424"/>
      <c r="DE69" s="424"/>
      <c r="DF69" s="424"/>
      <c r="DG69" s="424"/>
      <c r="DH69" s="424"/>
      <c r="DI69" s="424"/>
      <c r="DJ69" s="424"/>
      <c r="DK69" s="424"/>
      <c r="DL69" s="424"/>
      <c r="DM69" s="424"/>
      <c r="DN69" s="424"/>
      <c r="DO69" s="424"/>
      <c r="DP69" s="424"/>
      <c r="DQ69" s="424"/>
      <c r="DR69" s="424"/>
      <c r="DS69" s="424"/>
      <c r="DT69" s="424"/>
      <c r="DU69" s="424"/>
      <c r="DV69" s="424"/>
      <c r="DW69" s="424"/>
      <c r="DX69" s="424"/>
      <c r="DY69" s="424"/>
      <c r="DZ69" s="424"/>
      <c r="EA69" s="424"/>
      <c r="EB69" s="424"/>
      <c r="EC69" s="424"/>
      <c r="ED69" s="424"/>
      <c r="EE69" s="424"/>
      <c r="EF69" s="424"/>
      <c r="EG69" s="424"/>
      <c r="EH69" s="424"/>
      <c r="EI69" s="424"/>
      <c r="EJ69" s="424"/>
      <c r="EK69" s="424"/>
      <c r="EL69" s="424"/>
      <c r="EM69" s="424"/>
      <c r="EN69" s="424"/>
      <c r="EO69" s="424"/>
    </row>
    <row r="70" spans="1:145">
      <c r="A70" s="446" t="s">
        <v>215</v>
      </c>
      <c r="B70" s="442" t="s">
        <v>1104</v>
      </c>
      <c r="C70" s="427">
        <v>1</v>
      </c>
      <c r="D70" s="428">
        <v>9500</v>
      </c>
      <c r="E70" s="429">
        <v>0</v>
      </c>
      <c r="F70" s="428">
        <f t="shared" si="9"/>
        <v>9500</v>
      </c>
      <c r="G70" s="429">
        <f t="shared" si="2"/>
        <v>0</v>
      </c>
      <c r="H70" s="430">
        <f t="shared" si="10"/>
        <v>9500</v>
      </c>
      <c r="Q70" s="424"/>
      <c r="R70" s="424"/>
      <c r="S70" s="424"/>
      <c r="T70" s="424"/>
      <c r="U70" s="424"/>
      <c r="V70" s="424"/>
      <c r="W70" s="424"/>
      <c r="X70" s="424"/>
      <c r="Y70" s="424"/>
      <c r="Z70" s="424"/>
      <c r="AA70" s="424"/>
      <c r="AB70" s="424"/>
      <c r="AC70" s="424"/>
      <c r="AD70" s="424"/>
      <c r="AE70" s="424"/>
      <c r="AF70" s="424"/>
      <c r="AG70" s="424"/>
      <c r="AH70" s="424"/>
      <c r="AI70" s="424"/>
      <c r="AJ70" s="424"/>
      <c r="AK70" s="424"/>
      <c r="AL70" s="424"/>
      <c r="AM70" s="424"/>
      <c r="AN70" s="424"/>
      <c r="AO70" s="424"/>
      <c r="AP70" s="424"/>
      <c r="AQ70" s="424"/>
      <c r="AR70" s="424"/>
      <c r="AS70" s="424"/>
      <c r="AT70" s="424"/>
      <c r="AU70" s="424"/>
      <c r="AV70" s="424"/>
      <c r="AW70" s="424"/>
      <c r="AX70" s="424"/>
      <c r="AY70" s="424"/>
      <c r="AZ70" s="424"/>
      <c r="BA70" s="424"/>
      <c r="BB70" s="424"/>
      <c r="BC70" s="424"/>
      <c r="BD70" s="424"/>
      <c r="BE70" s="424"/>
      <c r="BF70" s="424"/>
      <c r="BG70" s="424"/>
      <c r="BH70" s="424"/>
      <c r="BI70" s="424"/>
      <c r="BJ70" s="424"/>
      <c r="BK70" s="424"/>
      <c r="BL70" s="424"/>
      <c r="BM70" s="424"/>
      <c r="BN70" s="424"/>
      <c r="BO70" s="424"/>
      <c r="BP70" s="424"/>
      <c r="BQ70" s="424"/>
      <c r="BR70" s="424"/>
      <c r="BS70" s="424"/>
      <c r="BT70" s="424"/>
      <c r="BU70" s="424"/>
      <c r="BV70" s="424"/>
      <c r="BW70" s="424"/>
      <c r="BX70" s="424"/>
      <c r="BY70" s="424"/>
      <c r="BZ70" s="424"/>
      <c r="CA70" s="424"/>
      <c r="CB70" s="424"/>
      <c r="CC70" s="424"/>
      <c r="CD70" s="424"/>
      <c r="CE70" s="424"/>
      <c r="CF70" s="424"/>
      <c r="CG70" s="424"/>
      <c r="CH70" s="424"/>
      <c r="CI70" s="424"/>
      <c r="CJ70" s="424"/>
      <c r="CK70" s="424"/>
      <c r="CL70" s="424"/>
      <c r="CM70" s="424"/>
      <c r="CN70" s="424"/>
      <c r="CO70" s="424"/>
      <c r="CP70" s="424"/>
      <c r="CQ70" s="424"/>
      <c r="CR70" s="424"/>
      <c r="CS70" s="424"/>
      <c r="CT70" s="424"/>
      <c r="CU70" s="424"/>
      <c r="CV70" s="424"/>
      <c r="CW70" s="424"/>
      <c r="CX70" s="424"/>
      <c r="CY70" s="424"/>
      <c r="CZ70" s="424"/>
      <c r="DA70" s="424"/>
      <c r="DB70" s="424"/>
      <c r="DC70" s="424"/>
      <c r="DD70" s="424"/>
      <c r="DE70" s="424"/>
      <c r="DF70" s="424"/>
      <c r="DG70" s="424"/>
      <c r="DH70" s="424"/>
      <c r="DI70" s="424"/>
      <c r="DJ70" s="424"/>
      <c r="DK70" s="424"/>
      <c r="DL70" s="424"/>
      <c r="DM70" s="424"/>
      <c r="DN70" s="424"/>
      <c r="DO70" s="424"/>
      <c r="DP70" s="424"/>
      <c r="DQ70" s="424"/>
      <c r="DR70" s="424"/>
      <c r="DS70" s="424"/>
      <c r="DT70" s="424"/>
      <c r="DU70" s="424"/>
      <c r="DV70" s="424"/>
      <c r="DW70" s="424"/>
      <c r="DX70" s="424"/>
      <c r="DY70" s="424"/>
      <c r="DZ70" s="424"/>
      <c r="EA70" s="424"/>
      <c r="EB70" s="424"/>
      <c r="EC70" s="424"/>
      <c r="ED70" s="424"/>
      <c r="EE70" s="424"/>
      <c r="EF70" s="424"/>
      <c r="EG70" s="424"/>
      <c r="EH70" s="424"/>
      <c r="EI70" s="424"/>
      <c r="EJ70" s="424"/>
      <c r="EK70" s="424"/>
      <c r="EL70" s="424"/>
      <c r="EM70" s="424"/>
      <c r="EN70" s="424"/>
      <c r="EO70" s="424"/>
    </row>
    <row r="71" spans="1:145">
      <c r="A71" s="446" t="s">
        <v>215</v>
      </c>
      <c r="B71" s="442" t="s">
        <v>1105</v>
      </c>
      <c r="C71" s="427">
        <v>1</v>
      </c>
      <c r="D71" s="428">
        <v>16500</v>
      </c>
      <c r="E71" s="429">
        <v>0</v>
      </c>
      <c r="F71" s="428">
        <f t="shared" si="9"/>
        <v>16500</v>
      </c>
      <c r="G71" s="429">
        <f t="shared" si="2"/>
        <v>0</v>
      </c>
      <c r="H71" s="430">
        <f t="shared" si="10"/>
        <v>16500</v>
      </c>
      <c r="Q71" s="424"/>
      <c r="R71" s="424"/>
      <c r="S71" s="424"/>
      <c r="T71" s="424"/>
      <c r="U71" s="424"/>
      <c r="V71" s="424"/>
      <c r="W71" s="424"/>
      <c r="X71" s="424"/>
      <c r="Y71" s="424"/>
      <c r="Z71" s="424"/>
      <c r="AA71" s="424"/>
      <c r="AB71" s="424"/>
      <c r="AC71" s="424"/>
      <c r="AD71" s="424"/>
      <c r="AE71" s="424"/>
      <c r="AF71" s="424"/>
      <c r="AG71" s="424"/>
      <c r="AH71" s="424"/>
      <c r="AI71" s="424"/>
      <c r="AJ71" s="424"/>
      <c r="AK71" s="424"/>
      <c r="AL71" s="424"/>
      <c r="AM71" s="424"/>
      <c r="AN71" s="424"/>
      <c r="AO71" s="424"/>
      <c r="AP71" s="424"/>
      <c r="AQ71" s="424"/>
      <c r="AR71" s="424"/>
      <c r="AS71" s="424"/>
      <c r="AT71" s="424"/>
      <c r="AU71" s="424"/>
      <c r="AV71" s="424"/>
      <c r="AW71" s="424"/>
      <c r="AX71" s="424"/>
      <c r="AY71" s="424"/>
      <c r="AZ71" s="424"/>
      <c r="BA71" s="424"/>
      <c r="BB71" s="424"/>
      <c r="BC71" s="424"/>
      <c r="BD71" s="424"/>
      <c r="BE71" s="424"/>
      <c r="BF71" s="424"/>
      <c r="BG71" s="424"/>
      <c r="BH71" s="424"/>
      <c r="BI71" s="424"/>
      <c r="BJ71" s="424"/>
      <c r="BK71" s="424"/>
      <c r="BL71" s="424"/>
      <c r="BM71" s="424"/>
      <c r="BN71" s="424"/>
      <c r="BO71" s="424"/>
      <c r="BP71" s="424"/>
      <c r="BQ71" s="424"/>
      <c r="BR71" s="424"/>
      <c r="BS71" s="424"/>
      <c r="BT71" s="424"/>
      <c r="BU71" s="424"/>
      <c r="BV71" s="424"/>
      <c r="BW71" s="424"/>
      <c r="BX71" s="424"/>
      <c r="BY71" s="424"/>
      <c r="BZ71" s="424"/>
      <c r="CA71" s="424"/>
      <c r="CB71" s="424"/>
      <c r="CC71" s="424"/>
      <c r="CD71" s="424"/>
      <c r="CE71" s="424"/>
      <c r="CF71" s="424"/>
      <c r="CG71" s="424"/>
      <c r="CH71" s="424"/>
      <c r="CI71" s="424"/>
      <c r="CJ71" s="424"/>
      <c r="CK71" s="424"/>
      <c r="CL71" s="424"/>
      <c r="CM71" s="424"/>
      <c r="CN71" s="424"/>
      <c r="CO71" s="424"/>
      <c r="CP71" s="424"/>
      <c r="CQ71" s="424"/>
      <c r="CR71" s="424"/>
      <c r="CS71" s="424"/>
      <c r="CT71" s="424"/>
      <c r="CU71" s="424"/>
      <c r="CV71" s="424"/>
      <c r="CW71" s="424"/>
      <c r="CX71" s="424"/>
      <c r="CY71" s="424"/>
      <c r="CZ71" s="424"/>
      <c r="DA71" s="424"/>
      <c r="DB71" s="424"/>
      <c r="DC71" s="424"/>
      <c r="DD71" s="424"/>
      <c r="DE71" s="424"/>
      <c r="DF71" s="424"/>
      <c r="DG71" s="424"/>
      <c r="DH71" s="424"/>
      <c r="DI71" s="424"/>
      <c r="DJ71" s="424"/>
      <c r="DK71" s="424"/>
      <c r="DL71" s="424"/>
      <c r="DM71" s="424"/>
      <c r="DN71" s="424"/>
      <c r="DO71" s="424"/>
      <c r="DP71" s="424"/>
      <c r="DQ71" s="424"/>
      <c r="DR71" s="424"/>
      <c r="DS71" s="424"/>
      <c r="DT71" s="424"/>
      <c r="DU71" s="424"/>
      <c r="DV71" s="424"/>
      <c r="DW71" s="424"/>
      <c r="DX71" s="424"/>
      <c r="DY71" s="424"/>
      <c r="DZ71" s="424"/>
      <c r="EA71" s="424"/>
      <c r="EB71" s="424"/>
      <c r="EC71" s="424"/>
      <c r="ED71" s="424"/>
      <c r="EE71" s="424"/>
      <c r="EF71" s="424"/>
      <c r="EG71" s="424"/>
      <c r="EH71" s="424"/>
      <c r="EI71" s="424"/>
      <c r="EJ71" s="424"/>
      <c r="EK71" s="424"/>
      <c r="EL71" s="424"/>
      <c r="EM71" s="424"/>
      <c r="EN71" s="424"/>
      <c r="EO71" s="424"/>
    </row>
    <row r="72" spans="1:145">
      <c r="A72" s="446" t="s">
        <v>215</v>
      </c>
      <c r="B72" s="442" t="s">
        <v>1106</v>
      </c>
      <c r="C72" s="427">
        <v>1</v>
      </c>
      <c r="D72" s="428">
        <v>100</v>
      </c>
      <c r="E72" s="429">
        <v>0</v>
      </c>
      <c r="F72" s="428">
        <f t="shared" si="9"/>
        <v>100</v>
      </c>
      <c r="G72" s="429">
        <f t="shared" si="2"/>
        <v>0</v>
      </c>
      <c r="H72" s="430">
        <f t="shared" si="10"/>
        <v>100</v>
      </c>
      <c r="Q72" s="424"/>
      <c r="R72" s="424"/>
      <c r="S72" s="424"/>
      <c r="T72" s="424"/>
      <c r="U72" s="424"/>
      <c r="V72" s="424"/>
      <c r="W72" s="424"/>
      <c r="X72" s="424"/>
      <c r="Y72" s="424"/>
      <c r="Z72" s="424"/>
      <c r="AA72" s="424"/>
      <c r="AB72" s="424"/>
      <c r="AC72" s="424"/>
      <c r="AD72" s="424"/>
      <c r="AE72" s="424"/>
      <c r="AF72" s="424"/>
      <c r="AG72" s="424"/>
      <c r="AH72" s="424"/>
      <c r="AI72" s="424"/>
      <c r="AJ72" s="424"/>
      <c r="AK72" s="424"/>
      <c r="AL72" s="424"/>
      <c r="AM72" s="424"/>
      <c r="AN72" s="424"/>
      <c r="AO72" s="424"/>
      <c r="AP72" s="424"/>
      <c r="AQ72" s="424"/>
      <c r="AR72" s="424"/>
      <c r="AS72" s="424"/>
      <c r="AT72" s="424"/>
      <c r="AU72" s="424"/>
      <c r="AV72" s="424"/>
      <c r="AW72" s="424"/>
      <c r="AX72" s="424"/>
      <c r="AY72" s="424"/>
      <c r="AZ72" s="424"/>
      <c r="BA72" s="424"/>
      <c r="BB72" s="424"/>
      <c r="BC72" s="424"/>
      <c r="BD72" s="424"/>
      <c r="BE72" s="424"/>
      <c r="BF72" s="424"/>
      <c r="BG72" s="424"/>
      <c r="BH72" s="424"/>
      <c r="BI72" s="424"/>
      <c r="BJ72" s="424"/>
      <c r="BK72" s="424"/>
      <c r="BL72" s="424"/>
      <c r="BM72" s="424"/>
      <c r="BN72" s="424"/>
      <c r="BO72" s="424"/>
      <c r="BP72" s="424"/>
      <c r="BQ72" s="424"/>
      <c r="BR72" s="424"/>
      <c r="BS72" s="424"/>
      <c r="BT72" s="424"/>
      <c r="BU72" s="424"/>
      <c r="BV72" s="424"/>
      <c r="BW72" s="424"/>
      <c r="BX72" s="424"/>
      <c r="BY72" s="424"/>
      <c r="BZ72" s="424"/>
      <c r="CA72" s="424"/>
      <c r="CB72" s="424"/>
      <c r="CC72" s="424"/>
      <c r="CD72" s="424"/>
      <c r="CE72" s="424"/>
      <c r="CF72" s="424"/>
      <c r="CG72" s="424"/>
      <c r="CH72" s="424"/>
      <c r="CI72" s="424"/>
      <c r="CJ72" s="424"/>
      <c r="CK72" s="424"/>
      <c r="CL72" s="424"/>
      <c r="CM72" s="424"/>
      <c r="CN72" s="424"/>
      <c r="CO72" s="424"/>
      <c r="CP72" s="424"/>
      <c r="CQ72" s="424"/>
      <c r="CR72" s="424"/>
      <c r="CS72" s="424"/>
      <c r="CT72" s="424"/>
      <c r="CU72" s="424"/>
      <c r="CV72" s="424"/>
      <c r="CW72" s="424"/>
      <c r="CX72" s="424"/>
      <c r="CY72" s="424"/>
      <c r="CZ72" s="424"/>
      <c r="DA72" s="424"/>
      <c r="DB72" s="424"/>
      <c r="DC72" s="424"/>
      <c r="DD72" s="424"/>
      <c r="DE72" s="424"/>
      <c r="DF72" s="424"/>
      <c r="DG72" s="424"/>
      <c r="DH72" s="424"/>
      <c r="DI72" s="424"/>
      <c r="DJ72" s="424"/>
      <c r="DK72" s="424"/>
      <c r="DL72" s="424"/>
      <c r="DM72" s="424"/>
      <c r="DN72" s="424"/>
      <c r="DO72" s="424"/>
      <c r="DP72" s="424"/>
      <c r="DQ72" s="424"/>
      <c r="DR72" s="424"/>
      <c r="DS72" s="424"/>
      <c r="DT72" s="424"/>
      <c r="DU72" s="424"/>
      <c r="DV72" s="424"/>
      <c r="DW72" s="424"/>
      <c r="DX72" s="424"/>
      <c r="DY72" s="424"/>
      <c r="DZ72" s="424"/>
      <c r="EA72" s="424"/>
      <c r="EB72" s="424"/>
      <c r="EC72" s="424"/>
      <c r="ED72" s="424"/>
      <c r="EE72" s="424"/>
      <c r="EF72" s="424"/>
      <c r="EG72" s="424"/>
      <c r="EH72" s="424"/>
      <c r="EI72" s="424"/>
      <c r="EJ72" s="424"/>
      <c r="EK72" s="424"/>
      <c r="EL72" s="424"/>
      <c r="EM72" s="424"/>
      <c r="EN72" s="424"/>
      <c r="EO72" s="424"/>
    </row>
    <row r="73" spans="1:145">
      <c r="A73" s="446" t="s">
        <v>215</v>
      </c>
      <c r="B73" s="442" t="s">
        <v>1107</v>
      </c>
      <c r="C73" s="427">
        <v>1</v>
      </c>
      <c r="D73" s="428">
        <v>9000</v>
      </c>
      <c r="E73" s="429">
        <v>0</v>
      </c>
      <c r="F73" s="428">
        <f t="shared" si="9"/>
        <v>9000</v>
      </c>
      <c r="G73" s="429">
        <f t="shared" si="2"/>
        <v>0</v>
      </c>
      <c r="H73" s="430">
        <f t="shared" si="10"/>
        <v>9000</v>
      </c>
      <c r="Q73" s="424"/>
      <c r="R73" s="424"/>
      <c r="S73" s="424"/>
      <c r="T73" s="424"/>
      <c r="U73" s="424"/>
      <c r="V73" s="424"/>
      <c r="W73" s="424"/>
      <c r="X73" s="424"/>
      <c r="Y73" s="424"/>
      <c r="Z73" s="424"/>
      <c r="AA73" s="424"/>
      <c r="AB73" s="424"/>
      <c r="AC73" s="424"/>
      <c r="AD73" s="424"/>
      <c r="AE73" s="424"/>
      <c r="AF73" s="424"/>
      <c r="AG73" s="424"/>
      <c r="AH73" s="424"/>
      <c r="AI73" s="424"/>
      <c r="AJ73" s="424"/>
      <c r="AK73" s="424"/>
      <c r="AL73" s="424"/>
      <c r="AM73" s="424"/>
      <c r="AN73" s="424"/>
      <c r="AO73" s="424"/>
      <c r="AP73" s="424"/>
      <c r="AQ73" s="424"/>
      <c r="AR73" s="424"/>
      <c r="AS73" s="424"/>
      <c r="AT73" s="424"/>
      <c r="AU73" s="424"/>
      <c r="AV73" s="424"/>
      <c r="AW73" s="424"/>
      <c r="AX73" s="424"/>
      <c r="AY73" s="424"/>
      <c r="AZ73" s="424"/>
      <c r="BA73" s="424"/>
      <c r="BB73" s="424"/>
      <c r="BC73" s="424"/>
      <c r="BD73" s="424"/>
      <c r="BE73" s="424"/>
      <c r="BF73" s="424"/>
      <c r="BG73" s="424"/>
      <c r="BH73" s="424"/>
      <c r="BI73" s="424"/>
      <c r="BJ73" s="424"/>
      <c r="BK73" s="424"/>
      <c r="BL73" s="424"/>
      <c r="BM73" s="424"/>
      <c r="BN73" s="424"/>
      <c r="BO73" s="424"/>
      <c r="BP73" s="424"/>
      <c r="BQ73" s="424"/>
      <c r="BR73" s="424"/>
      <c r="BS73" s="424"/>
      <c r="BT73" s="424"/>
      <c r="BU73" s="424"/>
      <c r="BV73" s="424"/>
      <c r="BW73" s="424"/>
      <c r="BX73" s="424"/>
      <c r="BY73" s="424"/>
      <c r="BZ73" s="424"/>
      <c r="CA73" s="424"/>
      <c r="CB73" s="424"/>
      <c r="CC73" s="424"/>
      <c r="CD73" s="424"/>
      <c r="CE73" s="424"/>
      <c r="CF73" s="424"/>
      <c r="CG73" s="424"/>
      <c r="CH73" s="424"/>
      <c r="CI73" s="424"/>
      <c r="CJ73" s="424"/>
      <c r="CK73" s="424"/>
      <c r="CL73" s="424"/>
      <c r="CM73" s="424"/>
      <c r="CN73" s="424"/>
      <c r="CO73" s="424"/>
      <c r="CP73" s="424"/>
      <c r="CQ73" s="424"/>
      <c r="CR73" s="424"/>
      <c r="CS73" s="424"/>
      <c r="CT73" s="424"/>
      <c r="CU73" s="424"/>
      <c r="CV73" s="424"/>
      <c r="CW73" s="424"/>
      <c r="CX73" s="424"/>
      <c r="CY73" s="424"/>
      <c r="CZ73" s="424"/>
      <c r="DA73" s="424"/>
      <c r="DB73" s="424"/>
      <c r="DC73" s="424"/>
      <c r="DD73" s="424"/>
      <c r="DE73" s="424"/>
      <c r="DF73" s="424"/>
      <c r="DG73" s="424"/>
      <c r="DH73" s="424"/>
      <c r="DI73" s="424"/>
      <c r="DJ73" s="424"/>
      <c r="DK73" s="424"/>
      <c r="DL73" s="424"/>
      <c r="DM73" s="424"/>
      <c r="DN73" s="424"/>
      <c r="DO73" s="424"/>
      <c r="DP73" s="424"/>
      <c r="DQ73" s="424"/>
      <c r="DR73" s="424"/>
      <c r="DS73" s="424"/>
      <c r="DT73" s="424"/>
      <c r="DU73" s="424"/>
      <c r="DV73" s="424"/>
      <c r="DW73" s="424"/>
      <c r="DX73" s="424"/>
      <c r="DY73" s="424"/>
      <c r="DZ73" s="424"/>
      <c r="EA73" s="424"/>
      <c r="EB73" s="424"/>
      <c r="EC73" s="424"/>
      <c r="ED73" s="424"/>
      <c r="EE73" s="424"/>
      <c r="EF73" s="424"/>
      <c r="EG73" s="424"/>
      <c r="EH73" s="424"/>
      <c r="EI73" s="424"/>
      <c r="EJ73" s="424"/>
      <c r="EK73" s="424"/>
      <c r="EL73" s="424"/>
      <c r="EM73" s="424"/>
      <c r="EN73" s="424"/>
      <c r="EO73" s="424"/>
    </row>
    <row r="74" spans="1:145">
      <c r="A74" s="446" t="s">
        <v>215</v>
      </c>
      <c r="B74" s="442" t="s">
        <v>1108</v>
      </c>
      <c r="C74" s="427">
        <v>1</v>
      </c>
      <c r="D74" s="428">
        <v>1500</v>
      </c>
      <c r="E74" s="429">
        <v>0</v>
      </c>
      <c r="F74" s="428">
        <f t="shared" si="9"/>
        <v>1500</v>
      </c>
      <c r="G74" s="429">
        <f t="shared" si="2"/>
        <v>0</v>
      </c>
      <c r="H74" s="430">
        <f t="shared" si="10"/>
        <v>1500</v>
      </c>
      <c r="Q74" s="424"/>
      <c r="R74" s="424"/>
      <c r="S74" s="424"/>
      <c r="T74" s="424"/>
      <c r="U74" s="424"/>
      <c r="V74" s="424"/>
      <c r="W74" s="424"/>
      <c r="X74" s="424"/>
      <c r="Y74" s="424"/>
      <c r="Z74" s="424"/>
      <c r="AA74" s="424"/>
      <c r="AB74" s="424"/>
      <c r="AC74" s="424"/>
      <c r="AD74" s="424"/>
      <c r="AE74" s="424"/>
      <c r="AF74" s="424"/>
      <c r="AG74" s="424"/>
      <c r="AH74" s="424"/>
      <c r="AI74" s="424"/>
      <c r="AJ74" s="424"/>
      <c r="AK74" s="424"/>
      <c r="AL74" s="424"/>
      <c r="AM74" s="424"/>
      <c r="AN74" s="424"/>
      <c r="AO74" s="424"/>
      <c r="AP74" s="424"/>
      <c r="AQ74" s="424"/>
      <c r="AR74" s="424"/>
      <c r="AS74" s="424"/>
      <c r="AT74" s="424"/>
      <c r="AU74" s="424"/>
      <c r="AV74" s="424"/>
      <c r="AW74" s="424"/>
      <c r="AX74" s="424"/>
      <c r="AY74" s="424"/>
      <c r="AZ74" s="424"/>
      <c r="BA74" s="424"/>
      <c r="BB74" s="424"/>
      <c r="BC74" s="424"/>
      <c r="BD74" s="424"/>
      <c r="BE74" s="424"/>
      <c r="BF74" s="424"/>
      <c r="BG74" s="424"/>
      <c r="BH74" s="424"/>
      <c r="BI74" s="424"/>
      <c r="BJ74" s="424"/>
      <c r="BK74" s="424"/>
      <c r="BL74" s="424"/>
      <c r="BM74" s="424"/>
      <c r="BN74" s="424"/>
      <c r="BO74" s="424"/>
      <c r="BP74" s="424"/>
      <c r="BQ74" s="424"/>
      <c r="BR74" s="424"/>
      <c r="BS74" s="424"/>
      <c r="BT74" s="424"/>
      <c r="BU74" s="424"/>
      <c r="BV74" s="424"/>
      <c r="BW74" s="424"/>
      <c r="BX74" s="424"/>
      <c r="BY74" s="424"/>
      <c r="BZ74" s="424"/>
      <c r="CA74" s="424"/>
      <c r="CB74" s="424"/>
      <c r="CC74" s="424"/>
      <c r="CD74" s="424"/>
      <c r="CE74" s="424"/>
      <c r="CF74" s="424"/>
      <c r="CG74" s="424"/>
      <c r="CH74" s="424"/>
      <c r="CI74" s="424"/>
      <c r="CJ74" s="424"/>
      <c r="CK74" s="424"/>
      <c r="CL74" s="424"/>
      <c r="CM74" s="424"/>
      <c r="CN74" s="424"/>
      <c r="CO74" s="424"/>
      <c r="CP74" s="424"/>
      <c r="CQ74" s="424"/>
      <c r="CR74" s="424"/>
      <c r="CS74" s="424"/>
      <c r="CT74" s="424"/>
      <c r="CU74" s="424"/>
      <c r="CV74" s="424"/>
      <c r="CW74" s="424"/>
      <c r="CX74" s="424"/>
      <c r="CY74" s="424"/>
      <c r="CZ74" s="424"/>
      <c r="DA74" s="424"/>
      <c r="DB74" s="424"/>
      <c r="DC74" s="424"/>
      <c r="DD74" s="424"/>
      <c r="DE74" s="424"/>
      <c r="DF74" s="424"/>
      <c r="DG74" s="424"/>
      <c r="DH74" s="424"/>
      <c r="DI74" s="424"/>
      <c r="DJ74" s="424"/>
      <c r="DK74" s="424"/>
      <c r="DL74" s="424"/>
      <c r="DM74" s="424"/>
      <c r="DN74" s="424"/>
      <c r="DO74" s="424"/>
      <c r="DP74" s="424"/>
      <c r="DQ74" s="424"/>
      <c r="DR74" s="424"/>
      <c r="DS74" s="424"/>
      <c r="DT74" s="424"/>
      <c r="DU74" s="424"/>
      <c r="DV74" s="424"/>
      <c r="DW74" s="424"/>
      <c r="DX74" s="424"/>
      <c r="DY74" s="424"/>
      <c r="DZ74" s="424"/>
      <c r="EA74" s="424"/>
      <c r="EB74" s="424"/>
      <c r="EC74" s="424"/>
      <c r="ED74" s="424"/>
      <c r="EE74" s="424"/>
      <c r="EF74" s="424"/>
      <c r="EG74" s="424"/>
      <c r="EH74" s="424"/>
      <c r="EI74" s="424"/>
      <c r="EJ74" s="424"/>
      <c r="EK74" s="424"/>
      <c r="EL74" s="424"/>
      <c r="EM74" s="424"/>
      <c r="EN74" s="424"/>
      <c r="EO74" s="424"/>
    </row>
    <row r="75" spans="1:145">
      <c r="A75" s="446" t="s">
        <v>215</v>
      </c>
      <c r="B75" s="442" t="s">
        <v>1109</v>
      </c>
      <c r="C75" s="427">
        <v>1</v>
      </c>
      <c r="D75" s="428">
        <v>2000</v>
      </c>
      <c r="E75" s="429">
        <v>0</v>
      </c>
      <c r="F75" s="428">
        <f t="shared" si="9"/>
        <v>2000</v>
      </c>
      <c r="G75" s="429">
        <f t="shared" si="2"/>
        <v>0</v>
      </c>
      <c r="H75" s="430">
        <f t="shared" si="10"/>
        <v>2000</v>
      </c>
      <c r="Q75" s="424"/>
      <c r="R75" s="424"/>
      <c r="S75" s="424"/>
      <c r="T75" s="424"/>
      <c r="U75" s="424"/>
      <c r="V75" s="424"/>
      <c r="W75" s="424"/>
      <c r="X75" s="424"/>
      <c r="Y75" s="424"/>
      <c r="Z75" s="424"/>
      <c r="AA75" s="424"/>
      <c r="AB75" s="424"/>
      <c r="AC75" s="424"/>
      <c r="AD75" s="424"/>
      <c r="AE75" s="424"/>
      <c r="AF75" s="424"/>
      <c r="AG75" s="424"/>
      <c r="AH75" s="424"/>
      <c r="AI75" s="424"/>
      <c r="AJ75" s="424"/>
      <c r="AK75" s="424"/>
      <c r="AL75" s="424"/>
      <c r="AM75" s="424"/>
      <c r="AN75" s="424"/>
      <c r="AO75" s="424"/>
      <c r="AP75" s="424"/>
      <c r="AQ75" s="424"/>
      <c r="AR75" s="424"/>
      <c r="AS75" s="424"/>
      <c r="AT75" s="424"/>
      <c r="AU75" s="424"/>
      <c r="AV75" s="424"/>
      <c r="AW75" s="424"/>
      <c r="AX75" s="424"/>
      <c r="AY75" s="424"/>
      <c r="AZ75" s="424"/>
      <c r="BA75" s="424"/>
      <c r="BB75" s="424"/>
      <c r="BC75" s="424"/>
      <c r="BD75" s="424"/>
      <c r="BE75" s="424"/>
      <c r="BF75" s="424"/>
      <c r="BG75" s="424"/>
      <c r="BH75" s="424"/>
      <c r="BI75" s="424"/>
      <c r="BJ75" s="424"/>
      <c r="BK75" s="424"/>
      <c r="BL75" s="424"/>
      <c r="BM75" s="424"/>
      <c r="BN75" s="424"/>
      <c r="BO75" s="424"/>
      <c r="BP75" s="424"/>
      <c r="BQ75" s="424"/>
      <c r="BR75" s="424"/>
      <c r="BS75" s="424"/>
      <c r="BT75" s="424"/>
      <c r="BU75" s="424"/>
      <c r="BV75" s="424"/>
      <c r="BW75" s="424"/>
      <c r="BX75" s="424"/>
      <c r="BY75" s="424"/>
      <c r="BZ75" s="424"/>
      <c r="CA75" s="424"/>
      <c r="CB75" s="424"/>
      <c r="CC75" s="424"/>
      <c r="CD75" s="424"/>
      <c r="CE75" s="424"/>
      <c r="CF75" s="424"/>
      <c r="CG75" s="424"/>
      <c r="CH75" s="424"/>
      <c r="CI75" s="424"/>
      <c r="CJ75" s="424"/>
      <c r="CK75" s="424"/>
      <c r="CL75" s="424"/>
      <c r="CM75" s="424"/>
      <c r="CN75" s="424"/>
      <c r="CO75" s="424"/>
      <c r="CP75" s="424"/>
      <c r="CQ75" s="424"/>
      <c r="CR75" s="424"/>
      <c r="CS75" s="424"/>
      <c r="CT75" s="424"/>
      <c r="CU75" s="424"/>
      <c r="CV75" s="424"/>
      <c r="CW75" s="424"/>
      <c r="CX75" s="424"/>
      <c r="CY75" s="424"/>
      <c r="CZ75" s="424"/>
      <c r="DA75" s="424"/>
      <c r="DB75" s="424"/>
      <c r="DC75" s="424"/>
      <c r="DD75" s="424"/>
      <c r="DE75" s="424"/>
      <c r="DF75" s="424"/>
      <c r="DG75" s="424"/>
      <c r="DH75" s="424"/>
      <c r="DI75" s="424"/>
      <c r="DJ75" s="424"/>
      <c r="DK75" s="424"/>
      <c r="DL75" s="424"/>
      <c r="DM75" s="424"/>
      <c r="DN75" s="424"/>
      <c r="DO75" s="424"/>
      <c r="DP75" s="424"/>
      <c r="DQ75" s="424"/>
      <c r="DR75" s="424"/>
      <c r="DS75" s="424"/>
      <c r="DT75" s="424"/>
      <c r="DU75" s="424"/>
      <c r="DV75" s="424"/>
      <c r="DW75" s="424"/>
      <c r="DX75" s="424"/>
      <c r="DY75" s="424"/>
      <c r="DZ75" s="424"/>
      <c r="EA75" s="424"/>
      <c r="EB75" s="424"/>
      <c r="EC75" s="424"/>
      <c r="ED75" s="424"/>
      <c r="EE75" s="424"/>
      <c r="EF75" s="424"/>
      <c r="EG75" s="424"/>
      <c r="EH75" s="424"/>
      <c r="EI75" s="424"/>
      <c r="EJ75" s="424"/>
      <c r="EK75" s="424"/>
      <c r="EL75" s="424"/>
      <c r="EM75" s="424"/>
      <c r="EN75" s="424"/>
      <c r="EO75" s="424"/>
    </row>
    <row r="76" spans="1:145" s="423" customFormat="1">
      <c r="A76" s="446" t="s">
        <v>215</v>
      </c>
      <c r="B76" s="442" t="s">
        <v>1110</v>
      </c>
      <c r="C76" s="427">
        <v>1</v>
      </c>
      <c r="D76" s="428">
        <v>5000</v>
      </c>
      <c r="E76" s="429">
        <v>0</v>
      </c>
      <c r="F76" s="428">
        <f t="shared" si="9"/>
        <v>5000</v>
      </c>
      <c r="G76" s="429">
        <f t="shared" si="2"/>
        <v>0</v>
      </c>
      <c r="H76" s="430">
        <f t="shared" si="10"/>
        <v>5000</v>
      </c>
    </row>
    <row r="77" spans="1:145" s="423" customFormat="1">
      <c r="A77" s="446" t="s">
        <v>215</v>
      </c>
      <c r="B77" s="442" t="s">
        <v>1111</v>
      </c>
      <c r="C77" s="427">
        <v>1</v>
      </c>
      <c r="D77" s="428">
        <v>9500</v>
      </c>
      <c r="E77" s="429">
        <v>0</v>
      </c>
      <c r="F77" s="428">
        <f t="shared" si="9"/>
        <v>9500</v>
      </c>
      <c r="G77" s="429">
        <f t="shared" si="2"/>
        <v>0</v>
      </c>
      <c r="H77" s="430">
        <f t="shared" si="10"/>
        <v>9500</v>
      </c>
    </row>
    <row r="78" spans="1:145">
      <c r="A78" s="446" t="s">
        <v>215</v>
      </c>
      <c r="B78" s="442" t="s">
        <v>1112</v>
      </c>
      <c r="C78" s="427">
        <v>1</v>
      </c>
      <c r="D78" s="428">
        <v>1000</v>
      </c>
      <c r="E78" s="429">
        <v>0</v>
      </c>
      <c r="F78" s="428">
        <f t="shared" si="9"/>
        <v>1000</v>
      </c>
      <c r="G78" s="429">
        <f t="shared" si="2"/>
        <v>0</v>
      </c>
      <c r="H78" s="430">
        <f t="shared" si="10"/>
        <v>1000</v>
      </c>
      <c r="I78" s="424"/>
      <c r="J78" s="424"/>
      <c r="K78" s="424"/>
      <c r="L78" s="424"/>
      <c r="M78" s="424"/>
      <c r="N78" s="424"/>
      <c r="O78" s="424"/>
      <c r="P78" s="424"/>
      <c r="Q78" s="424"/>
      <c r="R78" s="424"/>
      <c r="S78" s="424"/>
      <c r="T78" s="424"/>
      <c r="U78" s="424"/>
      <c r="V78" s="424"/>
      <c r="W78" s="424"/>
      <c r="X78" s="424"/>
      <c r="Y78" s="424"/>
      <c r="Z78" s="424"/>
      <c r="AA78" s="424"/>
      <c r="AB78" s="424"/>
      <c r="AC78" s="424"/>
      <c r="AD78" s="424"/>
      <c r="AE78" s="424"/>
      <c r="AF78" s="424"/>
      <c r="AG78" s="424"/>
      <c r="AH78" s="424"/>
      <c r="AI78" s="424"/>
      <c r="AJ78" s="424"/>
      <c r="AK78" s="424"/>
      <c r="AL78" s="424"/>
      <c r="AM78" s="424"/>
      <c r="AN78" s="424"/>
      <c r="AO78" s="424"/>
      <c r="AP78" s="424"/>
      <c r="AQ78" s="424"/>
      <c r="AR78" s="424"/>
      <c r="AS78" s="424"/>
      <c r="AT78" s="424"/>
      <c r="AU78" s="424"/>
      <c r="AV78" s="424"/>
      <c r="AW78" s="424"/>
      <c r="AX78" s="424"/>
      <c r="AY78" s="424"/>
      <c r="AZ78" s="424"/>
      <c r="BA78" s="424"/>
      <c r="BB78" s="424"/>
      <c r="BC78" s="424"/>
      <c r="BD78" s="424"/>
      <c r="BE78" s="424"/>
      <c r="BF78" s="424"/>
      <c r="BG78" s="424"/>
      <c r="BH78" s="424"/>
      <c r="BI78" s="424"/>
      <c r="BJ78" s="424"/>
      <c r="BK78" s="424"/>
      <c r="BL78" s="424"/>
      <c r="BM78" s="424"/>
      <c r="BN78" s="424"/>
      <c r="BO78" s="424"/>
      <c r="BP78" s="424"/>
      <c r="BQ78" s="424"/>
      <c r="BR78" s="424"/>
      <c r="BS78" s="424"/>
      <c r="BT78" s="424"/>
      <c r="BU78" s="424"/>
      <c r="BV78" s="424"/>
      <c r="BW78" s="424"/>
      <c r="BX78" s="424"/>
      <c r="BY78" s="424"/>
      <c r="BZ78" s="424"/>
      <c r="CA78" s="424"/>
      <c r="CB78" s="424"/>
      <c r="CC78" s="424"/>
      <c r="CD78" s="424"/>
      <c r="CE78" s="424"/>
      <c r="CF78" s="424"/>
      <c r="CG78" s="424"/>
      <c r="CH78" s="424"/>
      <c r="CI78" s="424"/>
      <c r="CJ78" s="424"/>
      <c r="CK78" s="424"/>
      <c r="CL78" s="424"/>
      <c r="CM78" s="424"/>
      <c r="CN78" s="424"/>
      <c r="CO78" s="424"/>
      <c r="CP78" s="424"/>
      <c r="CQ78" s="424"/>
      <c r="CR78" s="424"/>
      <c r="CS78" s="424"/>
      <c r="CT78" s="424"/>
      <c r="CU78" s="424"/>
      <c r="CV78" s="424"/>
      <c r="CW78" s="424"/>
      <c r="CX78" s="424"/>
      <c r="CY78" s="424"/>
      <c r="CZ78" s="424"/>
      <c r="DA78" s="424"/>
      <c r="DB78" s="424"/>
      <c r="DC78" s="424"/>
      <c r="DD78" s="424"/>
      <c r="DE78" s="424"/>
      <c r="DF78" s="424"/>
      <c r="DG78" s="424"/>
      <c r="DH78" s="424"/>
      <c r="DI78" s="424"/>
      <c r="DJ78" s="424"/>
      <c r="DK78" s="424"/>
      <c r="DL78" s="424"/>
      <c r="DM78" s="424"/>
      <c r="DN78" s="424"/>
      <c r="DO78" s="424"/>
      <c r="DP78" s="424"/>
      <c r="DQ78" s="424"/>
      <c r="DR78" s="424"/>
      <c r="DS78" s="424"/>
      <c r="DT78" s="424"/>
      <c r="DU78" s="424"/>
      <c r="DV78" s="424"/>
      <c r="DW78" s="424"/>
      <c r="DX78" s="424"/>
      <c r="DY78" s="424"/>
      <c r="DZ78" s="424"/>
      <c r="EA78" s="424"/>
      <c r="EB78" s="424"/>
      <c r="EC78" s="424"/>
      <c r="ED78" s="424"/>
      <c r="EE78" s="424"/>
      <c r="EF78" s="424"/>
      <c r="EG78" s="424"/>
      <c r="EH78" s="424"/>
      <c r="EI78" s="424"/>
      <c r="EJ78" s="424"/>
      <c r="EK78" s="424"/>
      <c r="EL78" s="424"/>
      <c r="EM78" s="424"/>
      <c r="EN78" s="424"/>
      <c r="EO78" s="424"/>
    </row>
    <row r="79" spans="1:145" s="423" customFormat="1">
      <c r="A79" s="446" t="s">
        <v>215</v>
      </c>
      <c r="B79" s="442" t="s">
        <v>1113</v>
      </c>
      <c r="C79" s="427">
        <v>1</v>
      </c>
      <c r="D79" s="428">
        <v>90</v>
      </c>
      <c r="E79" s="429">
        <v>0</v>
      </c>
      <c r="F79" s="428">
        <f t="shared" si="9"/>
        <v>90</v>
      </c>
      <c r="G79" s="429">
        <f t="shared" si="2"/>
        <v>0</v>
      </c>
      <c r="H79" s="430">
        <f t="shared" si="10"/>
        <v>90</v>
      </c>
    </row>
    <row r="80" spans="1:145" s="423" customFormat="1">
      <c r="A80" s="446" t="s">
        <v>215</v>
      </c>
      <c r="B80" s="442" t="s">
        <v>1114</v>
      </c>
      <c r="C80" s="427">
        <v>1</v>
      </c>
      <c r="D80" s="428">
        <v>18000</v>
      </c>
      <c r="E80" s="429">
        <v>0</v>
      </c>
      <c r="F80" s="428">
        <f t="shared" si="9"/>
        <v>18000</v>
      </c>
      <c r="G80" s="429">
        <f t="shared" si="2"/>
        <v>0</v>
      </c>
      <c r="H80" s="430">
        <f t="shared" si="10"/>
        <v>18000</v>
      </c>
    </row>
    <row r="81" spans="1:145" s="423" customFormat="1">
      <c r="A81" s="446" t="s">
        <v>215</v>
      </c>
      <c r="B81" s="442" t="s">
        <v>1115</v>
      </c>
      <c r="C81" s="427">
        <v>1</v>
      </c>
      <c r="D81" s="428">
        <v>18000</v>
      </c>
      <c r="E81" s="429">
        <v>0</v>
      </c>
      <c r="F81" s="428">
        <f t="shared" si="9"/>
        <v>18000</v>
      </c>
      <c r="G81" s="429">
        <f t="shared" si="2"/>
        <v>0</v>
      </c>
      <c r="H81" s="430">
        <f t="shared" si="10"/>
        <v>18000</v>
      </c>
    </row>
    <row r="82" spans="1:145" s="423" customFormat="1">
      <c r="A82" s="447" t="s">
        <v>215</v>
      </c>
      <c r="B82" s="444" t="s">
        <v>1116</v>
      </c>
      <c r="C82" s="427">
        <v>1</v>
      </c>
      <c r="D82" s="428">
        <v>100</v>
      </c>
      <c r="E82" s="429">
        <v>0</v>
      </c>
      <c r="F82" s="428">
        <f t="shared" si="9"/>
        <v>100</v>
      </c>
      <c r="G82" s="429">
        <f t="shared" ref="G82:G84" si="11">(F82*$G$2)</f>
        <v>0</v>
      </c>
      <c r="H82" s="430">
        <f t="shared" si="10"/>
        <v>100</v>
      </c>
    </row>
    <row r="83" spans="1:145">
      <c r="A83" s="446" t="s">
        <v>215</v>
      </c>
      <c r="B83" s="442" t="s">
        <v>1117</v>
      </c>
      <c r="C83" s="427">
        <v>1</v>
      </c>
      <c r="D83" s="428">
        <v>750</v>
      </c>
      <c r="E83" s="429">
        <v>0</v>
      </c>
      <c r="F83" s="428">
        <f t="shared" si="9"/>
        <v>750</v>
      </c>
      <c r="G83" s="429">
        <f t="shared" si="11"/>
        <v>0</v>
      </c>
      <c r="H83" s="430">
        <f t="shared" si="10"/>
        <v>750</v>
      </c>
      <c r="Q83" s="424"/>
      <c r="R83" s="424"/>
      <c r="S83" s="424"/>
      <c r="T83" s="424"/>
      <c r="U83" s="424"/>
      <c r="V83" s="424"/>
      <c r="W83" s="424"/>
      <c r="X83" s="424"/>
      <c r="Y83" s="424"/>
      <c r="Z83" s="424"/>
      <c r="AA83" s="424"/>
      <c r="AB83" s="424"/>
      <c r="AC83" s="424"/>
      <c r="AD83" s="424"/>
      <c r="AE83" s="424"/>
      <c r="AF83" s="424"/>
      <c r="AG83" s="424"/>
      <c r="AH83" s="424"/>
      <c r="AI83" s="424"/>
      <c r="AJ83" s="424"/>
      <c r="AK83" s="424"/>
      <c r="AL83" s="424"/>
      <c r="AM83" s="424"/>
      <c r="AN83" s="424"/>
      <c r="AO83" s="424"/>
      <c r="AP83" s="424"/>
      <c r="AQ83" s="424"/>
      <c r="AR83" s="424"/>
      <c r="AS83" s="424"/>
      <c r="AT83" s="424"/>
      <c r="AU83" s="424"/>
      <c r="AV83" s="424"/>
      <c r="AW83" s="424"/>
      <c r="AX83" s="424"/>
      <c r="AY83" s="424"/>
      <c r="AZ83" s="424"/>
      <c r="BA83" s="424"/>
      <c r="BB83" s="424"/>
      <c r="BC83" s="424"/>
      <c r="BD83" s="424"/>
      <c r="BE83" s="424"/>
      <c r="BF83" s="424"/>
      <c r="BG83" s="424"/>
      <c r="BH83" s="424"/>
      <c r="BI83" s="424"/>
      <c r="BJ83" s="424"/>
      <c r="BK83" s="424"/>
      <c r="BL83" s="424"/>
      <c r="BM83" s="424"/>
      <c r="BN83" s="424"/>
      <c r="BO83" s="424"/>
      <c r="BP83" s="424"/>
      <c r="BQ83" s="424"/>
      <c r="BR83" s="424"/>
      <c r="BS83" s="424"/>
      <c r="BT83" s="424"/>
      <c r="BU83" s="424"/>
      <c r="BV83" s="424"/>
      <c r="BW83" s="424"/>
      <c r="BX83" s="424"/>
      <c r="BY83" s="424"/>
      <c r="BZ83" s="424"/>
      <c r="CA83" s="424"/>
      <c r="CB83" s="424"/>
      <c r="CC83" s="424"/>
      <c r="CD83" s="424"/>
      <c r="CE83" s="424"/>
      <c r="CF83" s="424"/>
      <c r="CG83" s="424"/>
      <c r="CH83" s="424"/>
      <c r="CI83" s="424"/>
      <c r="CJ83" s="424"/>
      <c r="CK83" s="424"/>
      <c r="CL83" s="424"/>
      <c r="CM83" s="424"/>
      <c r="CN83" s="424"/>
      <c r="CO83" s="424"/>
      <c r="CP83" s="424"/>
      <c r="CQ83" s="424"/>
      <c r="CR83" s="424"/>
      <c r="CS83" s="424"/>
      <c r="CT83" s="424"/>
      <c r="CU83" s="424"/>
      <c r="CV83" s="424"/>
      <c r="CW83" s="424"/>
      <c r="CX83" s="424"/>
      <c r="CY83" s="424"/>
      <c r="CZ83" s="424"/>
      <c r="DA83" s="424"/>
      <c r="DB83" s="424"/>
      <c r="DC83" s="424"/>
      <c r="DD83" s="424"/>
      <c r="DE83" s="424"/>
      <c r="DF83" s="424"/>
      <c r="DG83" s="424"/>
      <c r="DH83" s="424"/>
      <c r="DI83" s="424"/>
      <c r="DJ83" s="424"/>
      <c r="DK83" s="424"/>
      <c r="DL83" s="424"/>
      <c r="DM83" s="424"/>
      <c r="DN83" s="424"/>
      <c r="DO83" s="424"/>
      <c r="DP83" s="424"/>
      <c r="DQ83" s="424"/>
      <c r="DR83" s="424"/>
      <c r="DS83" s="424"/>
      <c r="DT83" s="424"/>
      <c r="DU83" s="424"/>
      <c r="DV83" s="424"/>
      <c r="DW83" s="424"/>
      <c r="DX83" s="424"/>
      <c r="DY83" s="424"/>
      <c r="DZ83" s="424"/>
      <c r="EA83" s="424"/>
      <c r="EB83" s="424"/>
      <c r="EC83" s="424"/>
      <c r="ED83" s="424"/>
      <c r="EE83" s="424"/>
      <c r="EF83" s="424"/>
      <c r="EG83" s="424"/>
      <c r="EH83" s="424"/>
      <c r="EI83" s="424"/>
      <c r="EJ83" s="424"/>
      <c r="EK83" s="424"/>
      <c r="EL83" s="424"/>
      <c r="EM83" s="424"/>
      <c r="EN83" s="424"/>
      <c r="EO83" s="424"/>
    </row>
    <row r="84" spans="1:145">
      <c r="A84" s="446" t="s">
        <v>215</v>
      </c>
      <c r="B84" s="442" t="s">
        <v>1118</v>
      </c>
      <c r="C84" s="427">
        <v>1</v>
      </c>
      <c r="D84" s="428">
        <v>750</v>
      </c>
      <c r="E84" s="429">
        <v>0</v>
      </c>
      <c r="F84" s="428">
        <f t="shared" si="9"/>
        <v>750</v>
      </c>
      <c r="G84" s="429">
        <f t="shared" si="11"/>
        <v>0</v>
      </c>
      <c r="H84" s="430">
        <f t="shared" si="10"/>
        <v>750</v>
      </c>
      <c r="Q84" s="424"/>
      <c r="R84" s="424"/>
      <c r="S84" s="424"/>
      <c r="T84" s="424"/>
      <c r="U84" s="424"/>
      <c r="V84" s="424"/>
      <c r="W84" s="424"/>
      <c r="X84" s="424"/>
      <c r="Y84" s="424"/>
      <c r="Z84" s="424"/>
      <c r="AA84" s="424"/>
      <c r="AB84" s="424"/>
      <c r="AC84" s="424"/>
      <c r="AD84" s="424"/>
      <c r="AE84" s="424"/>
      <c r="AF84" s="424"/>
      <c r="AG84" s="424"/>
      <c r="AH84" s="424"/>
      <c r="AI84" s="424"/>
      <c r="AJ84" s="424"/>
      <c r="AK84" s="424"/>
      <c r="AL84" s="424"/>
      <c r="AM84" s="424"/>
      <c r="AN84" s="424"/>
      <c r="AO84" s="424"/>
      <c r="AP84" s="424"/>
      <c r="AQ84" s="424"/>
      <c r="AR84" s="424"/>
      <c r="AS84" s="424"/>
      <c r="AT84" s="424"/>
      <c r="AU84" s="424"/>
      <c r="AV84" s="424"/>
      <c r="AW84" s="424"/>
      <c r="AX84" s="424"/>
      <c r="AY84" s="424"/>
      <c r="AZ84" s="424"/>
      <c r="BA84" s="424"/>
      <c r="BB84" s="424"/>
      <c r="BC84" s="424"/>
      <c r="BD84" s="424"/>
      <c r="BE84" s="424"/>
      <c r="BF84" s="424"/>
      <c r="BG84" s="424"/>
      <c r="BH84" s="424"/>
      <c r="BI84" s="424"/>
      <c r="BJ84" s="424"/>
      <c r="BK84" s="424"/>
      <c r="BL84" s="424"/>
      <c r="BM84" s="424"/>
      <c r="BN84" s="424"/>
      <c r="BO84" s="424"/>
      <c r="BP84" s="424"/>
      <c r="BQ84" s="424"/>
      <c r="BR84" s="424"/>
      <c r="BS84" s="424"/>
      <c r="BT84" s="424"/>
      <c r="BU84" s="424"/>
      <c r="BV84" s="424"/>
      <c r="BW84" s="424"/>
      <c r="BX84" s="424"/>
      <c r="BY84" s="424"/>
      <c r="BZ84" s="424"/>
      <c r="CA84" s="424"/>
      <c r="CB84" s="424"/>
      <c r="CC84" s="424"/>
      <c r="CD84" s="424"/>
      <c r="CE84" s="424"/>
      <c r="CF84" s="424"/>
      <c r="CG84" s="424"/>
      <c r="CH84" s="424"/>
      <c r="CI84" s="424"/>
      <c r="CJ84" s="424"/>
      <c r="CK84" s="424"/>
      <c r="CL84" s="424"/>
      <c r="CM84" s="424"/>
      <c r="CN84" s="424"/>
      <c r="CO84" s="424"/>
      <c r="CP84" s="424"/>
      <c r="CQ84" s="424"/>
      <c r="CR84" s="424"/>
      <c r="CS84" s="424"/>
      <c r="CT84" s="424"/>
      <c r="CU84" s="424"/>
      <c r="CV84" s="424"/>
      <c r="CW84" s="424"/>
      <c r="CX84" s="424"/>
      <c r="CY84" s="424"/>
      <c r="CZ84" s="424"/>
      <c r="DA84" s="424"/>
      <c r="DB84" s="424"/>
      <c r="DC84" s="424"/>
      <c r="DD84" s="424"/>
      <c r="DE84" s="424"/>
      <c r="DF84" s="424"/>
      <c r="DG84" s="424"/>
      <c r="DH84" s="424"/>
      <c r="DI84" s="424"/>
      <c r="DJ84" s="424"/>
      <c r="DK84" s="424"/>
      <c r="DL84" s="424"/>
      <c r="DM84" s="424"/>
      <c r="DN84" s="424"/>
      <c r="DO84" s="424"/>
      <c r="DP84" s="424"/>
      <c r="DQ84" s="424"/>
      <c r="DR84" s="424"/>
      <c r="DS84" s="424"/>
      <c r="DT84" s="424"/>
      <c r="DU84" s="424"/>
      <c r="DV84" s="424"/>
      <c r="DW84" s="424"/>
      <c r="DX84" s="424"/>
      <c r="DY84" s="424"/>
      <c r="DZ84" s="424"/>
      <c r="EA84" s="424"/>
      <c r="EB84" s="424"/>
      <c r="EC84" s="424"/>
      <c r="ED84" s="424"/>
      <c r="EE84" s="424"/>
      <c r="EF84" s="424"/>
      <c r="EG84" s="424"/>
      <c r="EH84" s="424"/>
      <c r="EI84" s="424"/>
      <c r="EJ84" s="424"/>
      <c r="EK84" s="424"/>
      <c r="EL84" s="424"/>
      <c r="EM84" s="424"/>
      <c r="EN84" s="424"/>
      <c r="EO84" s="424"/>
    </row>
    <row r="85" spans="1:145" s="423" customFormat="1">
      <c r="A85" s="448"/>
      <c r="B85" s="449"/>
      <c r="D85" s="423">
        <f>3000/50</f>
        <v>60</v>
      </c>
      <c r="E85" s="450"/>
      <c r="F85" s="423">
        <f>3000/50</f>
        <v>60</v>
      </c>
      <c r="G85" s="450"/>
      <c r="H85" s="450"/>
    </row>
    <row r="86" spans="1:145" s="423" customFormat="1">
      <c r="A86" s="448"/>
      <c r="B86" s="451"/>
      <c r="E86" s="450"/>
      <c r="G86" s="450"/>
      <c r="H86" s="450"/>
    </row>
    <row r="87" spans="1:145" s="423" customFormat="1">
      <c r="A87" s="448"/>
      <c r="B87" s="451"/>
      <c r="E87" s="450"/>
      <c r="G87" s="450"/>
      <c r="H87" s="450"/>
    </row>
    <row r="88" spans="1:145" s="423" customFormat="1">
      <c r="A88" s="448"/>
      <c r="B88" s="451"/>
      <c r="E88" s="450"/>
      <c r="G88" s="450"/>
      <c r="H88" s="450"/>
    </row>
    <row r="89" spans="1:145" s="423" customFormat="1">
      <c r="A89" s="448"/>
      <c r="B89" s="451"/>
      <c r="E89" s="450"/>
      <c r="G89" s="450"/>
      <c r="H89" s="450"/>
    </row>
    <row r="90" spans="1:145" s="423" customFormat="1">
      <c r="A90" s="448"/>
      <c r="B90" s="451"/>
      <c r="E90" s="450"/>
      <c r="G90" s="450"/>
      <c r="H90" s="450"/>
    </row>
    <row r="91" spans="1:145" s="423" customFormat="1">
      <c r="A91" s="448"/>
      <c r="B91" s="451"/>
      <c r="E91" s="450"/>
      <c r="G91" s="450"/>
      <c r="H91" s="450"/>
    </row>
    <row r="92" spans="1:145" s="423" customFormat="1">
      <c r="A92" s="448"/>
      <c r="B92" s="451"/>
      <c r="E92" s="450"/>
      <c r="G92" s="450"/>
      <c r="H92" s="450"/>
    </row>
    <row r="93" spans="1:145" s="423" customFormat="1">
      <c r="A93" s="448"/>
      <c r="B93" s="451"/>
      <c r="E93" s="450"/>
      <c r="G93" s="450"/>
      <c r="H93" s="450"/>
    </row>
    <row r="94" spans="1:145" s="423" customFormat="1">
      <c r="A94" s="448"/>
      <c r="B94" s="451"/>
      <c r="E94" s="450"/>
      <c r="G94" s="450"/>
      <c r="H94" s="450"/>
    </row>
    <row r="95" spans="1:145" s="423" customFormat="1">
      <c r="A95" s="448"/>
      <c r="B95" s="451"/>
      <c r="E95" s="450"/>
      <c r="G95" s="450"/>
      <c r="H95" s="450"/>
    </row>
    <row r="96" spans="1:145" s="423" customFormat="1">
      <c r="A96" s="448"/>
      <c r="B96" s="451"/>
      <c r="E96" s="450"/>
      <c r="G96" s="450"/>
      <c r="H96" s="450"/>
    </row>
    <row r="97" spans="1:8" s="423" customFormat="1">
      <c r="A97" s="448"/>
      <c r="B97" s="451"/>
      <c r="E97" s="450"/>
      <c r="G97" s="450"/>
      <c r="H97" s="450"/>
    </row>
    <row r="98" spans="1:8" s="423" customFormat="1">
      <c r="A98" s="448"/>
      <c r="B98" s="451"/>
      <c r="E98" s="450"/>
      <c r="G98" s="450"/>
      <c r="H98" s="450"/>
    </row>
    <row r="99" spans="1:8" s="423" customFormat="1">
      <c r="A99" s="448"/>
      <c r="B99" s="451"/>
      <c r="E99" s="450"/>
      <c r="G99" s="450"/>
      <c r="H99" s="450"/>
    </row>
    <row r="100" spans="1:8" s="423" customFormat="1">
      <c r="A100" s="448"/>
      <c r="B100" s="451"/>
      <c r="E100" s="450"/>
      <c r="G100" s="450"/>
      <c r="H100" s="450"/>
    </row>
    <row r="101" spans="1:8" s="423" customFormat="1">
      <c r="A101" s="448"/>
      <c r="B101" s="451"/>
      <c r="E101" s="450"/>
      <c r="G101" s="450"/>
      <c r="H101" s="450"/>
    </row>
    <row r="102" spans="1:8" s="423" customFormat="1">
      <c r="A102" s="448"/>
      <c r="B102" s="451"/>
      <c r="E102" s="450"/>
      <c r="G102" s="450"/>
      <c r="H102" s="450"/>
    </row>
    <row r="103" spans="1:8" s="423" customFormat="1">
      <c r="A103" s="448"/>
      <c r="B103" s="451"/>
      <c r="E103" s="450"/>
      <c r="G103" s="450"/>
      <c r="H103" s="450"/>
    </row>
    <row r="104" spans="1:8" s="423" customFormat="1">
      <c r="A104" s="448"/>
      <c r="B104" s="451"/>
      <c r="E104" s="450"/>
      <c r="G104" s="450"/>
      <c r="H104" s="450"/>
    </row>
    <row r="105" spans="1:8" s="423" customFormat="1">
      <c r="A105" s="448"/>
      <c r="B105" s="451"/>
      <c r="E105" s="450"/>
      <c r="G105" s="450"/>
      <c r="H105" s="450"/>
    </row>
    <row r="106" spans="1:8" s="423" customFormat="1">
      <c r="A106" s="448"/>
      <c r="B106" s="451"/>
      <c r="E106" s="450"/>
      <c r="G106" s="450"/>
      <c r="H106" s="450"/>
    </row>
    <row r="107" spans="1:8" s="423" customFormat="1">
      <c r="A107" s="448"/>
      <c r="B107" s="451"/>
      <c r="E107" s="450"/>
      <c r="G107" s="450"/>
      <c r="H107" s="450"/>
    </row>
    <row r="108" spans="1:8" s="423" customFormat="1">
      <c r="A108" s="448"/>
      <c r="B108" s="451"/>
      <c r="E108" s="450"/>
      <c r="G108" s="450"/>
      <c r="H108" s="450"/>
    </row>
    <row r="109" spans="1:8" s="423" customFormat="1">
      <c r="A109" s="448"/>
      <c r="B109" s="451"/>
      <c r="E109" s="450"/>
      <c r="G109" s="450"/>
      <c r="H109" s="450"/>
    </row>
    <row r="110" spans="1:8" s="423" customFormat="1">
      <c r="A110" s="448"/>
      <c r="B110" s="451"/>
      <c r="E110" s="450"/>
      <c r="G110" s="450"/>
      <c r="H110" s="450"/>
    </row>
    <row r="111" spans="1:8" s="423" customFormat="1">
      <c r="A111" s="448"/>
      <c r="B111" s="451"/>
      <c r="E111" s="450"/>
      <c r="G111" s="450"/>
      <c r="H111" s="450"/>
    </row>
    <row r="112" spans="1:8" s="423" customFormat="1">
      <c r="A112" s="448"/>
      <c r="B112" s="451"/>
      <c r="E112" s="450"/>
      <c r="G112" s="450"/>
      <c r="H112" s="450"/>
    </row>
    <row r="113" spans="1:8" s="423" customFormat="1">
      <c r="A113" s="448"/>
      <c r="B113" s="451"/>
      <c r="E113" s="450"/>
      <c r="G113" s="450"/>
      <c r="H113" s="450"/>
    </row>
    <row r="114" spans="1:8" s="423" customFormat="1">
      <c r="A114" s="448"/>
      <c r="B114" s="451"/>
      <c r="E114" s="450"/>
      <c r="G114" s="450"/>
      <c r="H114" s="450"/>
    </row>
    <row r="115" spans="1:8" s="423" customFormat="1">
      <c r="A115" s="448"/>
      <c r="B115" s="451"/>
      <c r="E115" s="450"/>
      <c r="G115" s="450"/>
      <c r="H115" s="450"/>
    </row>
    <row r="116" spans="1:8" s="423" customFormat="1">
      <c r="A116" s="448"/>
      <c r="B116" s="451"/>
      <c r="E116" s="450"/>
      <c r="G116" s="450"/>
      <c r="H116" s="450"/>
    </row>
    <row r="117" spans="1:8" s="423" customFormat="1">
      <c r="A117" s="448"/>
      <c r="B117" s="451"/>
      <c r="E117" s="450"/>
      <c r="G117" s="450"/>
      <c r="H117" s="450"/>
    </row>
    <row r="118" spans="1:8" s="423" customFormat="1">
      <c r="A118" s="448"/>
      <c r="B118" s="451"/>
      <c r="E118" s="450"/>
      <c r="G118" s="450"/>
      <c r="H118" s="450"/>
    </row>
    <row r="119" spans="1:8" s="423" customFormat="1">
      <c r="A119" s="448"/>
      <c r="B119" s="451"/>
      <c r="E119" s="450"/>
      <c r="G119" s="450"/>
      <c r="H119" s="450"/>
    </row>
    <row r="120" spans="1:8" s="423" customFormat="1">
      <c r="A120" s="448"/>
      <c r="B120" s="451"/>
      <c r="E120" s="450"/>
      <c r="G120" s="450"/>
      <c r="H120" s="450"/>
    </row>
    <row r="121" spans="1:8" s="423" customFormat="1">
      <c r="A121" s="448"/>
      <c r="B121" s="451"/>
      <c r="E121" s="450"/>
      <c r="G121" s="450"/>
      <c r="H121" s="450"/>
    </row>
    <row r="122" spans="1:8" s="423" customFormat="1">
      <c r="A122" s="448"/>
      <c r="B122" s="451"/>
      <c r="E122" s="450"/>
      <c r="G122" s="450"/>
      <c r="H122" s="450"/>
    </row>
    <row r="123" spans="1:8" s="423" customFormat="1">
      <c r="A123" s="448"/>
      <c r="B123" s="451"/>
      <c r="E123" s="450"/>
      <c r="G123" s="450"/>
      <c r="H123" s="450"/>
    </row>
    <row r="124" spans="1:8" s="423" customFormat="1">
      <c r="A124" s="448"/>
      <c r="B124" s="451"/>
      <c r="E124" s="450"/>
      <c r="G124" s="450"/>
      <c r="H124" s="450"/>
    </row>
    <row r="125" spans="1:8" s="423" customFormat="1">
      <c r="A125" s="448"/>
      <c r="B125" s="451"/>
      <c r="E125" s="450"/>
      <c r="G125" s="450"/>
      <c r="H125" s="450"/>
    </row>
    <row r="126" spans="1:8" s="423" customFormat="1">
      <c r="A126" s="448"/>
      <c r="B126" s="451"/>
      <c r="E126" s="450"/>
      <c r="G126" s="450"/>
      <c r="H126" s="450"/>
    </row>
    <row r="127" spans="1:8" s="423" customFormat="1">
      <c r="A127" s="448"/>
      <c r="B127" s="451"/>
      <c r="E127" s="450"/>
      <c r="G127" s="450"/>
      <c r="H127" s="450"/>
    </row>
    <row r="128" spans="1:8" s="423" customFormat="1">
      <c r="A128" s="448"/>
      <c r="B128" s="451"/>
      <c r="E128" s="450"/>
      <c r="G128" s="450"/>
      <c r="H128" s="450"/>
    </row>
    <row r="129" spans="1:8" s="423" customFormat="1">
      <c r="A129" s="448"/>
      <c r="B129" s="451"/>
      <c r="E129" s="450"/>
      <c r="G129" s="450"/>
      <c r="H129" s="450"/>
    </row>
    <row r="130" spans="1:8" s="423" customFormat="1">
      <c r="A130" s="448"/>
      <c r="B130" s="451"/>
      <c r="E130" s="450"/>
      <c r="G130" s="450"/>
      <c r="H130" s="450"/>
    </row>
    <row r="131" spans="1:8" s="423" customFormat="1">
      <c r="A131" s="448"/>
      <c r="B131" s="451"/>
      <c r="E131" s="450"/>
      <c r="G131" s="450"/>
      <c r="H131" s="450"/>
    </row>
    <row r="132" spans="1:8" s="423" customFormat="1">
      <c r="A132" s="448"/>
      <c r="B132" s="451"/>
      <c r="E132" s="450"/>
      <c r="G132" s="450"/>
      <c r="H132" s="450"/>
    </row>
    <row r="133" spans="1:8" s="423" customFormat="1">
      <c r="A133" s="448"/>
      <c r="B133" s="451"/>
      <c r="E133" s="450"/>
      <c r="G133" s="450"/>
      <c r="H133" s="450"/>
    </row>
    <row r="134" spans="1:8" s="423" customFormat="1">
      <c r="A134" s="448"/>
      <c r="B134" s="451"/>
      <c r="E134" s="450"/>
      <c r="G134" s="450"/>
      <c r="H134" s="450"/>
    </row>
    <row r="135" spans="1:8" s="423" customFormat="1">
      <c r="A135" s="448"/>
      <c r="B135" s="451"/>
      <c r="E135" s="450"/>
      <c r="G135" s="450"/>
      <c r="H135" s="450"/>
    </row>
    <row r="136" spans="1:8" s="423" customFormat="1">
      <c r="A136" s="448"/>
      <c r="B136" s="451"/>
      <c r="E136" s="450"/>
      <c r="G136" s="450"/>
      <c r="H136" s="450"/>
    </row>
    <row r="137" spans="1:8" s="423" customFormat="1">
      <c r="A137" s="448"/>
      <c r="B137" s="451"/>
      <c r="E137" s="450"/>
      <c r="G137" s="450"/>
      <c r="H137" s="450"/>
    </row>
    <row r="138" spans="1:8" s="423" customFormat="1">
      <c r="A138" s="448"/>
      <c r="B138" s="451"/>
      <c r="E138" s="450"/>
      <c r="G138" s="450"/>
      <c r="H138" s="450"/>
    </row>
    <row r="139" spans="1:8" s="423" customFormat="1">
      <c r="A139" s="448"/>
      <c r="B139" s="451"/>
      <c r="E139" s="450"/>
      <c r="G139" s="450"/>
      <c r="H139" s="450"/>
    </row>
    <row r="140" spans="1:8" s="423" customFormat="1">
      <c r="A140" s="448"/>
      <c r="B140" s="451"/>
      <c r="E140" s="450"/>
      <c r="G140" s="450"/>
      <c r="H140" s="450"/>
    </row>
    <row r="141" spans="1:8" s="423" customFormat="1">
      <c r="A141" s="448"/>
      <c r="B141" s="451"/>
      <c r="E141" s="450"/>
      <c r="G141" s="450"/>
      <c r="H141" s="450"/>
    </row>
    <row r="142" spans="1:8" s="423" customFormat="1">
      <c r="A142" s="448"/>
      <c r="B142" s="451"/>
      <c r="E142" s="450"/>
      <c r="G142" s="450"/>
      <c r="H142" s="450"/>
    </row>
    <row r="143" spans="1:8" s="423" customFormat="1">
      <c r="A143" s="448"/>
      <c r="B143" s="451"/>
      <c r="E143" s="450"/>
      <c r="G143" s="450"/>
      <c r="H143" s="450"/>
    </row>
    <row r="144" spans="1:8" s="423" customFormat="1">
      <c r="A144" s="448"/>
      <c r="B144" s="451"/>
      <c r="E144" s="450"/>
      <c r="G144" s="450"/>
      <c r="H144" s="450"/>
    </row>
    <row r="145" spans="1:8" s="423" customFormat="1">
      <c r="A145" s="448"/>
      <c r="B145" s="451"/>
      <c r="E145" s="450"/>
      <c r="G145" s="450"/>
      <c r="H145" s="450"/>
    </row>
    <row r="146" spans="1:8" s="423" customFormat="1">
      <c r="A146" s="448"/>
      <c r="B146" s="451"/>
      <c r="E146" s="450"/>
      <c r="G146" s="450"/>
      <c r="H146" s="450"/>
    </row>
    <row r="147" spans="1:8" s="423" customFormat="1">
      <c r="A147" s="448"/>
      <c r="B147" s="451"/>
      <c r="E147" s="450"/>
      <c r="G147" s="450"/>
      <c r="H147" s="450"/>
    </row>
    <row r="148" spans="1:8" s="423" customFormat="1">
      <c r="A148" s="448"/>
      <c r="B148" s="451"/>
      <c r="E148" s="450"/>
      <c r="G148" s="450"/>
      <c r="H148" s="450"/>
    </row>
    <row r="149" spans="1:8" s="423" customFormat="1">
      <c r="A149" s="448"/>
      <c r="B149" s="451"/>
      <c r="E149" s="450"/>
      <c r="G149" s="450"/>
      <c r="H149" s="450"/>
    </row>
    <row r="150" spans="1:8" s="423" customFormat="1">
      <c r="A150" s="448"/>
      <c r="B150" s="451"/>
      <c r="E150" s="450"/>
      <c r="G150" s="450"/>
      <c r="H150" s="450"/>
    </row>
    <row r="151" spans="1:8" s="423" customFormat="1">
      <c r="A151" s="448"/>
      <c r="B151" s="451"/>
      <c r="E151" s="450"/>
      <c r="G151" s="450"/>
      <c r="H151" s="450"/>
    </row>
    <row r="152" spans="1:8" s="423" customFormat="1">
      <c r="A152" s="448"/>
      <c r="B152" s="451"/>
      <c r="E152" s="450"/>
      <c r="G152" s="450"/>
      <c r="H152" s="450"/>
    </row>
    <row r="153" spans="1:8" s="423" customFormat="1">
      <c r="A153" s="448"/>
      <c r="B153" s="451"/>
      <c r="E153" s="450"/>
      <c r="G153" s="450"/>
      <c r="H153" s="450"/>
    </row>
    <row r="154" spans="1:8" s="423" customFormat="1">
      <c r="A154" s="448"/>
      <c r="B154" s="451"/>
      <c r="E154" s="450"/>
      <c r="G154" s="450"/>
      <c r="H154" s="450"/>
    </row>
    <row r="155" spans="1:8" s="423" customFormat="1">
      <c r="A155" s="448"/>
      <c r="B155" s="451"/>
      <c r="E155" s="450"/>
      <c r="G155" s="450"/>
      <c r="H155" s="450"/>
    </row>
    <row r="156" spans="1:8" s="423" customFormat="1">
      <c r="A156" s="448"/>
      <c r="B156" s="451"/>
      <c r="E156" s="450"/>
      <c r="G156" s="450"/>
      <c r="H156" s="450"/>
    </row>
    <row r="157" spans="1:8" s="423" customFormat="1">
      <c r="A157" s="448"/>
      <c r="B157" s="451"/>
      <c r="E157" s="450"/>
      <c r="G157" s="450"/>
      <c r="H157" s="450"/>
    </row>
    <row r="158" spans="1:8" s="423" customFormat="1">
      <c r="A158" s="448"/>
      <c r="B158" s="451"/>
      <c r="E158" s="450"/>
      <c r="G158" s="450"/>
      <c r="H158" s="450"/>
    </row>
    <row r="159" spans="1:8" s="423" customFormat="1">
      <c r="A159" s="448"/>
      <c r="B159" s="451"/>
      <c r="E159" s="450"/>
      <c r="G159" s="450"/>
      <c r="H159" s="450"/>
    </row>
    <row r="160" spans="1:8" s="423" customFormat="1">
      <c r="A160" s="448"/>
      <c r="B160" s="451"/>
      <c r="E160" s="450"/>
      <c r="G160" s="450"/>
      <c r="H160" s="450"/>
    </row>
    <row r="161" spans="1:8" s="423" customFormat="1">
      <c r="A161" s="448"/>
      <c r="B161" s="451"/>
      <c r="E161" s="450"/>
      <c r="G161" s="450"/>
      <c r="H161" s="450"/>
    </row>
    <row r="162" spans="1:8" s="423" customFormat="1">
      <c r="A162" s="448"/>
      <c r="B162" s="451"/>
      <c r="E162" s="450"/>
      <c r="G162" s="450"/>
      <c r="H162" s="450"/>
    </row>
    <row r="163" spans="1:8" s="423" customFormat="1">
      <c r="A163" s="448"/>
      <c r="B163" s="451"/>
      <c r="E163" s="450"/>
      <c r="G163" s="450"/>
      <c r="H163" s="450"/>
    </row>
    <row r="164" spans="1:8" s="423" customFormat="1">
      <c r="A164" s="448"/>
      <c r="B164" s="451"/>
      <c r="E164" s="450"/>
      <c r="G164" s="450"/>
      <c r="H164" s="450"/>
    </row>
    <row r="165" spans="1:8" s="423" customFormat="1">
      <c r="A165" s="448"/>
      <c r="B165" s="451"/>
      <c r="E165" s="450"/>
      <c r="G165" s="450"/>
      <c r="H165" s="450"/>
    </row>
    <row r="166" spans="1:8" s="423" customFormat="1">
      <c r="A166" s="448"/>
      <c r="B166" s="451"/>
      <c r="E166" s="450"/>
      <c r="G166" s="450"/>
      <c r="H166" s="450"/>
    </row>
    <row r="167" spans="1:8" s="423" customFormat="1">
      <c r="A167" s="448"/>
      <c r="B167" s="451"/>
      <c r="E167" s="450"/>
      <c r="G167" s="450"/>
      <c r="H167" s="450"/>
    </row>
    <row r="168" spans="1:8" s="423" customFormat="1">
      <c r="A168" s="448"/>
      <c r="B168" s="451"/>
      <c r="E168" s="450"/>
      <c r="G168" s="450"/>
      <c r="H168" s="450"/>
    </row>
    <row r="169" spans="1:8" s="423" customFormat="1">
      <c r="A169" s="448"/>
      <c r="B169" s="451"/>
      <c r="E169" s="450"/>
      <c r="G169" s="450"/>
      <c r="H169" s="450"/>
    </row>
    <row r="170" spans="1:8" s="423" customFormat="1">
      <c r="A170" s="448"/>
      <c r="B170" s="451"/>
      <c r="E170" s="450"/>
      <c r="G170" s="450"/>
      <c r="H170" s="450"/>
    </row>
    <row r="171" spans="1:8" s="423" customFormat="1">
      <c r="A171" s="448"/>
      <c r="B171" s="451"/>
      <c r="E171" s="450"/>
      <c r="G171" s="450"/>
      <c r="H171" s="450"/>
    </row>
    <row r="172" spans="1:8" s="423" customFormat="1">
      <c r="A172" s="448"/>
      <c r="B172" s="451"/>
      <c r="E172" s="450"/>
      <c r="G172" s="450"/>
      <c r="H172" s="450"/>
    </row>
    <row r="173" spans="1:8" s="423" customFormat="1">
      <c r="A173" s="448"/>
      <c r="B173" s="451"/>
      <c r="E173" s="450"/>
      <c r="G173" s="450"/>
      <c r="H173" s="450"/>
    </row>
    <row r="174" spans="1:8" s="423" customFormat="1">
      <c r="A174" s="448"/>
      <c r="B174" s="451"/>
      <c r="E174" s="450"/>
      <c r="G174" s="450"/>
      <c r="H174" s="450"/>
    </row>
    <row r="175" spans="1:8" s="423" customFormat="1">
      <c r="A175" s="448"/>
      <c r="B175" s="451"/>
      <c r="E175" s="450"/>
      <c r="G175" s="450"/>
      <c r="H175" s="450"/>
    </row>
    <row r="176" spans="1:8" s="423" customFormat="1">
      <c r="A176" s="448"/>
      <c r="B176" s="451"/>
      <c r="E176" s="450"/>
      <c r="G176" s="450"/>
      <c r="H176" s="450"/>
    </row>
    <row r="177" spans="1:8" s="423" customFormat="1">
      <c r="A177" s="448"/>
      <c r="B177" s="451"/>
      <c r="E177" s="450"/>
      <c r="G177" s="450"/>
      <c r="H177" s="450"/>
    </row>
    <row r="178" spans="1:8" s="423" customFormat="1">
      <c r="A178" s="448"/>
      <c r="B178" s="451"/>
      <c r="E178" s="450"/>
      <c r="G178" s="450"/>
      <c r="H178" s="450"/>
    </row>
    <row r="179" spans="1:8" s="423" customFormat="1">
      <c r="A179" s="448"/>
      <c r="B179" s="451"/>
      <c r="E179" s="450"/>
      <c r="G179" s="450"/>
      <c r="H179" s="450"/>
    </row>
    <row r="180" spans="1:8" s="423" customFormat="1">
      <c r="A180" s="448"/>
      <c r="B180" s="451"/>
      <c r="E180" s="450"/>
      <c r="G180" s="450"/>
      <c r="H180" s="450"/>
    </row>
    <row r="181" spans="1:8" s="423" customFormat="1">
      <c r="A181" s="448"/>
      <c r="B181" s="451"/>
      <c r="E181" s="450"/>
      <c r="G181" s="450"/>
      <c r="H181" s="450"/>
    </row>
    <row r="182" spans="1:8" s="423" customFormat="1">
      <c r="A182" s="448"/>
      <c r="B182" s="451"/>
      <c r="E182" s="450"/>
      <c r="G182" s="450"/>
      <c r="H182" s="450"/>
    </row>
    <row r="183" spans="1:8" s="423" customFormat="1">
      <c r="A183" s="448"/>
      <c r="B183" s="451"/>
      <c r="E183" s="450"/>
      <c r="G183" s="450"/>
      <c r="H183" s="450"/>
    </row>
    <row r="184" spans="1:8" s="423" customFormat="1">
      <c r="A184" s="448"/>
      <c r="B184" s="451"/>
      <c r="E184" s="450"/>
      <c r="G184" s="450"/>
      <c r="H184" s="450"/>
    </row>
    <row r="185" spans="1:8" s="423" customFormat="1">
      <c r="A185" s="448"/>
      <c r="B185" s="451"/>
      <c r="E185" s="450"/>
      <c r="G185" s="450"/>
      <c r="H185" s="450"/>
    </row>
    <row r="186" spans="1:8" s="423" customFormat="1">
      <c r="A186" s="448"/>
      <c r="B186" s="451"/>
      <c r="E186" s="450"/>
      <c r="G186" s="450"/>
      <c r="H186" s="450"/>
    </row>
    <row r="187" spans="1:8" s="423" customFormat="1">
      <c r="A187" s="448"/>
      <c r="B187" s="451"/>
      <c r="E187" s="450"/>
      <c r="G187" s="450"/>
      <c r="H187" s="450"/>
    </row>
    <row r="188" spans="1:8" s="423" customFormat="1">
      <c r="A188" s="448"/>
      <c r="B188" s="451"/>
      <c r="E188" s="450"/>
      <c r="G188" s="450"/>
      <c r="H188" s="450"/>
    </row>
    <row r="189" spans="1:8" s="423" customFormat="1">
      <c r="A189" s="448"/>
      <c r="B189" s="451"/>
      <c r="E189" s="450"/>
      <c r="G189" s="450"/>
      <c r="H189" s="450"/>
    </row>
    <row r="190" spans="1:8" s="423" customFormat="1">
      <c r="A190" s="448"/>
      <c r="B190" s="451"/>
      <c r="E190" s="450"/>
      <c r="G190" s="450"/>
      <c r="H190" s="450"/>
    </row>
    <row r="191" spans="1:8" s="423" customFormat="1">
      <c r="A191" s="448"/>
      <c r="B191" s="451"/>
      <c r="E191" s="450"/>
      <c r="G191" s="450"/>
      <c r="H191" s="450"/>
    </row>
    <row r="192" spans="1:8" s="423" customFormat="1">
      <c r="A192" s="448"/>
      <c r="B192" s="451"/>
      <c r="E192" s="450"/>
      <c r="G192" s="450"/>
      <c r="H192" s="450"/>
    </row>
    <row r="193" spans="1:8" s="423" customFormat="1">
      <c r="A193" s="448"/>
      <c r="B193" s="451"/>
      <c r="E193" s="450"/>
      <c r="G193" s="450"/>
      <c r="H193" s="450"/>
    </row>
    <row r="194" spans="1:8" s="423" customFormat="1">
      <c r="A194" s="448"/>
      <c r="B194" s="451"/>
      <c r="E194" s="450"/>
      <c r="G194" s="450"/>
      <c r="H194" s="450"/>
    </row>
    <row r="195" spans="1:8" s="423" customFormat="1">
      <c r="A195" s="448"/>
      <c r="B195" s="451"/>
      <c r="E195" s="450"/>
      <c r="G195" s="450"/>
      <c r="H195" s="450"/>
    </row>
    <row r="196" spans="1:8" s="423" customFormat="1">
      <c r="A196" s="448"/>
      <c r="B196" s="451"/>
      <c r="E196" s="450"/>
      <c r="G196" s="450"/>
      <c r="H196" s="450"/>
    </row>
    <row r="197" spans="1:8" s="423" customFormat="1">
      <c r="A197" s="448"/>
      <c r="B197" s="451"/>
      <c r="E197" s="450"/>
      <c r="G197" s="450"/>
      <c r="H197" s="450"/>
    </row>
    <row r="198" spans="1:8" s="423" customFormat="1">
      <c r="A198" s="448"/>
      <c r="B198" s="451"/>
      <c r="E198" s="450"/>
      <c r="G198" s="450"/>
      <c r="H198" s="450"/>
    </row>
    <row r="199" spans="1:8" s="423" customFormat="1">
      <c r="A199" s="448"/>
      <c r="B199" s="451"/>
      <c r="E199" s="450"/>
      <c r="G199" s="450"/>
      <c r="H199" s="450"/>
    </row>
    <row r="200" spans="1:8" s="423" customFormat="1">
      <c r="A200" s="448"/>
      <c r="B200" s="451"/>
      <c r="E200" s="450"/>
      <c r="G200" s="450"/>
      <c r="H200" s="450"/>
    </row>
    <row r="201" spans="1:8" s="423" customFormat="1">
      <c r="A201" s="448"/>
      <c r="B201" s="451"/>
      <c r="E201" s="450"/>
      <c r="G201" s="450"/>
      <c r="H201" s="450"/>
    </row>
    <row r="202" spans="1:8" s="423" customFormat="1">
      <c r="A202" s="448"/>
      <c r="B202" s="451"/>
      <c r="E202" s="450"/>
      <c r="G202" s="450"/>
      <c r="H202" s="450"/>
    </row>
    <row r="203" spans="1:8" s="423" customFormat="1">
      <c r="A203" s="448"/>
      <c r="B203" s="451"/>
      <c r="E203" s="450"/>
      <c r="G203" s="450"/>
      <c r="H203" s="450"/>
    </row>
    <row r="204" spans="1:8" s="423" customFormat="1">
      <c r="A204" s="448"/>
      <c r="B204" s="451"/>
      <c r="E204" s="450"/>
      <c r="G204" s="450"/>
      <c r="H204" s="450"/>
    </row>
    <row r="205" spans="1:8" s="423" customFormat="1">
      <c r="A205" s="448"/>
      <c r="B205" s="451"/>
      <c r="E205" s="450"/>
      <c r="G205" s="450"/>
      <c r="H205" s="450"/>
    </row>
    <row r="206" spans="1:8" s="423" customFormat="1">
      <c r="A206" s="448"/>
      <c r="B206" s="451"/>
      <c r="E206" s="450"/>
      <c r="G206" s="450"/>
      <c r="H206" s="450"/>
    </row>
    <row r="207" spans="1:8" s="423" customFormat="1">
      <c r="A207" s="448"/>
      <c r="B207" s="451"/>
      <c r="E207" s="450"/>
      <c r="G207" s="450"/>
      <c r="H207" s="450"/>
    </row>
    <row r="208" spans="1:8" s="423" customFormat="1">
      <c r="A208" s="448"/>
      <c r="B208" s="451"/>
      <c r="E208" s="450"/>
      <c r="G208" s="450"/>
      <c r="H208" s="450"/>
    </row>
    <row r="209" spans="1:8" s="423" customFormat="1">
      <c r="A209" s="448"/>
      <c r="B209" s="451"/>
      <c r="E209" s="450"/>
      <c r="G209" s="450"/>
      <c r="H209" s="450"/>
    </row>
    <row r="210" spans="1:8" s="423" customFormat="1">
      <c r="A210" s="448"/>
      <c r="B210" s="451"/>
      <c r="E210" s="450"/>
      <c r="G210" s="450"/>
      <c r="H210" s="450"/>
    </row>
    <row r="211" spans="1:8" s="423" customFormat="1">
      <c r="A211" s="448"/>
      <c r="B211" s="451"/>
      <c r="E211" s="450"/>
      <c r="G211" s="450"/>
      <c r="H211" s="450"/>
    </row>
    <row r="212" spans="1:8" s="423" customFormat="1">
      <c r="A212" s="448"/>
      <c r="B212" s="451"/>
      <c r="E212" s="450"/>
      <c r="G212" s="450"/>
      <c r="H212" s="450"/>
    </row>
    <row r="213" spans="1:8" s="423" customFormat="1">
      <c r="A213" s="448"/>
      <c r="B213" s="451"/>
      <c r="E213" s="450"/>
      <c r="G213" s="450"/>
      <c r="H213" s="450"/>
    </row>
    <row r="214" spans="1:8" s="423" customFormat="1">
      <c r="A214" s="448"/>
      <c r="B214" s="451"/>
      <c r="E214" s="450"/>
      <c r="G214" s="450"/>
      <c r="H214" s="450"/>
    </row>
    <row r="215" spans="1:8" s="423" customFormat="1">
      <c r="A215" s="448"/>
      <c r="B215" s="451"/>
      <c r="E215" s="450"/>
      <c r="G215" s="450"/>
      <c r="H215" s="450"/>
    </row>
    <row r="216" spans="1:8" s="423" customFormat="1">
      <c r="A216" s="448"/>
      <c r="B216" s="451"/>
      <c r="E216" s="450"/>
      <c r="G216" s="450"/>
      <c r="H216" s="450"/>
    </row>
    <row r="217" spans="1:8" s="423" customFormat="1">
      <c r="A217" s="448"/>
      <c r="B217" s="451"/>
      <c r="E217" s="450"/>
      <c r="G217" s="450"/>
      <c r="H217" s="450"/>
    </row>
    <row r="218" spans="1:8" s="423" customFormat="1">
      <c r="A218" s="448"/>
      <c r="B218" s="451"/>
      <c r="E218" s="450"/>
      <c r="G218" s="450"/>
      <c r="H218" s="450"/>
    </row>
    <row r="219" spans="1:8" s="423" customFormat="1">
      <c r="A219" s="448"/>
      <c r="B219" s="451"/>
      <c r="E219" s="450"/>
      <c r="G219" s="450"/>
      <c r="H219" s="450"/>
    </row>
    <row r="220" spans="1:8" s="423" customFormat="1">
      <c r="A220" s="448"/>
      <c r="B220" s="451"/>
      <c r="E220" s="450"/>
      <c r="G220" s="450"/>
      <c r="H220" s="450"/>
    </row>
    <row r="221" spans="1:8" s="423" customFormat="1">
      <c r="A221" s="448"/>
      <c r="B221" s="451"/>
      <c r="E221" s="450"/>
      <c r="G221" s="450"/>
      <c r="H221" s="450"/>
    </row>
    <row r="222" spans="1:8" s="423" customFormat="1">
      <c r="A222" s="448"/>
      <c r="B222" s="451"/>
      <c r="E222" s="450"/>
      <c r="G222" s="450"/>
      <c r="H222" s="450"/>
    </row>
    <row r="223" spans="1:8" s="423" customFormat="1">
      <c r="A223" s="448"/>
      <c r="B223" s="451"/>
      <c r="E223" s="450"/>
      <c r="G223" s="450"/>
      <c r="H223" s="450"/>
    </row>
    <row r="224" spans="1:8" s="423" customFormat="1">
      <c r="A224" s="448"/>
      <c r="B224" s="451"/>
      <c r="E224" s="450"/>
      <c r="G224" s="450"/>
      <c r="H224" s="450"/>
    </row>
    <row r="225" spans="1:8" s="423" customFormat="1">
      <c r="A225" s="448"/>
      <c r="B225" s="451"/>
      <c r="E225" s="450"/>
      <c r="G225" s="450"/>
      <c r="H225" s="450"/>
    </row>
    <row r="226" spans="1:8" s="423" customFormat="1">
      <c r="A226" s="448"/>
      <c r="B226" s="451"/>
      <c r="E226" s="450"/>
      <c r="G226" s="450"/>
      <c r="H226" s="450"/>
    </row>
    <row r="227" spans="1:8" s="423" customFormat="1">
      <c r="A227" s="448"/>
      <c r="B227" s="451"/>
      <c r="E227" s="450"/>
      <c r="G227" s="450"/>
      <c r="H227" s="450"/>
    </row>
    <row r="228" spans="1:8" s="423" customFormat="1">
      <c r="A228" s="448"/>
      <c r="B228" s="451"/>
      <c r="E228" s="450"/>
      <c r="G228" s="450"/>
      <c r="H228" s="450"/>
    </row>
    <row r="229" spans="1:8" s="423" customFormat="1">
      <c r="A229" s="448"/>
      <c r="B229" s="451"/>
      <c r="E229" s="450"/>
      <c r="G229" s="450"/>
      <c r="H229" s="450"/>
    </row>
    <row r="230" spans="1:8" s="423" customFormat="1">
      <c r="A230" s="448"/>
      <c r="B230" s="451"/>
      <c r="E230" s="450"/>
      <c r="G230" s="450"/>
      <c r="H230" s="450"/>
    </row>
    <row r="231" spans="1:8" s="423" customFormat="1">
      <c r="A231" s="448"/>
      <c r="B231" s="451"/>
      <c r="E231" s="450"/>
      <c r="G231" s="450"/>
      <c r="H231" s="450"/>
    </row>
    <row r="232" spans="1:8" s="423" customFormat="1">
      <c r="A232" s="448"/>
      <c r="B232" s="451"/>
      <c r="E232" s="450"/>
      <c r="G232" s="450"/>
      <c r="H232" s="450"/>
    </row>
    <row r="233" spans="1:8" s="423" customFormat="1">
      <c r="A233" s="448"/>
      <c r="B233" s="451"/>
      <c r="E233" s="450"/>
      <c r="G233" s="450"/>
      <c r="H233" s="450"/>
    </row>
    <row r="234" spans="1:8" s="423" customFormat="1">
      <c r="A234" s="448"/>
      <c r="B234" s="451"/>
      <c r="E234" s="450"/>
      <c r="G234" s="450"/>
      <c r="H234" s="450"/>
    </row>
    <row r="235" spans="1:8" s="423" customFormat="1">
      <c r="A235" s="448"/>
      <c r="B235" s="451"/>
      <c r="E235" s="450"/>
      <c r="G235" s="450"/>
      <c r="H235" s="450"/>
    </row>
    <row r="236" spans="1:8" s="423" customFormat="1">
      <c r="A236" s="448"/>
      <c r="B236" s="451"/>
      <c r="E236" s="450"/>
      <c r="G236" s="450"/>
      <c r="H236" s="450"/>
    </row>
    <row r="237" spans="1:8" s="423" customFormat="1">
      <c r="A237" s="448"/>
      <c r="B237" s="451"/>
      <c r="E237" s="450"/>
      <c r="G237" s="450"/>
      <c r="H237" s="450"/>
    </row>
    <row r="238" spans="1:8" s="423" customFormat="1">
      <c r="A238" s="448"/>
      <c r="B238" s="451"/>
      <c r="E238" s="450"/>
      <c r="G238" s="450"/>
      <c r="H238" s="450"/>
    </row>
    <row r="239" spans="1:8" s="423" customFormat="1">
      <c r="A239" s="448"/>
      <c r="B239" s="451"/>
      <c r="E239" s="450"/>
      <c r="G239" s="450"/>
      <c r="H239" s="450"/>
    </row>
    <row r="240" spans="1:8" s="423" customFormat="1">
      <c r="A240" s="448"/>
      <c r="B240" s="451"/>
      <c r="E240" s="450"/>
      <c r="G240" s="450"/>
      <c r="H240" s="450"/>
    </row>
    <row r="241" spans="1:8" s="423" customFormat="1">
      <c r="A241" s="448"/>
      <c r="B241" s="451"/>
      <c r="E241" s="450"/>
      <c r="G241" s="450"/>
      <c r="H241" s="450"/>
    </row>
    <row r="242" spans="1:8" s="423" customFormat="1">
      <c r="A242" s="448"/>
      <c r="B242" s="451"/>
      <c r="E242" s="450"/>
      <c r="G242" s="450"/>
      <c r="H242" s="450"/>
    </row>
    <row r="243" spans="1:8" s="423" customFormat="1">
      <c r="A243" s="448"/>
      <c r="B243" s="451"/>
      <c r="E243" s="450"/>
      <c r="G243" s="450"/>
      <c r="H243" s="450"/>
    </row>
    <row r="244" spans="1:8" s="423" customFormat="1">
      <c r="A244" s="448"/>
      <c r="B244" s="451"/>
      <c r="E244" s="450"/>
      <c r="G244" s="450"/>
      <c r="H244" s="450"/>
    </row>
    <row r="245" spans="1:8" s="423" customFormat="1">
      <c r="A245" s="448"/>
      <c r="B245" s="451"/>
      <c r="E245" s="450"/>
      <c r="G245" s="450"/>
      <c r="H245" s="450"/>
    </row>
    <row r="246" spans="1:8" s="423" customFormat="1">
      <c r="A246" s="448"/>
      <c r="B246" s="451"/>
      <c r="E246" s="450"/>
      <c r="G246" s="450"/>
      <c r="H246" s="450"/>
    </row>
    <row r="247" spans="1:8" s="423" customFormat="1">
      <c r="A247" s="448"/>
      <c r="B247" s="451"/>
      <c r="E247" s="450"/>
      <c r="G247" s="450"/>
      <c r="H247" s="450"/>
    </row>
    <row r="248" spans="1:8" s="423" customFormat="1">
      <c r="A248" s="448"/>
      <c r="B248" s="451"/>
      <c r="E248" s="450"/>
      <c r="G248" s="450"/>
      <c r="H248" s="450"/>
    </row>
    <row r="249" spans="1:8" s="423" customFormat="1">
      <c r="A249" s="448"/>
      <c r="B249" s="451"/>
      <c r="E249" s="450"/>
      <c r="G249" s="450"/>
      <c r="H249" s="450"/>
    </row>
    <row r="250" spans="1:8" s="423" customFormat="1">
      <c r="A250" s="448"/>
      <c r="B250" s="451"/>
      <c r="E250" s="450"/>
      <c r="G250" s="450"/>
      <c r="H250" s="450"/>
    </row>
    <row r="251" spans="1:8" s="423" customFormat="1">
      <c r="A251" s="448"/>
      <c r="B251" s="451"/>
      <c r="E251" s="450"/>
      <c r="G251" s="450"/>
      <c r="H251" s="450"/>
    </row>
    <row r="252" spans="1:8" s="423" customFormat="1">
      <c r="A252" s="448"/>
      <c r="B252" s="451"/>
      <c r="E252" s="450"/>
      <c r="G252" s="450"/>
      <c r="H252" s="450"/>
    </row>
    <row r="253" spans="1:8" s="423" customFormat="1">
      <c r="A253" s="448"/>
      <c r="B253" s="451"/>
      <c r="E253" s="450"/>
      <c r="G253" s="450"/>
      <c r="H253" s="450"/>
    </row>
    <row r="254" spans="1:8" s="423" customFormat="1">
      <c r="A254" s="448"/>
      <c r="B254" s="451"/>
      <c r="E254" s="450"/>
      <c r="G254" s="450"/>
      <c r="H254" s="450"/>
    </row>
    <row r="255" spans="1:8" s="423" customFormat="1">
      <c r="A255" s="448"/>
      <c r="B255" s="451"/>
      <c r="E255" s="450"/>
      <c r="G255" s="450"/>
      <c r="H255" s="450"/>
    </row>
    <row r="256" spans="1:8" s="423" customFormat="1">
      <c r="A256" s="448"/>
      <c r="B256" s="451"/>
      <c r="E256" s="450"/>
      <c r="G256" s="450"/>
      <c r="H256" s="450"/>
    </row>
    <row r="257" spans="1:8" s="423" customFormat="1">
      <c r="A257" s="448"/>
      <c r="B257" s="451"/>
      <c r="E257" s="450"/>
      <c r="G257" s="450"/>
      <c r="H257" s="450"/>
    </row>
    <row r="258" spans="1:8" s="423" customFormat="1">
      <c r="A258" s="448"/>
      <c r="B258" s="451"/>
      <c r="E258" s="450"/>
      <c r="G258" s="450"/>
      <c r="H258" s="450"/>
    </row>
    <row r="259" spans="1:8" s="423" customFormat="1">
      <c r="A259" s="448"/>
      <c r="B259" s="451"/>
      <c r="E259" s="450"/>
      <c r="G259" s="450"/>
      <c r="H259" s="450"/>
    </row>
    <row r="260" spans="1:8" s="423" customFormat="1">
      <c r="A260" s="448"/>
      <c r="B260" s="451"/>
      <c r="E260" s="450"/>
      <c r="G260" s="450"/>
      <c r="H260" s="450"/>
    </row>
    <row r="261" spans="1:8" s="423" customFormat="1">
      <c r="A261" s="448"/>
      <c r="B261" s="451"/>
      <c r="E261" s="450"/>
      <c r="G261" s="450"/>
      <c r="H261" s="450"/>
    </row>
    <row r="262" spans="1:8" s="423" customFormat="1">
      <c r="A262" s="448"/>
      <c r="B262" s="451"/>
      <c r="E262" s="450"/>
      <c r="G262" s="450"/>
      <c r="H262" s="450"/>
    </row>
    <row r="263" spans="1:8" s="423" customFormat="1">
      <c r="A263" s="448"/>
      <c r="B263" s="451"/>
      <c r="E263" s="450"/>
      <c r="G263" s="450"/>
      <c r="H263" s="450"/>
    </row>
    <row r="264" spans="1:8" s="423" customFormat="1">
      <c r="A264" s="448"/>
      <c r="B264" s="451"/>
      <c r="E264" s="450"/>
      <c r="G264" s="450"/>
      <c r="H264" s="450"/>
    </row>
    <row r="265" spans="1:8" s="423" customFormat="1">
      <c r="A265" s="448"/>
      <c r="B265" s="451"/>
      <c r="E265" s="450"/>
      <c r="G265" s="450"/>
      <c r="H265" s="450"/>
    </row>
    <row r="266" spans="1:8" s="423" customFormat="1">
      <c r="A266" s="448"/>
      <c r="B266" s="451"/>
      <c r="E266" s="450"/>
      <c r="G266" s="450"/>
      <c r="H266" s="450"/>
    </row>
    <row r="267" spans="1:8" s="423" customFormat="1">
      <c r="A267" s="448"/>
      <c r="B267" s="451"/>
      <c r="E267" s="450"/>
      <c r="G267" s="450"/>
      <c r="H267" s="450"/>
    </row>
    <row r="268" spans="1:8" s="423" customFormat="1">
      <c r="A268" s="448"/>
      <c r="B268" s="451"/>
      <c r="E268" s="450"/>
      <c r="G268" s="450"/>
      <c r="H268" s="450"/>
    </row>
    <row r="269" spans="1:8" s="423" customFormat="1">
      <c r="A269" s="448"/>
      <c r="B269" s="451"/>
      <c r="E269" s="450"/>
      <c r="G269" s="450"/>
      <c r="H269" s="450"/>
    </row>
    <row r="270" spans="1:8" s="423" customFormat="1">
      <c r="A270" s="448"/>
      <c r="B270" s="451"/>
      <c r="E270" s="450"/>
      <c r="G270" s="450"/>
      <c r="H270" s="450"/>
    </row>
    <row r="271" spans="1:8" s="423" customFormat="1">
      <c r="A271" s="448"/>
      <c r="B271" s="451"/>
      <c r="E271" s="450"/>
      <c r="G271" s="450"/>
      <c r="H271" s="450"/>
    </row>
    <row r="272" spans="1:8" s="423" customFormat="1">
      <c r="A272" s="448"/>
      <c r="B272" s="451"/>
      <c r="E272" s="450"/>
      <c r="G272" s="450"/>
      <c r="H272" s="450"/>
    </row>
    <row r="273" spans="1:8" s="423" customFormat="1">
      <c r="A273" s="448"/>
      <c r="B273" s="451"/>
      <c r="E273" s="450"/>
      <c r="G273" s="450"/>
      <c r="H273" s="450"/>
    </row>
    <row r="274" spans="1:8" s="423" customFormat="1">
      <c r="A274" s="448"/>
      <c r="B274" s="451"/>
      <c r="E274" s="450"/>
      <c r="G274" s="450"/>
      <c r="H274" s="450"/>
    </row>
    <row r="275" spans="1:8" s="423" customFormat="1">
      <c r="A275" s="448"/>
      <c r="B275" s="451"/>
      <c r="E275" s="450"/>
      <c r="G275" s="450"/>
      <c r="H275" s="450"/>
    </row>
    <row r="276" spans="1:8" s="423" customFormat="1">
      <c r="A276" s="448"/>
      <c r="B276" s="451"/>
      <c r="E276" s="450"/>
      <c r="G276" s="450"/>
      <c r="H276" s="450"/>
    </row>
    <row r="277" spans="1:8" s="423" customFormat="1">
      <c r="A277" s="448"/>
      <c r="B277" s="451"/>
      <c r="E277" s="450"/>
      <c r="G277" s="450"/>
      <c r="H277" s="450"/>
    </row>
    <row r="278" spans="1:8" s="423" customFormat="1">
      <c r="A278" s="448"/>
      <c r="B278" s="451"/>
      <c r="E278" s="450"/>
      <c r="G278" s="450"/>
      <c r="H278" s="450"/>
    </row>
    <row r="279" spans="1:8" s="423" customFormat="1">
      <c r="A279" s="448"/>
      <c r="B279" s="451"/>
      <c r="E279" s="450"/>
      <c r="G279" s="450"/>
      <c r="H279" s="450"/>
    </row>
    <row r="280" spans="1:8" s="423" customFormat="1">
      <c r="A280" s="448"/>
      <c r="B280" s="451"/>
      <c r="E280" s="450"/>
      <c r="G280" s="450"/>
      <c r="H280" s="450"/>
    </row>
    <row r="281" spans="1:8" s="423" customFormat="1">
      <c r="A281" s="448"/>
      <c r="B281" s="451"/>
      <c r="E281" s="450"/>
      <c r="G281" s="450"/>
      <c r="H281" s="450"/>
    </row>
    <row r="282" spans="1:8" s="423" customFormat="1">
      <c r="A282" s="448"/>
      <c r="B282" s="451"/>
      <c r="E282" s="450"/>
      <c r="G282" s="450"/>
      <c r="H282" s="450"/>
    </row>
    <row r="283" spans="1:8" s="423" customFormat="1">
      <c r="A283" s="448"/>
      <c r="B283" s="451"/>
      <c r="E283" s="450"/>
      <c r="G283" s="450"/>
      <c r="H283" s="450"/>
    </row>
    <row r="284" spans="1:8" s="423" customFormat="1">
      <c r="A284" s="448"/>
      <c r="B284" s="451"/>
      <c r="E284" s="450"/>
      <c r="G284" s="450"/>
      <c r="H284" s="450"/>
    </row>
    <row r="285" spans="1:8" s="423" customFormat="1">
      <c r="A285" s="448"/>
      <c r="B285" s="451"/>
      <c r="E285" s="450"/>
      <c r="G285" s="450"/>
      <c r="H285" s="450"/>
    </row>
    <row r="286" spans="1:8" s="423" customFormat="1">
      <c r="A286" s="448"/>
      <c r="B286" s="451"/>
      <c r="E286" s="450"/>
      <c r="G286" s="450"/>
      <c r="H286" s="450"/>
    </row>
    <row r="287" spans="1:8" s="423" customFormat="1">
      <c r="A287" s="448"/>
      <c r="B287" s="451"/>
      <c r="E287" s="450"/>
      <c r="G287" s="450"/>
      <c r="H287" s="450"/>
    </row>
    <row r="288" spans="1:8" s="423" customFormat="1">
      <c r="A288" s="448"/>
      <c r="B288" s="451"/>
      <c r="E288" s="450"/>
      <c r="G288" s="450"/>
      <c r="H288" s="450"/>
    </row>
    <row r="289" spans="1:8" s="423" customFormat="1">
      <c r="A289" s="448"/>
      <c r="B289" s="451"/>
      <c r="E289" s="450"/>
      <c r="G289" s="450"/>
      <c r="H289" s="450"/>
    </row>
    <row r="290" spans="1:8" s="423" customFormat="1">
      <c r="A290" s="448"/>
      <c r="B290" s="451"/>
      <c r="E290" s="450"/>
      <c r="G290" s="450"/>
      <c r="H290" s="450"/>
    </row>
    <row r="291" spans="1:8" s="423" customFormat="1">
      <c r="A291" s="448"/>
      <c r="B291" s="451"/>
      <c r="E291" s="450"/>
      <c r="G291" s="450"/>
      <c r="H291" s="450"/>
    </row>
    <row r="292" spans="1:8" s="423" customFormat="1">
      <c r="A292" s="448"/>
      <c r="B292" s="451"/>
      <c r="E292" s="450"/>
      <c r="G292" s="450"/>
      <c r="H292" s="450"/>
    </row>
    <row r="293" spans="1:8" s="423" customFormat="1">
      <c r="A293" s="448"/>
      <c r="B293" s="451"/>
      <c r="E293" s="450"/>
      <c r="G293" s="450"/>
      <c r="H293" s="450"/>
    </row>
    <row r="294" spans="1:8" s="423" customFormat="1">
      <c r="A294" s="448"/>
      <c r="B294" s="451"/>
      <c r="E294" s="450"/>
      <c r="G294" s="450"/>
      <c r="H294" s="450"/>
    </row>
    <row r="295" spans="1:8" s="423" customFormat="1">
      <c r="A295" s="448"/>
      <c r="B295" s="451"/>
      <c r="E295" s="450"/>
      <c r="G295" s="450"/>
      <c r="H295" s="450"/>
    </row>
    <row r="296" spans="1:8" s="423" customFormat="1">
      <c r="A296" s="448"/>
      <c r="B296" s="451"/>
      <c r="E296" s="450"/>
      <c r="G296" s="450"/>
      <c r="H296" s="450"/>
    </row>
    <row r="297" spans="1:8" s="423" customFormat="1">
      <c r="A297" s="448"/>
      <c r="B297" s="451"/>
      <c r="E297" s="450"/>
      <c r="G297" s="450"/>
      <c r="H297" s="450"/>
    </row>
    <row r="298" spans="1:8" s="423" customFormat="1">
      <c r="A298" s="448"/>
      <c r="B298" s="451"/>
      <c r="E298" s="450"/>
      <c r="G298" s="450"/>
      <c r="H298" s="450"/>
    </row>
    <row r="299" spans="1:8" s="423" customFormat="1">
      <c r="A299" s="448"/>
      <c r="B299" s="451"/>
      <c r="E299" s="450"/>
      <c r="G299" s="450"/>
      <c r="H299" s="450"/>
    </row>
    <row r="300" spans="1:8" s="423" customFormat="1">
      <c r="A300" s="448"/>
      <c r="B300" s="451"/>
      <c r="E300" s="450"/>
      <c r="G300" s="450"/>
      <c r="H300" s="450"/>
    </row>
    <row r="301" spans="1:8" s="423" customFormat="1">
      <c r="A301" s="448"/>
      <c r="B301" s="451"/>
      <c r="E301" s="450"/>
      <c r="G301" s="450"/>
      <c r="H301" s="450"/>
    </row>
    <row r="302" spans="1:8" s="423" customFormat="1">
      <c r="A302" s="448"/>
      <c r="B302" s="451"/>
      <c r="E302" s="450"/>
      <c r="G302" s="450"/>
      <c r="H302" s="450"/>
    </row>
    <row r="303" spans="1:8" s="423" customFormat="1">
      <c r="A303" s="448"/>
      <c r="B303" s="451"/>
      <c r="E303" s="450"/>
      <c r="G303" s="450"/>
      <c r="H303" s="450"/>
    </row>
    <row r="304" spans="1:8" s="423" customFormat="1">
      <c r="A304" s="448"/>
      <c r="B304" s="451"/>
      <c r="E304" s="450"/>
      <c r="G304" s="450"/>
      <c r="H304" s="450"/>
    </row>
    <row r="305" spans="1:8" s="423" customFormat="1">
      <c r="A305" s="448"/>
      <c r="B305" s="451"/>
      <c r="E305" s="450"/>
      <c r="G305" s="450"/>
      <c r="H305" s="450"/>
    </row>
    <row r="306" spans="1:8" s="423" customFormat="1">
      <c r="A306" s="448"/>
      <c r="B306" s="451"/>
      <c r="E306" s="450"/>
      <c r="G306" s="450"/>
      <c r="H306" s="450"/>
    </row>
    <row r="307" spans="1:8" s="423" customFormat="1">
      <c r="A307" s="448"/>
      <c r="B307" s="451"/>
      <c r="E307" s="450"/>
      <c r="G307" s="450"/>
      <c r="H307" s="450"/>
    </row>
    <row r="308" spans="1:8" s="423" customFormat="1">
      <c r="A308" s="448"/>
      <c r="B308" s="451"/>
      <c r="E308" s="450"/>
      <c r="G308" s="450"/>
      <c r="H308" s="450"/>
    </row>
    <row r="309" spans="1:8" s="423" customFormat="1">
      <c r="A309" s="448"/>
      <c r="B309" s="451"/>
      <c r="E309" s="450"/>
      <c r="G309" s="450"/>
      <c r="H309" s="450"/>
    </row>
    <row r="310" spans="1:8" s="423" customFormat="1">
      <c r="A310" s="448"/>
      <c r="B310" s="451"/>
      <c r="E310" s="450"/>
      <c r="G310" s="450"/>
      <c r="H310" s="450"/>
    </row>
    <row r="311" spans="1:8" s="423" customFormat="1">
      <c r="A311" s="448"/>
      <c r="B311" s="451"/>
      <c r="E311" s="450"/>
      <c r="G311" s="450"/>
      <c r="H311" s="450"/>
    </row>
    <row r="312" spans="1:8" s="423" customFormat="1">
      <c r="A312" s="448"/>
      <c r="B312" s="451"/>
      <c r="E312" s="450"/>
      <c r="G312" s="450"/>
      <c r="H312" s="450"/>
    </row>
    <row r="313" spans="1:8" s="423" customFormat="1">
      <c r="A313" s="448"/>
      <c r="B313" s="451"/>
      <c r="E313" s="450"/>
      <c r="G313" s="450"/>
      <c r="H313" s="450"/>
    </row>
    <row r="314" spans="1:8" s="423" customFormat="1">
      <c r="A314" s="448"/>
      <c r="B314" s="451"/>
      <c r="E314" s="450"/>
      <c r="G314" s="450"/>
      <c r="H314" s="450"/>
    </row>
    <row r="315" spans="1:8" s="423" customFormat="1">
      <c r="A315" s="448"/>
      <c r="B315" s="451"/>
      <c r="E315" s="450"/>
      <c r="G315" s="450"/>
      <c r="H315" s="450"/>
    </row>
    <row r="316" spans="1:8" s="423" customFormat="1">
      <c r="A316" s="448"/>
      <c r="B316" s="451"/>
      <c r="E316" s="450"/>
      <c r="G316" s="450"/>
      <c r="H316" s="450"/>
    </row>
    <row r="317" spans="1:8" s="423" customFormat="1">
      <c r="A317" s="448"/>
      <c r="B317" s="451"/>
      <c r="E317" s="450"/>
      <c r="G317" s="450"/>
      <c r="H317" s="450"/>
    </row>
    <row r="318" spans="1:8" s="423" customFormat="1">
      <c r="A318" s="448"/>
      <c r="B318" s="451"/>
      <c r="E318" s="450"/>
      <c r="G318" s="450"/>
      <c r="H318" s="450"/>
    </row>
    <row r="319" spans="1:8" s="423" customFormat="1">
      <c r="A319" s="448"/>
      <c r="B319" s="451"/>
      <c r="E319" s="450"/>
      <c r="G319" s="450"/>
      <c r="H319" s="450"/>
    </row>
    <row r="320" spans="1:8" s="423" customFormat="1">
      <c r="A320" s="448"/>
      <c r="B320" s="451"/>
      <c r="E320" s="450"/>
      <c r="G320" s="450"/>
      <c r="H320" s="450"/>
    </row>
    <row r="321" spans="1:8" s="423" customFormat="1">
      <c r="A321" s="448"/>
      <c r="B321" s="451"/>
      <c r="E321" s="450"/>
      <c r="G321" s="450"/>
      <c r="H321" s="450"/>
    </row>
    <row r="322" spans="1:8" s="423" customFormat="1">
      <c r="A322" s="448"/>
      <c r="B322" s="451"/>
      <c r="E322" s="450"/>
      <c r="G322" s="450"/>
      <c r="H322" s="450"/>
    </row>
    <row r="323" spans="1:8" s="423" customFormat="1">
      <c r="A323" s="448"/>
      <c r="B323" s="451"/>
      <c r="E323" s="450"/>
      <c r="G323" s="450"/>
      <c r="H323" s="450"/>
    </row>
    <row r="324" spans="1:8" s="423" customFormat="1">
      <c r="A324" s="448"/>
      <c r="B324" s="451"/>
      <c r="E324" s="450"/>
      <c r="G324" s="450"/>
      <c r="H324" s="450"/>
    </row>
    <row r="325" spans="1:8" s="423" customFormat="1">
      <c r="A325" s="448"/>
      <c r="B325" s="451"/>
      <c r="E325" s="450"/>
      <c r="G325" s="450"/>
      <c r="H325" s="450"/>
    </row>
    <row r="326" spans="1:8" s="423" customFormat="1">
      <c r="A326" s="448"/>
      <c r="B326" s="451"/>
      <c r="E326" s="450"/>
      <c r="G326" s="450"/>
      <c r="H326" s="450"/>
    </row>
    <row r="327" spans="1:8" s="423" customFormat="1">
      <c r="A327" s="448"/>
      <c r="B327" s="451"/>
      <c r="E327" s="450"/>
      <c r="G327" s="450"/>
      <c r="H327" s="450"/>
    </row>
    <row r="328" spans="1:8" s="423" customFormat="1">
      <c r="A328" s="448"/>
      <c r="B328" s="451"/>
      <c r="E328" s="450"/>
      <c r="G328" s="450"/>
      <c r="H328" s="450"/>
    </row>
    <row r="329" spans="1:8" s="423" customFormat="1">
      <c r="A329" s="448"/>
      <c r="B329" s="451"/>
      <c r="E329" s="450"/>
      <c r="G329" s="450"/>
      <c r="H329" s="450"/>
    </row>
    <row r="330" spans="1:8" s="423" customFormat="1">
      <c r="A330" s="448"/>
      <c r="B330" s="451"/>
      <c r="E330" s="450"/>
      <c r="G330" s="450"/>
      <c r="H330" s="450"/>
    </row>
    <row r="331" spans="1:8" s="423" customFormat="1">
      <c r="A331" s="448"/>
      <c r="B331" s="451"/>
      <c r="E331" s="450"/>
      <c r="G331" s="450"/>
      <c r="H331" s="450"/>
    </row>
    <row r="332" spans="1:8" s="423" customFormat="1">
      <c r="A332" s="448"/>
      <c r="B332" s="451"/>
      <c r="E332" s="450"/>
      <c r="G332" s="450"/>
      <c r="H332" s="450"/>
    </row>
    <row r="333" spans="1:8" s="423" customFormat="1">
      <c r="A333" s="448"/>
      <c r="B333" s="451"/>
      <c r="E333" s="450"/>
      <c r="G333" s="450"/>
      <c r="H333" s="450"/>
    </row>
    <row r="334" spans="1:8" s="423" customFormat="1">
      <c r="A334" s="448"/>
      <c r="B334" s="451"/>
      <c r="E334" s="450"/>
      <c r="G334" s="450"/>
      <c r="H334" s="450"/>
    </row>
    <row r="335" spans="1:8" s="423" customFormat="1">
      <c r="A335" s="448"/>
      <c r="B335" s="451"/>
      <c r="E335" s="450"/>
      <c r="G335" s="450"/>
      <c r="H335" s="450"/>
    </row>
    <row r="336" spans="1:8" s="423" customFormat="1">
      <c r="A336" s="448"/>
      <c r="B336" s="451"/>
      <c r="E336" s="450"/>
      <c r="G336" s="450"/>
      <c r="H336" s="450"/>
    </row>
    <row r="337" spans="1:8" s="423" customFormat="1">
      <c r="A337" s="448"/>
      <c r="B337" s="451"/>
      <c r="E337" s="450"/>
      <c r="G337" s="450"/>
      <c r="H337" s="450"/>
    </row>
    <row r="338" spans="1:8" s="423" customFormat="1">
      <c r="A338" s="448"/>
      <c r="B338" s="451"/>
      <c r="E338" s="450"/>
      <c r="G338" s="450"/>
      <c r="H338" s="450"/>
    </row>
    <row r="339" spans="1:8" s="423" customFormat="1">
      <c r="A339" s="448"/>
      <c r="B339" s="451"/>
      <c r="E339" s="450"/>
      <c r="G339" s="450"/>
      <c r="H339" s="450"/>
    </row>
    <row r="340" spans="1:8" s="423" customFormat="1">
      <c r="A340" s="448"/>
      <c r="B340" s="451"/>
      <c r="E340" s="450"/>
      <c r="G340" s="450"/>
      <c r="H340" s="450"/>
    </row>
    <row r="341" spans="1:8" s="423" customFormat="1">
      <c r="A341" s="448"/>
      <c r="B341" s="451"/>
      <c r="E341" s="450"/>
      <c r="G341" s="450"/>
      <c r="H341" s="450"/>
    </row>
    <row r="342" spans="1:8" s="423" customFormat="1">
      <c r="A342" s="448"/>
      <c r="B342" s="451"/>
      <c r="E342" s="450"/>
      <c r="G342" s="450"/>
      <c r="H342" s="450"/>
    </row>
    <row r="343" spans="1:8" s="423" customFormat="1">
      <c r="A343" s="448"/>
      <c r="B343" s="451"/>
      <c r="E343" s="450"/>
      <c r="G343" s="450"/>
      <c r="H343" s="450"/>
    </row>
    <row r="344" spans="1:8" s="423" customFormat="1">
      <c r="A344" s="448"/>
      <c r="B344" s="451"/>
      <c r="E344" s="450"/>
      <c r="G344" s="450"/>
      <c r="H344" s="450"/>
    </row>
    <row r="345" spans="1:8" s="423" customFormat="1">
      <c r="A345" s="448"/>
      <c r="B345" s="451"/>
      <c r="E345" s="450"/>
      <c r="G345" s="450"/>
      <c r="H345" s="450"/>
    </row>
    <row r="346" spans="1:8" s="423" customFormat="1">
      <c r="A346" s="448"/>
      <c r="B346" s="451"/>
      <c r="E346" s="450"/>
      <c r="G346" s="450"/>
      <c r="H346" s="450"/>
    </row>
    <row r="347" spans="1:8" s="423" customFormat="1">
      <c r="A347" s="448"/>
      <c r="B347" s="451"/>
      <c r="E347" s="450"/>
      <c r="G347" s="450"/>
      <c r="H347" s="450"/>
    </row>
    <row r="348" spans="1:8" s="423" customFormat="1">
      <c r="A348" s="448"/>
      <c r="B348" s="451"/>
      <c r="E348" s="450"/>
      <c r="G348" s="450"/>
      <c r="H348" s="450"/>
    </row>
    <row r="349" spans="1:8" s="423" customFormat="1">
      <c r="A349" s="448"/>
      <c r="B349" s="451"/>
      <c r="E349" s="450"/>
      <c r="G349" s="450"/>
      <c r="H349" s="450"/>
    </row>
    <row r="350" spans="1:8" s="423" customFormat="1">
      <c r="A350" s="448"/>
      <c r="B350" s="451"/>
      <c r="E350" s="450"/>
      <c r="G350" s="450"/>
      <c r="H350" s="450"/>
    </row>
    <row r="351" spans="1:8" s="423" customFormat="1">
      <c r="A351" s="448"/>
      <c r="B351" s="451"/>
      <c r="E351" s="450"/>
      <c r="G351" s="450"/>
      <c r="H351" s="450"/>
    </row>
    <row r="352" spans="1:8" s="423" customFormat="1">
      <c r="A352" s="448"/>
      <c r="B352" s="451"/>
      <c r="E352" s="450"/>
      <c r="G352" s="450"/>
      <c r="H352" s="450"/>
    </row>
    <row r="353" spans="1:8" s="423" customFormat="1">
      <c r="A353" s="448"/>
      <c r="B353" s="451"/>
      <c r="E353" s="450"/>
      <c r="G353" s="450"/>
      <c r="H353" s="450"/>
    </row>
    <row r="354" spans="1:8" s="423" customFormat="1">
      <c r="A354" s="448"/>
      <c r="B354" s="451"/>
      <c r="E354" s="450"/>
      <c r="G354" s="450"/>
      <c r="H354" s="450"/>
    </row>
    <row r="355" spans="1:8" s="423" customFormat="1">
      <c r="A355" s="448"/>
      <c r="B355" s="451"/>
      <c r="E355" s="450"/>
      <c r="G355" s="450"/>
      <c r="H355" s="450"/>
    </row>
    <row r="356" spans="1:8" s="423" customFormat="1">
      <c r="A356" s="448"/>
      <c r="B356" s="451"/>
      <c r="E356" s="450"/>
      <c r="G356" s="450"/>
      <c r="H356" s="450"/>
    </row>
    <row r="357" spans="1:8" s="423" customFormat="1">
      <c r="A357" s="448"/>
      <c r="B357" s="451"/>
      <c r="E357" s="450"/>
      <c r="G357" s="450"/>
      <c r="H357" s="450"/>
    </row>
    <row r="358" spans="1:8" s="423" customFormat="1">
      <c r="A358" s="448"/>
      <c r="B358" s="451"/>
      <c r="E358" s="450"/>
      <c r="G358" s="450"/>
      <c r="H358" s="450"/>
    </row>
    <row r="359" spans="1:8" s="423" customFormat="1">
      <c r="A359" s="448"/>
      <c r="B359" s="451"/>
      <c r="E359" s="450"/>
      <c r="G359" s="450"/>
      <c r="H359" s="450"/>
    </row>
    <row r="360" spans="1:8" s="423" customFormat="1">
      <c r="A360" s="448"/>
      <c r="B360" s="451"/>
      <c r="E360" s="450"/>
      <c r="G360" s="450"/>
      <c r="H360" s="450"/>
    </row>
    <row r="361" spans="1:8" s="423" customFormat="1">
      <c r="A361" s="448"/>
      <c r="B361" s="451"/>
      <c r="E361" s="450"/>
      <c r="G361" s="450"/>
      <c r="H361" s="450"/>
    </row>
    <row r="362" spans="1:8" s="423" customFormat="1">
      <c r="A362" s="448"/>
      <c r="B362" s="451"/>
      <c r="E362" s="450"/>
      <c r="G362" s="450"/>
      <c r="H362" s="450"/>
    </row>
    <row r="363" spans="1:8" s="423" customFormat="1">
      <c r="A363" s="448"/>
      <c r="B363" s="451"/>
      <c r="E363" s="450"/>
      <c r="G363" s="450"/>
      <c r="H363" s="450"/>
    </row>
    <row r="364" spans="1:8" s="423" customFormat="1">
      <c r="A364" s="448"/>
      <c r="B364" s="451"/>
      <c r="E364" s="450"/>
      <c r="G364" s="450"/>
      <c r="H364" s="450"/>
    </row>
    <row r="365" spans="1:8" s="423" customFormat="1">
      <c r="A365" s="448"/>
      <c r="B365" s="451"/>
      <c r="E365" s="450"/>
      <c r="G365" s="450"/>
      <c r="H365" s="450"/>
    </row>
    <row r="366" spans="1:8" s="423" customFormat="1">
      <c r="A366" s="448"/>
      <c r="B366" s="451"/>
      <c r="E366" s="450"/>
      <c r="G366" s="450"/>
      <c r="H366" s="450"/>
    </row>
    <row r="367" spans="1:8" s="423" customFormat="1">
      <c r="A367" s="448"/>
      <c r="B367" s="451"/>
      <c r="E367" s="450"/>
      <c r="G367" s="450"/>
      <c r="H367" s="450"/>
    </row>
    <row r="368" spans="1:8" s="423" customFormat="1">
      <c r="A368" s="448"/>
      <c r="B368" s="451"/>
      <c r="E368" s="450"/>
      <c r="G368" s="450"/>
      <c r="H368" s="450"/>
    </row>
    <row r="369" spans="1:8" s="423" customFormat="1">
      <c r="A369" s="448"/>
      <c r="B369" s="451"/>
      <c r="E369" s="450"/>
      <c r="G369" s="450"/>
      <c r="H369" s="450"/>
    </row>
    <row r="370" spans="1:8" s="423" customFormat="1">
      <c r="A370" s="448"/>
      <c r="B370" s="451"/>
      <c r="E370" s="450"/>
      <c r="G370" s="450"/>
      <c r="H370" s="450"/>
    </row>
    <row r="371" spans="1:8" s="423" customFormat="1">
      <c r="A371" s="448"/>
      <c r="B371" s="451"/>
      <c r="E371" s="450"/>
      <c r="G371" s="450"/>
      <c r="H371" s="450"/>
    </row>
    <row r="372" spans="1:8" s="423" customFormat="1">
      <c r="A372" s="448"/>
      <c r="B372" s="451"/>
      <c r="E372" s="450"/>
      <c r="G372" s="450"/>
      <c r="H372" s="450"/>
    </row>
    <row r="373" spans="1:8" s="423" customFormat="1">
      <c r="A373" s="448"/>
      <c r="B373" s="451"/>
      <c r="E373" s="450"/>
      <c r="G373" s="450"/>
      <c r="H373" s="450"/>
    </row>
    <row r="374" spans="1:8" s="423" customFormat="1">
      <c r="A374" s="448"/>
      <c r="B374" s="451"/>
      <c r="E374" s="450"/>
      <c r="G374" s="450"/>
      <c r="H374" s="450"/>
    </row>
    <row r="375" spans="1:8" s="423" customFormat="1">
      <c r="A375" s="448"/>
      <c r="B375" s="451"/>
      <c r="E375" s="450"/>
      <c r="G375" s="450"/>
      <c r="H375" s="450"/>
    </row>
    <row r="376" spans="1:8" s="423" customFormat="1">
      <c r="A376" s="448"/>
      <c r="B376" s="451"/>
      <c r="E376" s="450"/>
      <c r="G376" s="450"/>
      <c r="H376" s="450"/>
    </row>
    <row r="377" spans="1:8" s="423" customFormat="1">
      <c r="A377" s="448"/>
      <c r="B377" s="451"/>
      <c r="E377" s="450"/>
      <c r="G377" s="450"/>
      <c r="H377" s="450"/>
    </row>
    <row r="378" spans="1:8" s="423" customFormat="1">
      <c r="A378" s="448"/>
      <c r="B378" s="451"/>
      <c r="E378" s="450"/>
      <c r="G378" s="450"/>
      <c r="H378" s="450"/>
    </row>
    <row r="379" spans="1:8" s="423" customFormat="1">
      <c r="A379" s="448"/>
      <c r="B379" s="451"/>
      <c r="E379" s="450"/>
      <c r="G379" s="450"/>
      <c r="H379" s="450"/>
    </row>
    <row r="380" spans="1:8" s="423" customFormat="1">
      <c r="A380" s="448"/>
      <c r="B380" s="451"/>
      <c r="E380" s="450"/>
      <c r="G380" s="450"/>
      <c r="H380" s="450"/>
    </row>
    <row r="381" spans="1:8" s="423" customFormat="1">
      <c r="A381" s="448"/>
      <c r="B381" s="451"/>
      <c r="E381" s="450"/>
      <c r="G381" s="450"/>
      <c r="H381" s="450"/>
    </row>
    <row r="382" spans="1:8" s="423" customFormat="1">
      <c r="A382" s="448"/>
      <c r="B382" s="451"/>
      <c r="E382" s="450"/>
      <c r="G382" s="450"/>
      <c r="H382" s="450"/>
    </row>
    <row r="383" spans="1:8" s="423" customFormat="1">
      <c r="A383" s="448"/>
      <c r="B383" s="451"/>
      <c r="E383" s="450"/>
      <c r="G383" s="450"/>
      <c r="H383" s="450"/>
    </row>
    <row r="384" spans="1:8" s="423" customFormat="1">
      <c r="A384" s="448"/>
      <c r="B384" s="451"/>
      <c r="E384" s="450"/>
      <c r="G384" s="450"/>
      <c r="H384" s="450"/>
    </row>
    <row r="385" spans="1:8" s="423" customFormat="1">
      <c r="A385" s="448"/>
      <c r="B385" s="451"/>
      <c r="E385" s="450"/>
      <c r="G385" s="450"/>
      <c r="H385" s="450"/>
    </row>
    <row r="386" spans="1:8" s="423" customFormat="1">
      <c r="A386" s="448"/>
      <c r="B386" s="451"/>
      <c r="E386" s="450"/>
      <c r="G386" s="450"/>
      <c r="H386" s="450"/>
    </row>
    <row r="387" spans="1:8" s="423" customFormat="1">
      <c r="A387" s="448"/>
      <c r="B387" s="451"/>
      <c r="E387" s="450"/>
      <c r="G387" s="450"/>
      <c r="H387" s="450"/>
    </row>
    <row r="388" spans="1:8" s="423" customFormat="1">
      <c r="A388" s="448"/>
      <c r="B388" s="451"/>
      <c r="E388" s="450"/>
      <c r="G388" s="450"/>
      <c r="H388" s="450"/>
    </row>
    <row r="389" spans="1:8" s="423" customFormat="1">
      <c r="A389" s="448"/>
      <c r="B389" s="451"/>
      <c r="E389" s="450"/>
      <c r="G389" s="450"/>
      <c r="H389" s="450"/>
    </row>
    <row r="390" spans="1:8" s="423" customFormat="1">
      <c r="A390" s="448"/>
      <c r="B390" s="451"/>
      <c r="E390" s="450"/>
      <c r="G390" s="450"/>
      <c r="H390" s="450"/>
    </row>
    <row r="391" spans="1:8" s="423" customFormat="1">
      <c r="A391" s="448"/>
      <c r="B391" s="451"/>
      <c r="E391" s="450"/>
      <c r="G391" s="450"/>
      <c r="H391" s="450"/>
    </row>
    <row r="392" spans="1:8" s="423" customFormat="1">
      <c r="A392" s="448"/>
      <c r="B392" s="451"/>
      <c r="E392" s="450"/>
      <c r="G392" s="450"/>
      <c r="H392" s="450"/>
    </row>
    <row r="393" spans="1:8" s="423" customFormat="1">
      <c r="A393" s="448"/>
      <c r="B393" s="451"/>
      <c r="E393" s="450"/>
      <c r="G393" s="450"/>
      <c r="H393" s="450"/>
    </row>
    <row r="394" spans="1:8" s="423" customFormat="1">
      <c r="A394" s="448"/>
      <c r="B394" s="451"/>
      <c r="E394" s="450"/>
      <c r="G394" s="450"/>
      <c r="H394" s="450"/>
    </row>
    <row r="395" spans="1:8" s="423" customFormat="1">
      <c r="A395" s="448"/>
      <c r="B395" s="451"/>
      <c r="E395" s="450"/>
      <c r="G395" s="450"/>
      <c r="H395" s="450"/>
    </row>
    <row r="396" spans="1:8" s="423" customFormat="1">
      <c r="A396" s="448"/>
      <c r="B396" s="451"/>
      <c r="E396" s="450"/>
      <c r="G396" s="450"/>
      <c r="H396" s="450"/>
    </row>
    <row r="397" spans="1:8" s="423" customFormat="1">
      <c r="A397" s="448"/>
      <c r="B397" s="451"/>
      <c r="E397" s="450"/>
      <c r="G397" s="450"/>
      <c r="H397" s="450"/>
    </row>
    <row r="398" spans="1:8" s="423" customFormat="1">
      <c r="A398" s="448"/>
      <c r="B398" s="451"/>
      <c r="E398" s="450"/>
      <c r="G398" s="450"/>
      <c r="H398" s="450"/>
    </row>
    <row r="399" spans="1:8" s="423" customFormat="1">
      <c r="A399" s="448"/>
      <c r="B399" s="451"/>
      <c r="E399" s="450"/>
      <c r="G399" s="450"/>
      <c r="H399" s="450"/>
    </row>
    <row r="400" spans="1:8" s="423" customFormat="1">
      <c r="A400" s="448"/>
      <c r="B400" s="451"/>
      <c r="E400" s="450"/>
      <c r="G400" s="450"/>
      <c r="H400" s="450"/>
    </row>
    <row r="401" spans="1:8" s="423" customFormat="1">
      <c r="A401" s="448"/>
      <c r="B401" s="451"/>
      <c r="E401" s="450"/>
      <c r="G401" s="450"/>
      <c r="H401" s="450"/>
    </row>
    <row r="402" spans="1:8" s="423" customFormat="1">
      <c r="A402" s="448"/>
      <c r="B402" s="451"/>
      <c r="E402" s="450"/>
      <c r="G402" s="450"/>
      <c r="H402" s="450"/>
    </row>
    <row r="403" spans="1:8" s="423" customFormat="1">
      <c r="A403" s="448"/>
      <c r="B403" s="451"/>
      <c r="E403" s="450"/>
      <c r="G403" s="450"/>
      <c r="H403" s="450"/>
    </row>
    <row r="404" spans="1:8" s="423" customFormat="1">
      <c r="A404" s="448"/>
      <c r="B404" s="451"/>
      <c r="E404" s="450"/>
      <c r="G404" s="450"/>
      <c r="H404" s="450"/>
    </row>
    <row r="405" spans="1:8" s="423" customFormat="1">
      <c r="A405" s="448"/>
      <c r="B405" s="451"/>
      <c r="E405" s="450"/>
      <c r="G405" s="450"/>
      <c r="H405" s="450"/>
    </row>
    <row r="406" spans="1:8" s="423" customFormat="1">
      <c r="A406" s="448"/>
      <c r="B406" s="451"/>
      <c r="E406" s="450"/>
      <c r="G406" s="450"/>
      <c r="H406" s="450"/>
    </row>
    <row r="407" spans="1:8" s="423" customFormat="1">
      <c r="A407" s="448"/>
      <c r="B407" s="451"/>
      <c r="E407" s="450"/>
      <c r="G407" s="450"/>
      <c r="H407" s="450"/>
    </row>
    <row r="408" spans="1:8" s="423" customFormat="1">
      <c r="A408" s="448"/>
      <c r="B408" s="451"/>
      <c r="E408" s="450"/>
      <c r="G408" s="450"/>
      <c r="H408" s="450"/>
    </row>
    <row r="409" spans="1:8" s="423" customFormat="1">
      <c r="A409" s="448"/>
      <c r="B409" s="451"/>
      <c r="E409" s="450"/>
      <c r="G409" s="450"/>
      <c r="H409" s="450"/>
    </row>
    <row r="410" spans="1:8" s="423" customFormat="1">
      <c r="A410" s="448"/>
      <c r="B410" s="451"/>
      <c r="E410" s="450"/>
      <c r="G410" s="450"/>
      <c r="H410" s="450"/>
    </row>
    <row r="411" spans="1:8" s="423" customFormat="1">
      <c r="A411" s="448"/>
      <c r="B411" s="451"/>
      <c r="E411" s="450"/>
      <c r="G411" s="450"/>
      <c r="H411" s="450"/>
    </row>
    <row r="412" spans="1:8" s="423" customFormat="1">
      <c r="A412" s="448"/>
      <c r="B412" s="451"/>
      <c r="E412" s="450"/>
      <c r="G412" s="450"/>
      <c r="H412" s="450"/>
    </row>
    <row r="413" spans="1:8" s="423" customFormat="1">
      <c r="A413" s="448"/>
      <c r="B413" s="451"/>
      <c r="E413" s="450"/>
      <c r="G413" s="450"/>
      <c r="H413" s="450"/>
    </row>
    <row r="414" spans="1:8" s="423" customFormat="1">
      <c r="A414" s="448"/>
      <c r="B414" s="451"/>
      <c r="E414" s="450"/>
      <c r="G414" s="450"/>
      <c r="H414" s="450"/>
    </row>
    <row r="415" spans="1:8" s="423" customFormat="1">
      <c r="A415" s="448"/>
      <c r="B415" s="451"/>
      <c r="E415" s="450"/>
      <c r="G415" s="450"/>
      <c r="H415" s="450"/>
    </row>
    <row r="416" spans="1:8" s="423" customFormat="1">
      <c r="A416" s="448"/>
      <c r="B416" s="451"/>
      <c r="E416" s="450"/>
      <c r="G416" s="450"/>
      <c r="H416" s="450"/>
    </row>
    <row r="417" spans="1:8" s="423" customFormat="1">
      <c r="A417" s="448"/>
      <c r="B417" s="451"/>
      <c r="E417" s="450"/>
      <c r="G417" s="450"/>
      <c r="H417" s="450"/>
    </row>
    <row r="418" spans="1:8" s="423" customFormat="1">
      <c r="A418" s="448"/>
      <c r="B418" s="451"/>
      <c r="E418" s="450"/>
      <c r="G418" s="450"/>
      <c r="H418" s="450"/>
    </row>
    <row r="419" spans="1:8" s="423" customFormat="1">
      <c r="A419" s="448"/>
      <c r="B419" s="451"/>
      <c r="E419" s="450"/>
      <c r="G419" s="450"/>
      <c r="H419" s="450"/>
    </row>
    <row r="420" spans="1:8" s="423" customFormat="1">
      <c r="A420" s="448"/>
      <c r="B420" s="451"/>
      <c r="E420" s="450"/>
      <c r="G420" s="450"/>
      <c r="H420" s="450"/>
    </row>
    <row r="421" spans="1:8" s="423" customFormat="1">
      <c r="A421" s="448"/>
      <c r="B421" s="451"/>
      <c r="E421" s="450"/>
      <c r="G421" s="450"/>
      <c r="H421" s="450"/>
    </row>
    <row r="422" spans="1:8" s="423" customFormat="1">
      <c r="A422" s="448"/>
      <c r="B422" s="451"/>
      <c r="E422" s="450"/>
      <c r="G422" s="450"/>
      <c r="H422" s="450"/>
    </row>
    <row r="423" spans="1:8" s="423" customFormat="1">
      <c r="A423" s="448"/>
      <c r="B423" s="451"/>
      <c r="E423" s="450"/>
      <c r="G423" s="450"/>
      <c r="H423" s="450"/>
    </row>
    <row r="424" spans="1:8" s="423" customFormat="1">
      <c r="A424" s="448"/>
      <c r="B424" s="451"/>
      <c r="E424" s="450"/>
      <c r="G424" s="450"/>
      <c r="H424" s="450"/>
    </row>
    <row r="425" spans="1:8" s="423" customFormat="1">
      <c r="A425" s="448"/>
      <c r="B425" s="451"/>
      <c r="E425" s="450"/>
      <c r="G425" s="450"/>
      <c r="H425" s="450"/>
    </row>
    <row r="426" spans="1:8" s="423" customFormat="1">
      <c r="A426" s="448"/>
      <c r="B426" s="451"/>
      <c r="E426" s="450"/>
      <c r="G426" s="450"/>
      <c r="H426" s="450"/>
    </row>
    <row r="427" spans="1:8" s="423" customFormat="1">
      <c r="A427" s="448"/>
      <c r="B427" s="451"/>
      <c r="E427" s="450"/>
      <c r="G427" s="450"/>
      <c r="H427" s="450"/>
    </row>
    <row r="428" spans="1:8" s="423" customFormat="1">
      <c r="A428" s="448"/>
      <c r="B428" s="451"/>
      <c r="E428" s="450"/>
      <c r="G428" s="450"/>
      <c r="H428" s="450"/>
    </row>
    <row r="429" spans="1:8" s="423" customFormat="1">
      <c r="A429" s="448"/>
      <c r="B429" s="451"/>
      <c r="E429" s="450"/>
      <c r="G429" s="450"/>
      <c r="H429" s="450"/>
    </row>
    <row r="430" spans="1:8" s="423" customFormat="1">
      <c r="A430" s="448"/>
      <c r="B430" s="451"/>
      <c r="E430" s="450"/>
      <c r="G430" s="450"/>
      <c r="H430" s="450"/>
    </row>
    <row r="431" spans="1:8" s="423" customFormat="1">
      <c r="A431" s="448"/>
      <c r="B431" s="451"/>
      <c r="E431" s="450"/>
      <c r="G431" s="450"/>
      <c r="H431" s="450"/>
    </row>
    <row r="432" spans="1:8" s="423" customFormat="1">
      <c r="A432" s="448"/>
      <c r="B432" s="451"/>
      <c r="E432" s="450"/>
      <c r="G432" s="450"/>
      <c r="H432" s="450"/>
    </row>
    <row r="433" spans="1:8" s="423" customFormat="1">
      <c r="A433" s="448"/>
      <c r="B433" s="451"/>
      <c r="E433" s="450"/>
      <c r="G433" s="450"/>
      <c r="H433" s="450"/>
    </row>
    <row r="434" spans="1:8" s="423" customFormat="1">
      <c r="A434" s="448"/>
      <c r="B434" s="451"/>
      <c r="E434" s="450"/>
      <c r="G434" s="450"/>
      <c r="H434" s="450"/>
    </row>
    <row r="435" spans="1:8" s="423" customFormat="1">
      <c r="A435" s="448"/>
      <c r="B435" s="451"/>
      <c r="E435" s="450"/>
      <c r="G435" s="450"/>
      <c r="H435" s="450"/>
    </row>
    <row r="436" spans="1:8" s="423" customFormat="1">
      <c r="A436" s="448"/>
      <c r="B436" s="451"/>
      <c r="E436" s="450"/>
      <c r="G436" s="450"/>
      <c r="H436" s="450"/>
    </row>
    <row r="437" spans="1:8" s="423" customFormat="1">
      <c r="A437" s="448"/>
      <c r="B437" s="451"/>
      <c r="E437" s="450"/>
      <c r="G437" s="450"/>
      <c r="H437" s="450"/>
    </row>
    <row r="438" spans="1:8" s="423" customFormat="1">
      <c r="A438" s="448"/>
      <c r="B438" s="451"/>
      <c r="E438" s="450"/>
      <c r="G438" s="450"/>
      <c r="H438" s="450"/>
    </row>
    <row r="439" spans="1:8" s="423" customFormat="1">
      <c r="A439" s="448"/>
      <c r="B439" s="451"/>
      <c r="E439" s="450"/>
      <c r="G439" s="450"/>
      <c r="H439" s="450"/>
    </row>
    <row r="440" spans="1:8" s="423" customFormat="1">
      <c r="A440" s="448"/>
      <c r="B440" s="451"/>
      <c r="E440" s="450"/>
      <c r="G440" s="450"/>
      <c r="H440" s="450"/>
    </row>
    <row r="441" spans="1:8" s="423" customFormat="1">
      <c r="A441" s="448"/>
      <c r="B441" s="451"/>
      <c r="E441" s="450"/>
      <c r="G441" s="450"/>
      <c r="H441" s="450"/>
    </row>
    <row r="442" spans="1:8" s="423" customFormat="1">
      <c r="A442" s="448"/>
      <c r="B442" s="451"/>
      <c r="E442" s="450"/>
      <c r="G442" s="450"/>
      <c r="H442" s="450"/>
    </row>
    <row r="443" spans="1:8" s="423" customFormat="1">
      <c r="A443" s="448"/>
      <c r="B443" s="451"/>
      <c r="E443" s="450"/>
      <c r="G443" s="450"/>
      <c r="H443" s="450"/>
    </row>
    <row r="444" spans="1:8" s="423" customFormat="1">
      <c r="A444" s="448"/>
      <c r="B444" s="451"/>
      <c r="E444" s="450"/>
      <c r="G444" s="450"/>
      <c r="H444" s="450"/>
    </row>
    <row r="445" spans="1:8" s="423" customFormat="1">
      <c r="A445" s="448"/>
      <c r="B445" s="451"/>
      <c r="E445" s="450"/>
      <c r="G445" s="450"/>
      <c r="H445" s="450"/>
    </row>
    <row r="446" spans="1:8" s="423" customFormat="1">
      <c r="A446" s="448"/>
      <c r="B446" s="451"/>
      <c r="E446" s="450"/>
      <c r="G446" s="450"/>
      <c r="H446" s="450"/>
    </row>
    <row r="447" spans="1:8" s="423" customFormat="1">
      <c r="A447" s="448"/>
      <c r="B447" s="451"/>
      <c r="E447" s="450"/>
      <c r="G447" s="450"/>
      <c r="H447" s="450"/>
    </row>
    <row r="448" spans="1:8" s="423" customFormat="1">
      <c r="A448" s="448"/>
      <c r="B448" s="451"/>
      <c r="E448" s="450"/>
      <c r="G448" s="450"/>
      <c r="H448" s="450"/>
    </row>
    <row r="449" spans="1:8" s="423" customFormat="1">
      <c r="A449" s="448"/>
      <c r="B449" s="451"/>
      <c r="E449" s="450"/>
      <c r="G449" s="450"/>
      <c r="H449" s="450"/>
    </row>
    <row r="450" spans="1:8" s="423" customFormat="1">
      <c r="A450" s="448"/>
      <c r="B450" s="451"/>
      <c r="E450" s="450"/>
      <c r="G450" s="450"/>
      <c r="H450" s="450"/>
    </row>
    <row r="451" spans="1:8" s="423" customFormat="1">
      <c r="A451" s="448"/>
      <c r="B451" s="451"/>
      <c r="E451" s="450"/>
      <c r="G451" s="450"/>
      <c r="H451" s="450"/>
    </row>
    <row r="452" spans="1:8" s="423" customFormat="1">
      <c r="A452" s="448"/>
      <c r="B452" s="451"/>
      <c r="E452" s="450"/>
      <c r="G452" s="450"/>
      <c r="H452" s="450"/>
    </row>
    <row r="453" spans="1:8" s="423" customFormat="1">
      <c r="A453" s="448"/>
      <c r="B453" s="451"/>
      <c r="E453" s="450"/>
      <c r="G453" s="450"/>
      <c r="H453" s="450"/>
    </row>
    <row r="454" spans="1:8" s="423" customFormat="1">
      <c r="A454" s="448"/>
      <c r="B454" s="451"/>
      <c r="E454" s="450"/>
      <c r="G454" s="450"/>
      <c r="H454" s="450"/>
    </row>
    <row r="455" spans="1:8" s="423" customFormat="1">
      <c r="A455" s="448"/>
      <c r="B455" s="451"/>
      <c r="E455" s="450"/>
      <c r="G455" s="450"/>
      <c r="H455" s="450"/>
    </row>
    <row r="456" spans="1:8" s="423" customFormat="1">
      <c r="A456" s="448"/>
      <c r="B456" s="451"/>
      <c r="E456" s="450"/>
      <c r="G456" s="450"/>
      <c r="H456" s="450"/>
    </row>
    <row r="457" spans="1:8" s="423" customFormat="1">
      <c r="A457" s="448"/>
      <c r="B457" s="451"/>
      <c r="E457" s="450"/>
      <c r="G457" s="450"/>
      <c r="H457" s="450"/>
    </row>
    <row r="458" spans="1:8" s="423" customFormat="1">
      <c r="A458" s="448"/>
      <c r="B458" s="451"/>
      <c r="E458" s="450"/>
      <c r="G458" s="450"/>
      <c r="H458" s="450"/>
    </row>
    <row r="459" spans="1:8" s="423" customFormat="1">
      <c r="A459" s="448"/>
      <c r="B459" s="451"/>
      <c r="E459" s="450"/>
      <c r="G459" s="450"/>
      <c r="H459" s="450"/>
    </row>
    <row r="460" spans="1:8" s="423" customFormat="1">
      <c r="A460" s="448"/>
      <c r="B460" s="451"/>
      <c r="E460" s="450"/>
      <c r="G460" s="450"/>
      <c r="H460" s="450"/>
    </row>
    <row r="461" spans="1:8" s="423" customFormat="1">
      <c r="A461" s="448"/>
      <c r="B461" s="451"/>
      <c r="E461" s="450"/>
      <c r="G461" s="450"/>
      <c r="H461" s="450"/>
    </row>
    <row r="462" spans="1:8" s="423" customFormat="1">
      <c r="A462" s="448"/>
      <c r="B462" s="451"/>
      <c r="E462" s="450"/>
      <c r="G462" s="450"/>
      <c r="H462" s="450"/>
    </row>
    <row r="463" spans="1:8" s="423" customFormat="1">
      <c r="A463" s="448"/>
      <c r="B463" s="451"/>
      <c r="E463" s="450"/>
      <c r="G463" s="450"/>
      <c r="H463" s="450"/>
    </row>
    <row r="464" spans="1:8" s="423" customFormat="1">
      <c r="A464" s="448"/>
      <c r="B464" s="451"/>
      <c r="E464" s="450"/>
      <c r="G464" s="450"/>
      <c r="H464" s="450"/>
    </row>
    <row r="465" spans="1:8" s="423" customFormat="1">
      <c r="A465" s="448"/>
      <c r="B465" s="451"/>
      <c r="E465" s="450"/>
      <c r="G465" s="450"/>
      <c r="H465" s="450"/>
    </row>
    <row r="466" spans="1:8" s="423" customFormat="1">
      <c r="A466" s="448"/>
      <c r="B466" s="451"/>
      <c r="E466" s="450"/>
      <c r="G466" s="450"/>
      <c r="H466" s="450"/>
    </row>
    <row r="467" spans="1:8" s="423" customFormat="1">
      <c r="A467" s="448"/>
      <c r="B467" s="451"/>
      <c r="E467" s="450"/>
      <c r="G467" s="450"/>
      <c r="H467" s="450"/>
    </row>
    <row r="468" spans="1:8" s="423" customFormat="1">
      <c r="A468" s="448"/>
      <c r="B468" s="451"/>
      <c r="E468" s="450"/>
      <c r="G468" s="450"/>
      <c r="H468" s="450"/>
    </row>
    <row r="469" spans="1:8" s="423" customFormat="1">
      <c r="A469" s="448"/>
      <c r="B469" s="451"/>
      <c r="E469" s="450"/>
      <c r="G469" s="450"/>
      <c r="H469" s="450"/>
    </row>
    <row r="470" spans="1:8" s="423" customFormat="1">
      <c r="A470" s="448"/>
      <c r="B470" s="451"/>
      <c r="E470" s="450"/>
      <c r="G470" s="450"/>
      <c r="H470" s="450"/>
    </row>
    <row r="471" spans="1:8" s="423" customFormat="1">
      <c r="A471" s="448"/>
      <c r="B471" s="451"/>
      <c r="E471" s="450"/>
      <c r="G471" s="450"/>
      <c r="H471" s="450"/>
    </row>
    <row r="472" spans="1:8" s="423" customFormat="1">
      <c r="A472" s="448"/>
      <c r="B472" s="451"/>
      <c r="E472" s="450"/>
      <c r="G472" s="450"/>
      <c r="H472" s="450"/>
    </row>
    <row r="473" spans="1:8" s="423" customFormat="1">
      <c r="A473" s="448"/>
      <c r="B473" s="451"/>
      <c r="E473" s="450"/>
      <c r="G473" s="450"/>
      <c r="H473" s="450"/>
    </row>
    <row r="474" spans="1:8" s="423" customFormat="1">
      <c r="A474" s="448"/>
      <c r="B474" s="451"/>
      <c r="E474" s="450"/>
      <c r="G474" s="450"/>
      <c r="H474" s="450"/>
    </row>
    <row r="475" spans="1:8" s="423" customFormat="1">
      <c r="A475" s="448"/>
      <c r="B475" s="451"/>
      <c r="E475" s="450"/>
      <c r="G475" s="450"/>
      <c r="H475" s="450"/>
    </row>
    <row r="476" spans="1:8" s="423" customFormat="1">
      <c r="A476" s="448"/>
      <c r="B476" s="451"/>
      <c r="E476" s="450"/>
      <c r="G476" s="450"/>
      <c r="H476" s="450"/>
    </row>
    <row r="477" spans="1:8" s="423" customFormat="1">
      <c r="A477" s="448"/>
      <c r="B477" s="451"/>
      <c r="E477" s="450"/>
      <c r="G477" s="450"/>
      <c r="H477" s="450"/>
    </row>
    <row r="478" spans="1:8" s="423" customFormat="1">
      <c r="A478" s="448"/>
      <c r="B478" s="451"/>
      <c r="E478" s="450"/>
      <c r="G478" s="450"/>
      <c r="H478" s="450"/>
    </row>
    <row r="479" spans="1:8" s="423" customFormat="1">
      <c r="A479" s="448"/>
      <c r="B479" s="451"/>
      <c r="E479" s="450"/>
      <c r="G479" s="450"/>
      <c r="H479" s="450"/>
    </row>
    <row r="480" spans="1:8" s="423" customFormat="1">
      <c r="A480" s="448"/>
      <c r="B480" s="451"/>
      <c r="E480" s="450"/>
      <c r="G480" s="450"/>
      <c r="H480" s="450"/>
    </row>
    <row r="481" spans="1:8" s="423" customFormat="1">
      <c r="A481" s="448"/>
      <c r="B481" s="451"/>
      <c r="E481" s="450"/>
      <c r="G481" s="450"/>
      <c r="H481" s="450"/>
    </row>
    <row r="482" spans="1:8" s="423" customFormat="1">
      <c r="A482" s="448"/>
      <c r="B482" s="451"/>
      <c r="E482" s="450"/>
      <c r="G482" s="450"/>
      <c r="H482" s="450"/>
    </row>
    <row r="483" spans="1:8" s="423" customFormat="1">
      <c r="A483" s="448"/>
      <c r="B483" s="451"/>
      <c r="E483" s="450"/>
      <c r="G483" s="450"/>
      <c r="H483" s="450"/>
    </row>
    <row r="484" spans="1:8" s="423" customFormat="1">
      <c r="A484" s="448"/>
      <c r="B484" s="451"/>
      <c r="E484" s="450"/>
      <c r="G484" s="450"/>
      <c r="H484" s="450"/>
    </row>
    <row r="485" spans="1:8" s="423" customFormat="1">
      <c r="A485" s="448"/>
      <c r="B485" s="451"/>
      <c r="E485" s="450"/>
      <c r="G485" s="450"/>
      <c r="H485" s="450"/>
    </row>
    <row r="486" spans="1:8" s="423" customFormat="1">
      <c r="A486" s="448"/>
      <c r="B486" s="451"/>
      <c r="E486" s="450"/>
      <c r="G486" s="450"/>
      <c r="H486" s="450"/>
    </row>
    <row r="487" spans="1:8" s="423" customFormat="1">
      <c r="A487" s="448"/>
      <c r="B487" s="451"/>
      <c r="E487" s="450"/>
      <c r="G487" s="450"/>
      <c r="H487" s="450"/>
    </row>
    <row r="488" spans="1:8" s="423" customFormat="1">
      <c r="A488" s="448"/>
      <c r="B488" s="451"/>
      <c r="E488" s="450"/>
      <c r="G488" s="450"/>
      <c r="H488" s="450"/>
    </row>
    <row r="489" spans="1:8" s="423" customFormat="1">
      <c r="A489" s="448"/>
      <c r="B489" s="451"/>
      <c r="E489" s="450"/>
      <c r="G489" s="450"/>
      <c r="H489" s="450"/>
    </row>
    <row r="490" spans="1:8" s="423" customFormat="1">
      <c r="A490" s="448"/>
      <c r="B490" s="451"/>
      <c r="E490" s="450"/>
      <c r="G490" s="450"/>
      <c r="H490" s="450"/>
    </row>
    <row r="491" spans="1:8" s="423" customFormat="1">
      <c r="A491" s="448"/>
      <c r="B491" s="451"/>
      <c r="E491" s="450"/>
      <c r="G491" s="450"/>
      <c r="H491" s="450"/>
    </row>
    <row r="492" spans="1:8" s="423" customFormat="1">
      <c r="A492" s="448"/>
      <c r="B492" s="451"/>
      <c r="E492" s="450"/>
      <c r="G492" s="450"/>
      <c r="H492" s="450"/>
    </row>
    <row r="493" spans="1:8" s="423" customFormat="1">
      <c r="A493" s="448"/>
      <c r="B493" s="451"/>
      <c r="E493" s="450"/>
      <c r="G493" s="450"/>
      <c r="H493" s="450"/>
    </row>
    <row r="494" spans="1:8" s="423" customFormat="1">
      <c r="A494" s="448"/>
      <c r="B494" s="451"/>
      <c r="E494" s="450"/>
      <c r="G494" s="450"/>
      <c r="H494" s="450"/>
    </row>
    <row r="495" spans="1:8" s="423" customFormat="1">
      <c r="A495" s="448"/>
      <c r="B495" s="451"/>
      <c r="E495" s="450"/>
      <c r="G495" s="450"/>
      <c r="H495" s="450"/>
    </row>
    <row r="496" spans="1:8" s="423" customFormat="1">
      <c r="A496" s="448"/>
      <c r="B496" s="451"/>
      <c r="E496" s="450"/>
      <c r="G496" s="450"/>
      <c r="H496" s="450"/>
    </row>
    <row r="497" spans="1:8" s="423" customFormat="1">
      <c r="A497" s="448"/>
      <c r="B497" s="451"/>
      <c r="E497" s="450"/>
      <c r="G497" s="450"/>
      <c r="H497" s="450"/>
    </row>
    <row r="498" spans="1:8" s="423" customFormat="1">
      <c r="A498" s="448"/>
      <c r="B498" s="451"/>
      <c r="E498" s="450"/>
      <c r="G498" s="450"/>
      <c r="H498" s="450"/>
    </row>
    <row r="499" spans="1:8" s="423" customFormat="1">
      <c r="A499" s="448"/>
      <c r="B499" s="451"/>
      <c r="E499" s="450"/>
      <c r="G499" s="450"/>
      <c r="H499" s="450"/>
    </row>
    <row r="500" spans="1:8" s="423" customFormat="1">
      <c r="A500" s="448"/>
      <c r="B500" s="451"/>
      <c r="E500" s="450"/>
      <c r="G500" s="450"/>
      <c r="H500" s="450"/>
    </row>
    <row r="501" spans="1:8" s="423" customFormat="1">
      <c r="A501" s="448"/>
      <c r="B501" s="451"/>
      <c r="E501" s="450"/>
      <c r="G501" s="450"/>
      <c r="H501" s="450"/>
    </row>
    <row r="502" spans="1:8" s="423" customFormat="1">
      <c r="A502" s="448"/>
      <c r="B502" s="451"/>
      <c r="E502" s="450"/>
      <c r="G502" s="450"/>
      <c r="H502" s="450"/>
    </row>
    <row r="503" spans="1:8" s="423" customFormat="1">
      <c r="A503" s="448"/>
      <c r="B503" s="451"/>
      <c r="E503" s="450"/>
      <c r="G503" s="450"/>
      <c r="H503" s="450"/>
    </row>
    <row r="504" spans="1:8" s="423" customFormat="1">
      <c r="A504" s="448"/>
      <c r="B504" s="451"/>
      <c r="E504" s="450"/>
      <c r="G504" s="450"/>
      <c r="H504" s="450"/>
    </row>
    <row r="505" spans="1:8" s="423" customFormat="1">
      <c r="A505" s="448"/>
      <c r="B505" s="451"/>
      <c r="E505" s="450"/>
      <c r="G505" s="450"/>
      <c r="H505" s="450"/>
    </row>
    <row r="506" spans="1:8" s="423" customFormat="1">
      <c r="A506" s="448"/>
      <c r="B506" s="451"/>
      <c r="E506" s="450"/>
      <c r="G506" s="450"/>
      <c r="H506" s="450"/>
    </row>
    <row r="507" spans="1:8" s="423" customFormat="1">
      <c r="A507" s="448"/>
      <c r="B507" s="451"/>
      <c r="E507" s="450"/>
      <c r="G507" s="450"/>
      <c r="H507" s="450"/>
    </row>
    <row r="508" spans="1:8" s="423" customFormat="1">
      <c r="A508" s="448"/>
      <c r="B508" s="451"/>
      <c r="E508" s="450"/>
      <c r="G508" s="450"/>
      <c r="H508" s="450"/>
    </row>
    <row r="509" spans="1:8" s="423" customFormat="1">
      <c r="A509" s="448"/>
      <c r="B509" s="451"/>
      <c r="E509" s="450"/>
      <c r="G509" s="450"/>
      <c r="H509" s="450"/>
    </row>
    <row r="510" spans="1:8" s="423" customFormat="1">
      <c r="A510" s="448"/>
      <c r="B510" s="451"/>
      <c r="E510" s="450"/>
      <c r="G510" s="450"/>
      <c r="H510" s="450"/>
    </row>
    <row r="511" spans="1:8" s="423" customFormat="1">
      <c r="A511" s="448"/>
      <c r="B511" s="451"/>
      <c r="E511" s="450"/>
      <c r="G511" s="450"/>
      <c r="H511" s="450"/>
    </row>
    <row r="512" spans="1:8" s="423" customFormat="1">
      <c r="A512" s="448"/>
      <c r="B512" s="451"/>
      <c r="E512" s="450"/>
      <c r="G512" s="450"/>
      <c r="H512" s="450"/>
    </row>
    <row r="513" spans="1:8" s="423" customFormat="1">
      <c r="A513" s="448"/>
      <c r="B513" s="451"/>
      <c r="E513" s="450"/>
      <c r="G513" s="450"/>
      <c r="H513" s="450"/>
    </row>
    <row r="514" spans="1:8" s="423" customFormat="1">
      <c r="A514" s="448"/>
      <c r="B514" s="451"/>
      <c r="E514" s="450"/>
      <c r="G514" s="450"/>
      <c r="H514" s="450"/>
    </row>
    <row r="515" spans="1:8" s="423" customFormat="1">
      <c r="A515" s="448"/>
      <c r="B515" s="451"/>
      <c r="E515" s="450"/>
      <c r="G515" s="450"/>
      <c r="H515" s="450"/>
    </row>
    <row r="516" spans="1:8" s="423" customFormat="1">
      <c r="A516" s="448"/>
      <c r="B516" s="451"/>
      <c r="E516" s="450"/>
      <c r="G516" s="450"/>
      <c r="H516" s="450"/>
    </row>
    <row r="517" spans="1:8" s="423" customFormat="1">
      <c r="A517" s="448"/>
      <c r="B517" s="451"/>
      <c r="E517" s="450"/>
      <c r="G517" s="450"/>
      <c r="H517" s="450"/>
    </row>
    <row r="518" spans="1:8" s="423" customFormat="1">
      <c r="A518" s="448"/>
      <c r="B518" s="451"/>
      <c r="E518" s="450"/>
      <c r="G518" s="450"/>
      <c r="H518" s="450"/>
    </row>
    <row r="519" spans="1:8" s="423" customFormat="1">
      <c r="A519" s="448"/>
      <c r="B519" s="451"/>
      <c r="E519" s="450"/>
      <c r="G519" s="450"/>
      <c r="H519" s="450"/>
    </row>
    <row r="520" spans="1:8" s="423" customFormat="1">
      <c r="A520" s="448"/>
      <c r="B520" s="451"/>
      <c r="E520" s="450"/>
      <c r="G520" s="450"/>
      <c r="H520" s="450"/>
    </row>
    <row r="521" spans="1:8" s="423" customFormat="1">
      <c r="A521" s="448"/>
      <c r="B521" s="451"/>
      <c r="E521" s="450"/>
      <c r="G521" s="450"/>
      <c r="H521" s="450"/>
    </row>
    <row r="522" spans="1:8" s="423" customFormat="1">
      <c r="A522" s="448"/>
      <c r="B522" s="451"/>
      <c r="E522" s="450"/>
      <c r="G522" s="450"/>
      <c r="H522" s="450"/>
    </row>
    <row r="523" spans="1:8" s="423" customFormat="1">
      <c r="A523" s="448"/>
      <c r="B523" s="451"/>
      <c r="E523" s="450"/>
      <c r="G523" s="450"/>
      <c r="H523" s="450"/>
    </row>
    <row r="524" spans="1:8" s="423" customFormat="1">
      <c r="A524" s="448"/>
      <c r="B524" s="451"/>
      <c r="E524" s="450"/>
      <c r="G524" s="450"/>
      <c r="H524" s="450"/>
    </row>
    <row r="525" spans="1:8" s="423" customFormat="1">
      <c r="A525" s="448"/>
      <c r="B525" s="451"/>
      <c r="E525" s="450"/>
      <c r="G525" s="450"/>
      <c r="H525" s="450"/>
    </row>
    <row r="526" spans="1:8" s="423" customFormat="1">
      <c r="A526" s="448"/>
      <c r="B526" s="451"/>
      <c r="E526" s="450"/>
      <c r="G526" s="450"/>
      <c r="H526" s="450"/>
    </row>
    <row r="527" spans="1:8" s="423" customFormat="1">
      <c r="A527" s="448"/>
      <c r="B527" s="451"/>
      <c r="E527" s="450"/>
      <c r="G527" s="450"/>
      <c r="H527" s="450"/>
    </row>
    <row r="528" spans="1:8" s="423" customFormat="1">
      <c r="A528" s="448"/>
      <c r="B528" s="451"/>
      <c r="E528" s="450"/>
      <c r="G528" s="450"/>
      <c r="H528" s="450"/>
    </row>
    <row r="529" spans="1:8" s="423" customFormat="1">
      <c r="A529" s="448"/>
      <c r="B529" s="451"/>
      <c r="E529" s="450"/>
      <c r="G529" s="450"/>
      <c r="H529" s="450"/>
    </row>
    <row r="530" spans="1:8" s="423" customFormat="1">
      <c r="A530" s="448"/>
      <c r="B530" s="451"/>
      <c r="E530" s="450"/>
      <c r="G530" s="450"/>
      <c r="H530" s="450"/>
    </row>
    <row r="531" spans="1:8" s="423" customFormat="1">
      <c r="A531" s="448"/>
      <c r="B531" s="451"/>
      <c r="E531" s="450"/>
      <c r="G531" s="450"/>
      <c r="H531" s="450"/>
    </row>
    <row r="532" spans="1:8" s="423" customFormat="1">
      <c r="A532" s="448"/>
      <c r="B532" s="451"/>
      <c r="E532" s="450"/>
      <c r="G532" s="450"/>
      <c r="H532" s="450"/>
    </row>
    <row r="533" spans="1:8" s="423" customFormat="1">
      <c r="A533" s="448"/>
      <c r="B533" s="451"/>
      <c r="E533" s="450"/>
      <c r="G533" s="450"/>
      <c r="H533" s="450"/>
    </row>
    <row r="534" spans="1:8" s="423" customFormat="1">
      <c r="A534" s="448"/>
      <c r="B534" s="451"/>
      <c r="E534" s="450"/>
      <c r="G534" s="450"/>
      <c r="H534" s="450"/>
    </row>
    <row r="535" spans="1:8" s="423" customFormat="1">
      <c r="A535" s="448"/>
      <c r="B535" s="451"/>
      <c r="E535" s="450"/>
      <c r="G535" s="450"/>
      <c r="H535" s="450"/>
    </row>
    <row r="536" spans="1:8" s="423" customFormat="1">
      <c r="A536" s="448"/>
      <c r="B536" s="451"/>
      <c r="E536" s="450"/>
      <c r="G536" s="450"/>
      <c r="H536" s="450"/>
    </row>
    <row r="537" spans="1:8" s="423" customFormat="1">
      <c r="A537" s="448"/>
      <c r="B537" s="451"/>
      <c r="E537" s="450"/>
      <c r="G537" s="450"/>
      <c r="H537" s="450"/>
    </row>
    <row r="538" spans="1:8" s="423" customFormat="1">
      <c r="A538" s="448"/>
      <c r="B538" s="451"/>
      <c r="E538" s="450"/>
      <c r="G538" s="450"/>
      <c r="H538" s="450"/>
    </row>
    <row r="539" spans="1:8" s="423" customFormat="1">
      <c r="A539" s="448"/>
      <c r="B539" s="451"/>
      <c r="E539" s="450"/>
      <c r="G539" s="450"/>
      <c r="H539" s="450"/>
    </row>
    <row r="540" spans="1:8" s="423" customFormat="1">
      <c r="A540" s="448"/>
      <c r="B540" s="451"/>
      <c r="E540" s="450"/>
      <c r="G540" s="450"/>
      <c r="H540" s="450"/>
    </row>
    <row r="541" spans="1:8" s="423" customFormat="1">
      <c r="A541" s="448"/>
      <c r="B541" s="451"/>
      <c r="E541" s="450"/>
      <c r="G541" s="450"/>
      <c r="H541" s="450"/>
    </row>
    <row r="542" spans="1:8" s="423" customFormat="1">
      <c r="A542" s="448"/>
      <c r="B542" s="451"/>
      <c r="E542" s="450"/>
      <c r="G542" s="450"/>
      <c r="H542" s="450"/>
    </row>
    <row r="543" spans="1:8" s="423" customFormat="1">
      <c r="A543" s="448"/>
      <c r="B543" s="451"/>
      <c r="E543" s="450"/>
      <c r="G543" s="450"/>
      <c r="H543" s="450"/>
    </row>
    <row r="544" spans="1:8" s="423" customFormat="1">
      <c r="A544" s="448"/>
      <c r="B544" s="451"/>
      <c r="E544" s="450"/>
      <c r="G544" s="450"/>
      <c r="H544" s="450"/>
    </row>
    <row r="545" spans="1:8" s="423" customFormat="1">
      <c r="A545" s="448"/>
      <c r="B545" s="451"/>
      <c r="E545" s="450"/>
      <c r="G545" s="450"/>
      <c r="H545" s="450"/>
    </row>
    <row r="546" spans="1:8" s="423" customFormat="1">
      <c r="A546" s="448"/>
      <c r="B546" s="451"/>
      <c r="E546" s="450"/>
      <c r="G546" s="450"/>
      <c r="H546" s="450"/>
    </row>
    <row r="547" spans="1:8" s="423" customFormat="1">
      <c r="A547" s="448"/>
      <c r="B547" s="451"/>
      <c r="E547" s="450"/>
      <c r="G547" s="450"/>
      <c r="H547" s="450"/>
    </row>
    <row r="548" spans="1:8" s="423" customFormat="1">
      <c r="A548" s="448"/>
      <c r="B548" s="451"/>
      <c r="E548" s="450"/>
      <c r="G548" s="450"/>
      <c r="H548" s="450"/>
    </row>
    <row r="549" spans="1:8" s="423" customFormat="1">
      <c r="A549" s="448"/>
      <c r="B549" s="451"/>
      <c r="E549" s="450"/>
      <c r="G549" s="450"/>
      <c r="H549" s="450"/>
    </row>
    <row r="550" spans="1:8" s="423" customFormat="1">
      <c r="A550" s="448"/>
      <c r="B550" s="451"/>
      <c r="E550" s="450"/>
      <c r="G550" s="450"/>
      <c r="H550" s="450"/>
    </row>
    <row r="551" spans="1:8" s="423" customFormat="1">
      <c r="A551" s="448"/>
      <c r="B551" s="451"/>
      <c r="E551" s="450"/>
      <c r="G551" s="450"/>
      <c r="H551" s="450"/>
    </row>
    <row r="552" spans="1:8" s="423" customFormat="1">
      <c r="A552" s="448"/>
      <c r="B552" s="451"/>
      <c r="E552" s="450"/>
      <c r="G552" s="450"/>
      <c r="H552" s="450"/>
    </row>
    <row r="553" spans="1:8" s="423" customFormat="1">
      <c r="A553" s="448"/>
      <c r="B553" s="451"/>
      <c r="E553" s="450"/>
      <c r="G553" s="450"/>
      <c r="H553" s="450"/>
    </row>
    <row r="554" spans="1:8" s="423" customFormat="1">
      <c r="A554" s="448"/>
      <c r="B554" s="451"/>
      <c r="E554" s="450"/>
      <c r="G554" s="450"/>
      <c r="H554" s="450"/>
    </row>
    <row r="555" spans="1:8" s="423" customFormat="1">
      <c r="A555" s="448"/>
      <c r="B555" s="451"/>
      <c r="E555" s="450"/>
      <c r="G555" s="450"/>
      <c r="H555" s="450"/>
    </row>
    <row r="556" spans="1:8" s="423" customFormat="1">
      <c r="A556" s="448"/>
      <c r="B556" s="451"/>
      <c r="E556" s="450"/>
      <c r="G556" s="450"/>
      <c r="H556" s="450"/>
    </row>
    <row r="557" spans="1:8" s="423" customFormat="1">
      <c r="A557" s="448"/>
      <c r="B557" s="451"/>
      <c r="E557" s="450"/>
      <c r="G557" s="450"/>
      <c r="H557" s="450"/>
    </row>
    <row r="558" spans="1:8" s="423" customFormat="1">
      <c r="A558" s="448"/>
      <c r="B558" s="451"/>
      <c r="E558" s="450"/>
      <c r="G558" s="450"/>
      <c r="H558" s="450"/>
    </row>
    <row r="559" spans="1:8" s="423" customFormat="1">
      <c r="A559" s="448"/>
      <c r="B559" s="451"/>
      <c r="E559" s="450"/>
      <c r="G559" s="450"/>
      <c r="H559" s="450"/>
    </row>
    <row r="560" spans="1:8" s="423" customFormat="1">
      <c r="A560" s="448"/>
      <c r="B560" s="451"/>
      <c r="E560" s="450"/>
      <c r="G560" s="450"/>
      <c r="H560" s="450"/>
    </row>
    <row r="561" spans="1:8" s="423" customFormat="1">
      <c r="A561" s="448"/>
      <c r="B561" s="451"/>
      <c r="E561" s="450"/>
      <c r="G561" s="450"/>
      <c r="H561" s="450"/>
    </row>
    <row r="562" spans="1:8" s="423" customFormat="1">
      <c r="A562" s="448"/>
      <c r="B562" s="451"/>
      <c r="E562" s="450"/>
      <c r="G562" s="450"/>
      <c r="H562" s="450"/>
    </row>
    <row r="563" spans="1:8" s="423" customFormat="1">
      <c r="A563" s="448"/>
      <c r="B563" s="451"/>
      <c r="E563" s="450"/>
      <c r="G563" s="450"/>
      <c r="H563" s="450"/>
    </row>
    <row r="564" spans="1:8" s="423" customFormat="1">
      <c r="A564" s="448"/>
      <c r="B564" s="451"/>
      <c r="E564" s="450"/>
      <c r="G564" s="450"/>
      <c r="H564" s="450"/>
    </row>
    <row r="565" spans="1:8" s="423" customFormat="1">
      <c r="A565" s="448"/>
      <c r="B565" s="451"/>
      <c r="E565" s="450"/>
      <c r="G565" s="450"/>
      <c r="H565" s="450"/>
    </row>
    <row r="566" spans="1:8" s="423" customFormat="1">
      <c r="A566" s="448"/>
      <c r="B566" s="451"/>
      <c r="E566" s="450"/>
      <c r="G566" s="450"/>
      <c r="H566" s="450"/>
    </row>
    <row r="567" spans="1:8" s="423" customFormat="1">
      <c r="A567" s="448"/>
      <c r="B567" s="451"/>
      <c r="E567" s="450"/>
      <c r="G567" s="450"/>
      <c r="H567" s="450"/>
    </row>
    <row r="568" spans="1:8" s="423" customFormat="1">
      <c r="A568" s="448"/>
      <c r="B568" s="451"/>
      <c r="E568" s="450"/>
      <c r="G568" s="450"/>
      <c r="H568" s="450"/>
    </row>
    <row r="569" spans="1:8" s="423" customFormat="1">
      <c r="A569" s="448"/>
      <c r="B569" s="451"/>
      <c r="E569" s="450"/>
      <c r="G569" s="450"/>
      <c r="H569" s="450"/>
    </row>
    <row r="570" spans="1:8" s="423" customFormat="1">
      <c r="A570" s="448"/>
      <c r="B570" s="451"/>
      <c r="E570" s="450"/>
      <c r="G570" s="450"/>
      <c r="H570" s="450"/>
    </row>
    <row r="571" spans="1:8" s="423" customFormat="1">
      <c r="A571" s="448"/>
      <c r="B571" s="451"/>
      <c r="E571" s="450"/>
      <c r="G571" s="450"/>
      <c r="H571" s="450"/>
    </row>
    <row r="572" spans="1:8" s="423" customFormat="1">
      <c r="A572" s="448"/>
      <c r="B572" s="451"/>
      <c r="E572" s="450"/>
      <c r="G572" s="450"/>
      <c r="H572" s="450"/>
    </row>
    <row r="573" spans="1:8" s="423" customFormat="1">
      <c r="A573" s="448"/>
      <c r="B573" s="451"/>
      <c r="E573" s="450"/>
      <c r="G573" s="450"/>
      <c r="H573" s="450"/>
    </row>
    <row r="574" spans="1:8" s="423" customFormat="1">
      <c r="A574" s="448"/>
      <c r="B574" s="451"/>
      <c r="E574" s="450"/>
      <c r="G574" s="450"/>
      <c r="H574" s="450"/>
    </row>
    <row r="575" spans="1:8" s="423" customFormat="1">
      <c r="A575" s="448"/>
      <c r="B575" s="451"/>
      <c r="E575" s="450"/>
      <c r="G575" s="450"/>
      <c r="H575" s="450"/>
    </row>
    <row r="576" spans="1:8" s="423" customFormat="1">
      <c r="A576" s="448"/>
      <c r="B576" s="451"/>
      <c r="E576" s="450"/>
      <c r="G576" s="450"/>
      <c r="H576" s="450"/>
    </row>
    <row r="577" spans="1:8" s="423" customFormat="1">
      <c r="A577" s="448"/>
      <c r="B577" s="451"/>
      <c r="E577" s="450"/>
      <c r="G577" s="450"/>
      <c r="H577" s="450"/>
    </row>
    <row r="578" spans="1:8" s="423" customFormat="1">
      <c r="A578" s="448"/>
      <c r="B578" s="451"/>
      <c r="E578" s="450"/>
      <c r="G578" s="450"/>
      <c r="H578" s="450"/>
    </row>
    <row r="579" spans="1:8" s="423" customFormat="1">
      <c r="A579" s="448"/>
      <c r="B579" s="451"/>
      <c r="E579" s="450"/>
      <c r="G579" s="450"/>
      <c r="H579" s="450"/>
    </row>
    <row r="580" spans="1:8" s="423" customFormat="1">
      <c r="A580" s="448"/>
      <c r="B580" s="451"/>
      <c r="E580" s="450"/>
      <c r="G580" s="450"/>
      <c r="H580" s="450"/>
    </row>
    <row r="581" spans="1:8" s="423" customFormat="1">
      <c r="A581" s="448"/>
      <c r="B581" s="451"/>
      <c r="E581" s="450"/>
      <c r="G581" s="450"/>
      <c r="H581" s="450"/>
    </row>
    <row r="582" spans="1:8" s="423" customFormat="1">
      <c r="A582" s="448"/>
      <c r="B582" s="451"/>
      <c r="E582" s="450"/>
      <c r="G582" s="450"/>
      <c r="H582" s="450"/>
    </row>
    <row r="583" spans="1:8" s="423" customFormat="1">
      <c r="A583" s="448"/>
      <c r="B583" s="451"/>
      <c r="E583" s="450"/>
      <c r="G583" s="450"/>
      <c r="H583" s="450"/>
    </row>
    <row r="584" spans="1:8" s="423" customFormat="1">
      <c r="A584" s="448"/>
      <c r="B584" s="451"/>
      <c r="E584" s="450"/>
      <c r="G584" s="450"/>
      <c r="H584" s="450"/>
    </row>
    <row r="585" spans="1:8" s="423" customFormat="1">
      <c r="A585" s="448"/>
      <c r="B585" s="451"/>
      <c r="E585" s="450"/>
      <c r="G585" s="450"/>
      <c r="H585" s="450"/>
    </row>
    <row r="586" spans="1:8" s="423" customFormat="1">
      <c r="A586" s="448"/>
      <c r="B586" s="451"/>
      <c r="E586" s="450"/>
      <c r="G586" s="450"/>
      <c r="H586" s="450"/>
    </row>
    <row r="587" spans="1:8" s="423" customFormat="1">
      <c r="A587" s="448"/>
      <c r="B587" s="451"/>
      <c r="E587" s="450"/>
      <c r="G587" s="450"/>
      <c r="H587" s="450"/>
    </row>
    <row r="588" spans="1:8" s="423" customFormat="1">
      <c r="A588" s="448"/>
      <c r="B588" s="451"/>
      <c r="E588" s="450"/>
      <c r="G588" s="450"/>
      <c r="H588" s="450"/>
    </row>
    <row r="589" spans="1:8" s="423" customFormat="1">
      <c r="A589" s="448"/>
      <c r="B589" s="451"/>
      <c r="E589" s="450"/>
      <c r="G589" s="450"/>
      <c r="H589" s="450"/>
    </row>
    <row r="590" spans="1:8" s="423" customFormat="1">
      <c r="A590" s="448"/>
      <c r="B590" s="451"/>
      <c r="E590" s="450"/>
      <c r="G590" s="450"/>
      <c r="H590" s="450"/>
    </row>
    <row r="591" spans="1:8" s="423" customFormat="1">
      <c r="A591" s="448"/>
      <c r="B591" s="451"/>
      <c r="E591" s="450"/>
      <c r="G591" s="450"/>
      <c r="H591" s="450"/>
    </row>
    <row r="592" spans="1:8" s="423" customFormat="1">
      <c r="A592" s="448"/>
      <c r="B592" s="451"/>
      <c r="E592" s="450"/>
      <c r="G592" s="450"/>
      <c r="H592" s="450"/>
    </row>
    <row r="593" spans="1:8" s="423" customFormat="1">
      <c r="A593" s="448"/>
      <c r="B593" s="451"/>
      <c r="E593" s="450"/>
      <c r="G593" s="450"/>
      <c r="H593" s="450"/>
    </row>
    <row r="594" spans="1:8" s="423" customFormat="1">
      <c r="A594" s="448"/>
      <c r="B594" s="451"/>
      <c r="E594" s="450"/>
      <c r="G594" s="450"/>
      <c r="H594" s="450"/>
    </row>
    <row r="595" spans="1:8" s="423" customFormat="1">
      <c r="A595" s="448"/>
      <c r="B595" s="451"/>
      <c r="E595" s="450"/>
      <c r="G595" s="450"/>
      <c r="H595" s="450"/>
    </row>
    <row r="596" spans="1:8" s="423" customFormat="1">
      <c r="A596" s="448"/>
      <c r="B596" s="451"/>
      <c r="E596" s="450"/>
      <c r="G596" s="450"/>
      <c r="H596" s="450"/>
    </row>
    <row r="597" spans="1:8" s="423" customFormat="1">
      <c r="A597" s="448"/>
      <c r="B597" s="451"/>
      <c r="E597" s="450"/>
      <c r="G597" s="450"/>
      <c r="H597" s="450"/>
    </row>
    <row r="598" spans="1:8" s="423" customFormat="1">
      <c r="A598" s="448"/>
      <c r="B598" s="451"/>
      <c r="E598" s="450"/>
      <c r="G598" s="450"/>
      <c r="H598" s="450"/>
    </row>
    <row r="599" spans="1:8" s="423" customFormat="1">
      <c r="A599" s="448"/>
      <c r="B599" s="451"/>
      <c r="E599" s="450"/>
      <c r="G599" s="450"/>
      <c r="H599" s="450"/>
    </row>
    <row r="600" spans="1:8" s="423" customFormat="1">
      <c r="A600" s="448"/>
      <c r="B600" s="451"/>
      <c r="E600" s="450"/>
      <c r="G600" s="450"/>
      <c r="H600" s="450"/>
    </row>
    <row r="601" spans="1:8" s="423" customFormat="1">
      <c r="A601" s="448"/>
      <c r="B601" s="451"/>
      <c r="E601" s="450"/>
      <c r="G601" s="450"/>
      <c r="H601" s="450"/>
    </row>
    <row r="602" spans="1:8" s="423" customFormat="1">
      <c r="A602" s="448"/>
      <c r="B602" s="451"/>
      <c r="E602" s="450"/>
      <c r="G602" s="450"/>
      <c r="H602" s="450"/>
    </row>
    <row r="603" spans="1:8" s="423" customFormat="1">
      <c r="A603" s="448"/>
      <c r="B603" s="451"/>
      <c r="E603" s="450"/>
      <c r="G603" s="450"/>
      <c r="H603" s="450"/>
    </row>
    <row r="604" spans="1:8" s="423" customFormat="1">
      <c r="A604" s="448"/>
      <c r="B604" s="451"/>
      <c r="E604" s="450"/>
      <c r="G604" s="450"/>
      <c r="H604" s="450"/>
    </row>
    <row r="605" spans="1:8" s="423" customFormat="1">
      <c r="A605" s="448"/>
      <c r="B605" s="451"/>
      <c r="E605" s="450"/>
      <c r="G605" s="450"/>
      <c r="H605" s="450"/>
    </row>
    <row r="606" spans="1:8" s="423" customFormat="1">
      <c r="A606" s="448"/>
      <c r="B606" s="451"/>
      <c r="E606" s="450"/>
      <c r="G606" s="450"/>
      <c r="H606" s="450"/>
    </row>
    <row r="607" spans="1:8" s="423" customFormat="1">
      <c r="A607" s="448"/>
      <c r="B607" s="451"/>
      <c r="E607" s="450"/>
      <c r="G607" s="450"/>
      <c r="H607" s="450"/>
    </row>
    <row r="608" spans="1:8" s="423" customFormat="1">
      <c r="A608" s="448"/>
      <c r="B608" s="451"/>
      <c r="E608" s="450"/>
      <c r="G608" s="450"/>
      <c r="H608" s="450"/>
    </row>
    <row r="609" spans="1:8" s="423" customFormat="1">
      <c r="A609" s="448"/>
      <c r="B609" s="451"/>
      <c r="E609" s="450"/>
      <c r="G609" s="450"/>
      <c r="H609" s="450"/>
    </row>
    <row r="610" spans="1:8" s="423" customFormat="1">
      <c r="A610" s="448"/>
      <c r="B610" s="451"/>
      <c r="E610" s="450"/>
      <c r="G610" s="450"/>
      <c r="H610" s="450"/>
    </row>
    <row r="611" spans="1:8" s="423" customFormat="1">
      <c r="A611" s="448"/>
      <c r="B611" s="451"/>
      <c r="E611" s="450"/>
      <c r="G611" s="450"/>
      <c r="H611" s="450"/>
    </row>
    <row r="612" spans="1:8" s="423" customFormat="1">
      <c r="A612" s="448"/>
      <c r="B612" s="451"/>
      <c r="E612" s="450"/>
      <c r="G612" s="450"/>
      <c r="H612" s="450"/>
    </row>
    <row r="613" spans="1:8" s="423" customFormat="1">
      <c r="A613" s="448"/>
      <c r="B613" s="451"/>
      <c r="E613" s="450"/>
      <c r="G613" s="450"/>
      <c r="H613" s="450"/>
    </row>
    <row r="614" spans="1:8" s="423" customFormat="1">
      <c r="A614" s="448"/>
      <c r="B614" s="451"/>
      <c r="E614" s="450"/>
      <c r="G614" s="450"/>
      <c r="H614" s="450"/>
    </row>
    <row r="615" spans="1:8" s="423" customFormat="1">
      <c r="A615" s="448"/>
      <c r="B615" s="451"/>
      <c r="E615" s="450"/>
      <c r="G615" s="450"/>
      <c r="H615" s="450"/>
    </row>
    <row r="616" spans="1:8" s="423" customFormat="1">
      <c r="A616" s="448"/>
      <c r="B616" s="451"/>
      <c r="E616" s="450"/>
      <c r="G616" s="450"/>
      <c r="H616" s="450"/>
    </row>
    <row r="617" spans="1:8" s="423" customFormat="1">
      <c r="A617" s="448"/>
      <c r="B617" s="451"/>
      <c r="E617" s="450"/>
      <c r="G617" s="450"/>
      <c r="H617" s="450"/>
    </row>
    <row r="618" spans="1:8" s="423" customFormat="1">
      <c r="A618" s="448"/>
      <c r="B618" s="451"/>
      <c r="E618" s="450"/>
      <c r="G618" s="450"/>
      <c r="H618" s="450"/>
    </row>
    <row r="619" spans="1:8" s="423" customFormat="1">
      <c r="A619" s="448"/>
      <c r="B619" s="451"/>
      <c r="E619" s="450"/>
      <c r="G619" s="450"/>
      <c r="H619" s="450"/>
    </row>
    <row r="620" spans="1:8" s="423" customFormat="1">
      <c r="A620" s="448"/>
      <c r="B620" s="451"/>
      <c r="E620" s="450"/>
      <c r="G620" s="450"/>
      <c r="H620" s="450"/>
    </row>
    <row r="621" spans="1:8" s="423" customFormat="1">
      <c r="A621" s="448"/>
      <c r="B621" s="451"/>
      <c r="E621" s="450"/>
      <c r="G621" s="450"/>
      <c r="H621" s="450"/>
    </row>
    <row r="622" spans="1:8" s="423" customFormat="1">
      <c r="A622" s="448"/>
      <c r="B622" s="451"/>
      <c r="E622" s="450"/>
      <c r="G622" s="450"/>
      <c r="H622" s="450"/>
    </row>
    <row r="623" spans="1:8" s="423" customFormat="1">
      <c r="A623" s="448"/>
      <c r="B623" s="451"/>
      <c r="E623" s="450"/>
      <c r="G623" s="450"/>
      <c r="H623" s="450"/>
    </row>
    <row r="624" spans="1:8" s="423" customFormat="1">
      <c r="A624" s="448"/>
      <c r="B624" s="451"/>
      <c r="E624" s="450"/>
      <c r="G624" s="450"/>
      <c r="H624" s="450"/>
    </row>
    <row r="625" spans="1:8" s="423" customFormat="1">
      <c r="A625" s="448"/>
      <c r="B625" s="451"/>
      <c r="E625" s="450"/>
      <c r="G625" s="450"/>
      <c r="H625" s="450"/>
    </row>
    <row r="626" spans="1:8" s="423" customFormat="1">
      <c r="A626" s="448"/>
      <c r="B626" s="451"/>
      <c r="E626" s="450"/>
      <c r="G626" s="450"/>
      <c r="H626" s="450"/>
    </row>
    <row r="627" spans="1:8" s="423" customFormat="1">
      <c r="A627" s="448"/>
      <c r="B627" s="451"/>
      <c r="E627" s="450"/>
      <c r="G627" s="450"/>
      <c r="H627" s="450"/>
    </row>
    <row r="628" spans="1:8" s="423" customFormat="1">
      <c r="A628" s="448"/>
      <c r="B628" s="451"/>
      <c r="E628" s="450"/>
      <c r="G628" s="450"/>
      <c r="H628" s="450"/>
    </row>
    <row r="629" spans="1:8" s="423" customFormat="1">
      <c r="A629" s="448"/>
      <c r="B629" s="451"/>
      <c r="E629" s="450"/>
      <c r="G629" s="450"/>
      <c r="H629" s="450"/>
    </row>
    <row r="630" spans="1:8" s="423" customFormat="1">
      <c r="A630" s="448"/>
      <c r="B630" s="451"/>
      <c r="E630" s="450"/>
      <c r="G630" s="450"/>
      <c r="H630" s="450"/>
    </row>
    <row r="631" spans="1:8" s="423" customFormat="1">
      <c r="A631" s="448"/>
      <c r="B631" s="451"/>
      <c r="E631" s="450"/>
      <c r="G631" s="450"/>
      <c r="H631" s="450"/>
    </row>
    <row r="632" spans="1:8" s="423" customFormat="1">
      <c r="A632" s="448"/>
      <c r="B632" s="451"/>
      <c r="E632" s="450"/>
      <c r="G632" s="450"/>
      <c r="H632" s="450"/>
    </row>
    <row r="633" spans="1:8" s="423" customFormat="1">
      <c r="A633" s="448"/>
      <c r="B633" s="451"/>
      <c r="E633" s="450"/>
      <c r="G633" s="450"/>
      <c r="H633" s="450"/>
    </row>
    <row r="634" spans="1:8" s="423" customFormat="1">
      <c r="A634" s="448"/>
      <c r="B634" s="451"/>
      <c r="E634" s="450"/>
      <c r="G634" s="450"/>
      <c r="H634" s="450"/>
    </row>
    <row r="635" spans="1:8" s="423" customFormat="1">
      <c r="A635" s="448"/>
      <c r="B635" s="451"/>
      <c r="E635" s="450"/>
      <c r="G635" s="450"/>
      <c r="H635" s="450"/>
    </row>
    <row r="636" spans="1:8" s="423" customFormat="1">
      <c r="A636" s="448"/>
      <c r="B636" s="451"/>
      <c r="E636" s="450"/>
      <c r="G636" s="450"/>
      <c r="H636" s="450"/>
    </row>
    <row r="637" spans="1:8" s="423" customFormat="1">
      <c r="A637" s="448"/>
      <c r="B637" s="451"/>
      <c r="E637" s="450"/>
      <c r="G637" s="450"/>
      <c r="H637" s="450"/>
    </row>
    <row r="638" spans="1:8" s="423" customFormat="1">
      <c r="A638" s="448"/>
      <c r="B638" s="451"/>
      <c r="E638" s="450"/>
      <c r="G638" s="450"/>
      <c r="H638" s="450"/>
    </row>
    <row r="639" spans="1:8" s="423" customFormat="1">
      <c r="A639" s="448"/>
      <c r="B639" s="451"/>
      <c r="E639" s="450"/>
      <c r="G639" s="450"/>
      <c r="H639" s="450"/>
    </row>
    <row r="640" spans="1:8" s="423" customFormat="1">
      <c r="A640" s="448"/>
      <c r="B640" s="451"/>
      <c r="E640" s="450"/>
      <c r="G640" s="450"/>
      <c r="H640" s="450"/>
    </row>
    <row r="641" spans="1:8" s="423" customFormat="1">
      <c r="A641" s="448"/>
      <c r="B641" s="451"/>
      <c r="E641" s="450"/>
      <c r="G641" s="450"/>
      <c r="H641" s="450"/>
    </row>
    <row r="642" spans="1:8" s="423" customFormat="1">
      <c r="A642" s="448"/>
      <c r="B642" s="451"/>
      <c r="E642" s="450"/>
      <c r="G642" s="450"/>
      <c r="H642" s="450"/>
    </row>
    <row r="643" spans="1:8" s="423" customFormat="1">
      <c r="A643" s="448"/>
      <c r="B643" s="451"/>
      <c r="E643" s="450"/>
      <c r="G643" s="450"/>
      <c r="H643" s="450"/>
    </row>
    <row r="644" spans="1:8" s="423" customFormat="1">
      <c r="A644" s="448"/>
      <c r="B644" s="451"/>
      <c r="E644" s="450"/>
      <c r="G644" s="450"/>
      <c r="H644" s="450"/>
    </row>
    <row r="645" spans="1:8" s="423" customFormat="1">
      <c r="A645" s="448"/>
      <c r="B645" s="451"/>
      <c r="E645" s="450"/>
      <c r="G645" s="450"/>
      <c r="H645" s="450"/>
    </row>
    <row r="646" spans="1:8" s="423" customFormat="1">
      <c r="A646" s="448"/>
      <c r="B646" s="451"/>
      <c r="E646" s="450"/>
      <c r="G646" s="450"/>
      <c r="H646" s="450"/>
    </row>
    <row r="647" spans="1:8" s="423" customFormat="1">
      <c r="A647" s="448"/>
      <c r="B647" s="451"/>
      <c r="E647" s="450"/>
      <c r="G647" s="450"/>
      <c r="H647" s="450"/>
    </row>
    <row r="648" spans="1:8" s="423" customFormat="1">
      <c r="A648" s="448"/>
      <c r="B648" s="451"/>
      <c r="E648" s="450"/>
      <c r="G648" s="450"/>
      <c r="H648" s="450"/>
    </row>
    <row r="649" spans="1:8" s="423" customFormat="1">
      <c r="A649" s="448"/>
      <c r="B649" s="451"/>
      <c r="E649" s="450"/>
      <c r="G649" s="450"/>
      <c r="H649" s="450"/>
    </row>
    <row r="650" spans="1:8" s="423" customFormat="1">
      <c r="A650" s="448"/>
      <c r="B650" s="451"/>
      <c r="E650" s="450"/>
      <c r="G650" s="450"/>
      <c r="H650" s="450"/>
    </row>
    <row r="651" spans="1:8" s="423" customFormat="1">
      <c r="A651" s="448"/>
      <c r="B651" s="451"/>
      <c r="E651" s="450"/>
      <c r="G651" s="450"/>
      <c r="H651" s="450"/>
    </row>
    <row r="652" spans="1:8" s="423" customFormat="1">
      <c r="A652" s="448"/>
      <c r="B652" s="451"/>
      <c r="E652" s="450"/>
      <c r="G652" s="450"/>
      <c r="H652" s="450"/>
    </row>
    <row r="653" spans="1:8" s="423" customFormat="1">
      <c r="A653" s="448"/>
      <c r="B653" s="451"/>
      <c r="E653" s="450"/>
      <c r="G653" s="450"/>
      <c r="H653" s="450"/>
    </row>
    <row r="654" spans="1:8" s="423" customFormat="1">
      <c r="A654" s="448"/>
      <c r="B654" s="451"/>
      <c r="E654" s="450"/>
      <c r="G654" s="450"/>
      <c r="H654" s="450"/>
    </row>
    <row r="655" spans="1:8" s="423" customFormat="1">
      <c r="A655" s="448"/>
      <c r="B655" s="451"/>
      <c r="E655" s="450"/>
      <c r="G655" s="450"/>
      <c r="H655" s="450"/>
    </row>
    <row r="656" spans="1:8" s="423" customFormat="1">
      <c r="A656" s="448"/>
      <c r="B656" s="451"/>
      <c r="E656" s="450"/>
      <c r="G656" s="450"/>
      <c r="H656" s="450"/>
    </row>
    <row r="657" spans="1:8" s="423" customFormat="1">
      <c r="A657" s="448"/>
      <c r="B657" s="451"/>
      <c r="E657" s="450"/>
      <c r="G657" s="450"/>
      <c r="H657" s="450"/>
    </row>
    <row r="658" spans="1:8" s="423" customFormat="1">
      <c r="A658" s="448"/>
      <c r="B658" s="451"/>
      <c r="E658" s="450"/>
      <c r="G658" s="450"/>
      <c r="H658" s="450"/>
    </row>
    <row r="659" spans="1:8" s="423" customFormat="1">
      <c r="A659" s="448"/>
      <c r="B659" s="451"/>
      <c r="E659" s="450"/>
      <c r="G659" s="450"/>
      <c r="H659" s="450"/>
    </row>
    <row r="660" spans="1:8" s="423" customFormat="1">
      <c r="A660" s="448"/>
      <c r="B660" s="451"/>
      <c r="E660" s="450"/>
      <c r="G660" s="450"/>
      <c r="H660" s="450"/>
    </row>
    <row r="661" spans="1:8" s="423" customFormat="1">
      <c r="A661" s="448"/>
      <c r="B661" s="451"/>
      <c r="E661" s="450"/>
      <c r="G661" s="450"/>
      <c r="H661" s="450"/>
    </row>
    <row r="662" spans="1:8" s="423" customFormat="1">
      <c r="A662" s="448"/>
      <c r="B662" s="451"/>
      <c r="E662" s="450"/>
      <c r="G662" s="450"/>
      <c r="H662" s="450"/>
    </row>
    <row r="663" spans="1:8" s="423" customFormat="1">
      <c r="A663" s="448"/>
      <c r="B663" s="451"/>
      <c r="E663" s="450"/>
      <c r="G663" s="450"/>
      <c r="H663" s="450"/>
    </row>
    <row r="664" spans="1:8" s="423" customFormat="1">
      <c r="A664" s="448"/>
      <c r="B664" s="451"/>
      <c r="E664" s="450"/>
      <c r="G664" s="450"/>
      <c r="H664" s="450"/>
    </row>
    <row r="665" spans="1:8" s="423" customFormat="1">
      <c r="A665" s="448"/>
      <c r="B665" s="451"/>
      <c r="E665" s="450"/>
      <c r="G665" s="450"/>
      <c r="H665" s="450"/>
    </row>
    <row r="666" spans="1:8" s="423" customFormat="1">
      <c r="A666" s="448"/>
      <c r="B666" s="451"/>
      <c r="E666" s="450"/>
      <c r="G666" s="450"/>
      <c r="H666" s="450"/>
    </row>
    <row r="667" spans="1:8" s="423" customFormat="1">
      <c r="A667" s="448"/>
      <c r="B667" s="451"/>
      <c r="E667" s="450"/>
      <c r="G667" s="450"/>
      <c r="H667" s="450"/>
    </row>
    <row r="668" spans="1:8" s="423" customFormat="1">
      <c r="A668" s="448"/>
      <c r="B668" s="451"/>
      <c r="E668" s="450"/>
      <c r="G668" s="450"/>
      <c r="H668" s="450"/>
    </row>
    <row r="669" spans="1:8" s="423" customFormat="1">
      <c r="A669" s="448"/>
      <c r="B669" s="451"/>
      <c r="E669" s="450"/>
      <c r="G669" s="450"/>
      <c r="H669" s="450"/>
    </row>
    <row r="670" spans="1:8" s="423" customFormat="1">
      <c r="A670" s="448"/>
      <c r="B670" s="451"/>
      <c r="E670" s="450"/>
      <c r="G670" s="450"/>
      <c r="H670" s="450"/>
    </row>
    <row r="671" spans="1:8" s="423" customFormat="1">
      <c r="A671" s="448"/>
      <c r="B671" s="451"/>
      <c r="E671" s="450"/>
      <c r="G671" s="450"/>
      <c r="H671" s="450"/>
    </row>
    <row r="672" spans="1:8" s="423" customFormat="1">
      <c r="A672" s="448"/>
      <c r="B672" s="451"/>
      <c r="E672" s="450"/>
      <c r="G672" s="450"/>
      <c r="H672" s="450"/>
    </row>
    <row r="673" spans="1:8" s="423" customFormat="1">
      <c r="A673" s="448"/>
      <c r="B673" s="451"/>
      <c r="E673" s="450"/>
      <c r="G673" s="450"/>
      <c r="H673" s="450"/>
    </row>
    <row r="674" spans="1:8" s="423" customFormat="1">
      <c r="A674" s="448"/>
      <c r="B674" s="451"/>
      <c r="E674" s="450"/>
      <c r="G674" s="450"/>
      <c r="H674" s="450"/>
    </row>
    <row r="675" spans="1:8" s="423" customFormat="1">
      <c r="A675" s="448"/>
      <c r="B675" s="451"/>
      <c r="E675" s="450"/>
      <c r="G675" s="450"/>
      <c r="H675" s="450"/>
    </row>
    <row r="676" spans="1:8" s="423" customFormat="1">
      <c r="A676" s="448"/>
      <c r="B676" s="451"/>
      <c r="E676" s="450"/>
      <c r="G676" s="450"/>
      <c r="H676" s="450"/>
    </row>
    <row r="677" spans="1:8" s="423" customFormat="1">
      <c r="A677" s="448"/>
      <c r="B677" s="451"/>
      <c r="E677" s="450"/>
      <c r="G677" s="450"/>
      <c r="H677" s="450"/>
    </row>
    <row r="678" spans="1:8" s="423" customFormat="1">
      <c r="A678" s="448"/>
      <c r="B678" s="451"/>
      <c r="E678" s="450"/>
      <c r="G678" s="450"/>
      <c r="H678" s="450"/>
    </row>
    <row r="679" spans="1:8" s="423" customFormat="1">
      <c r="A679" s="448"/>
      <c r="B679" s="451"/>
      <c r="E679" s="450"/>
      <c r="G679" s="450"/>
      <c r="H679" s="450"/>
    </row>
    <row r="680" spans="1:8" s="423" customFormat="1">
      <c r="A680" s="448"/>
      <c r="B680" s="451"/>
      <c r="E680" s="450"/>
      <c r="G680" s="450"/>
      <c r="H680" s="450"/>
    </row>
    <row r="681" spans="1:8" s="423" customFormat="1">
      <c r="A681" s="448"/>
      <c r="B681" s="451"/>
      <c r="E681" s="450"/>
      <c r="G681" s="450"/>
      <c r="H681" s="450"/>
    </row>
    <row r="682" spans="1:8" s="423" customFormat="1">
      <c r="A682" s="448"/>
      <c r="B682" s="451"/>
      <c r="E682" s="450"/>
      <c r="G682" s="450"/>
      <c r="H682" s="450"/>
    </row>
    <row r="683" spans="1:8" s="423" customFormat="1">
      <c r="A683" s="448"/>
      <c r="B683" s="451"/>
      <c r="E683" s="450"/>
      <c r="G683" s="450"/>
      <c r="H683" s="450"/>
    </row>
    <row r="684" spans="1:8" s="423" customFormat="1">
      <c r="A684" s="448"/>
      <c r="B684" s="451"/>
      <c r="E684" s="450"/>
      <c r="G684" s="450"/>
      <c r="H684" s="450"/>
    </row>
    <row r="685" spans="1:8" s="423" customFormat="1">
      <c r="A685" s="448"/>
      <c r="B685" s="451"/>
      <c r="E685" s="450"/>
      <c r="G685" s="450"/>
      <c r="H685" s="450"/>
    </row>
    <row r="686" spans="1:8" s="423" customFormat="1">
      <c r="A686" s="448"/>
      <c r="B686" s="451"/>
      <c r="E686" s="450"/>
      <c r="G686" s="450"/>
      <c r="H686" s="450"/>
    </row>
    <row r="687" spans="1:8" s="423" customFormat="1">
      <c r="A687" s="448"/>
      <c r="B687" s="451"/>
      <c r="E687" s="450"/>
      <c r="G687" s="450"/>
      <c r="H687" s="450"/>
    </row>
    <row r="688" spans="1:8" s="423" customFormat="1">
      <c r="A688" s="448"/>
      <c r="B688" s="451"/>
      <c r="E688" s="450"/>
      <c r="G688" s="450"/>
      <c r="H688" s="450"/>
    </row>
    <row r="689" spans="1:8" s="423" customFormat="1">
      <c r="A689" s="448"/>
      <c r="B689" s="451"/>
      <c r="E689" s="450"/>
      <c r="G689" s="450"/>
      <c r="H689" s="450"/>
    </row>
    <row r="690" spans="1:8" s="423" customFormat="1">
      <c r="A690" s="448"/>
      <c r="B690" s="451"/>
      <c r="E690" s="450"/>
      <c r="G690" s="450"/>
      <c r="H690" s="450"/>
    </row>
    <row r="691" spans="1:8" s="423" customFormat="1">
      <c r="A691" s="448"/>
      <c r="B691" s="451"/>
      <c r="E691" s="450"/>
      <c r="G691" s="450"/>
      <c r="H691" s="450"/>
    </row>
    <row r="692" spans="1:8" s="423" customFormat="1">
      <c r="A692" s="448"/>
      <c r="B692" s="451"/>
      <c r="E692" s="450"/>
      <c r="G692" s="450"/>
      <c r="H692" s="450"/>
    </row>
    <row r="693" spans="1:8" s="423" customFormat="1">
      <c r="A693" s="448"/>
      <c r="B693" s="451"/>
      <c r="E693" s="450"/>
      <c r="G693" s="450"/>
      <c r="H693" s="450"/>
    </row>
    <row r="694" spans="1:8" s="423" customFormat="1">
      <c r="A694" s="448"/>
      <c r="B694" s="451"/>
      <c r="E694" s="450"/>
      <c r="G694" s="450"/>
      <c r="H694" s="450"/>
    </row>
    <row r="695" spans="1:8" s="423" customFormat="1">
      <c r="A695" s="448"/>
      <c r="B695" s="451"/>
      <c r="E695" s="450"/>
      <c r="G695" s="450"/>
      <c r="H695" s="450"/>
    </row>
    <row r="696" spans="1:8" s="423" customFormat="1">
      <c r="A696" s="448"/>
      <c r="B696" s="451"/>
      <c r="E696" s="450"/>
      <c r="G696" s="450"/>
      <c r="H696" s="450"/>
    </row>
    <row r="697" spans="1:8" s="423" customFormat="1">
      <c r="A697" s="448"/>
      <c r="B697" s="451"/>
      <c r="E697" s="450"/>
      <c r="G697" s="450"/>
      <c r="H697" s="450"/>
    </row>
    <row r="698" spans="1:8" s="423" customFormat="1">
      <c r="A698" s="448"/>
      <c r="B698" s="451"/>
      <c r="E698" s="450"/>
      <c r="G698" s="450"/>
      <c r="H698" s="450"/>
    </row>
    <row r="699" spans="1:8" s="423" customFormat="1">
      <c r="A699" s="448"/>
      <c r="B699" s="451"/>
      <c r="E699" s="450"/>
      <c r="G699" s="450"/>
      <c r="H699" s="450"/>
    </row>
    <row r="700" spans="1:8" s="423" customFormat="1">
      <c r="A700" s="448"/>
      <c r="B700" s="451"/>
      <c r="E700" s="450"/>
      <c r="G700" s="450"/>
      <c r="H700" s="450"/>
    </row>
    <row r="701" spans="1:8" s="423" customFormat="1">
      <c r="A701" s="448"/>
      <c r="B701" s="451"/>
      <c r="E701" s="450"/>
      <c r="G701" s="450"/>
      <c r="H701" s="450"/>
    </row>
    <row r="702" spans="1:8" s="423" customFormat="1">
      <c r="A702" s="448"/>
      <c r="B702" s="451"/>
      <c r="E702" s="450"/>
      <c r="G702" s="450"/>
      <c r="H702" s="450"/>
    </row>
    <row r="703" spans="1:8" s="423" customFormat="1">
      <c r="A703" s="448"/>
      <c r="B703" s="451"/>
      <c r="E703" s="450"/>
      <c r="G703" s="450"/>
      <c r="H703" s="450"/>
    </row>
    <row r="704" spans="1:8" s="423" customFormat="1">
      <c r="A704" s="448"/>
      <c r="B704" s="451"/>
      <c r="E704" s="450"/>
      <c r="G704" s="450"/>
      <c r="H704" s="450"/>
    </row>
    <row r="705" spans="1:8" s="423" customFormat="1">
      <c r="A705" s="448"/>
      <c r="B705" s="451"/>
      <c r="E705" s="450"/>
      <c r="G705" s="450"/>
      <c r="H705" s="450"/>
    </row>
    <row r="706" spans="1:8" s="423" customFormat="1">
      <c r="A706" s="448"/>
      <c r="B706" s="451"/>
      <c r="E706" s="450"/>
      <c r="G706" s="450"/>
      <c r="H706" s="450"/>
    </row>
    <row r="707" spans="1:8" s="423" customFormat="1">
      <c r="A707" s="448"/>
      <c r="B707" s="451"/>
      <c r="E707" s="450"/>
      <c r="G707" s="450"/>
      <c r="H707" s="450"/>
    </row>
    <row r="708" spans="1:8" s="423" customFormat="1">
      <c r="A708" s="448"/>
      <c r="B708" s="451"/>
      <c r="E708" s="450"/>
      <c r="G708" s="450"/>
      <c r="H708" s="450"/>
    </row>
    <row r="709" spans="1:8" s="423" customFormat="1">
      <c r="A709" s="448"/>
      <c r="B709" s="451"/>
      <c r="E709" s="450"/>
      <c r="G709" s="450"/>
      <c r="H709" s="450"/>
    </row>
    <row r="710" spans="1:8" s="423" customFormat="1">
      <c r="A710" s="448"/>
      <c r="B710" s="451"/>
      <c r="E710" s="450"/>
      <c r="G710" s="450"/>
      <c r="H710" s="450"/>
    </row>
    <row r="711" spans="1:8" s="423" customFormat="1">
      <c r="A711" s="448"/>
      <c r="B711" s="451"/>
      <c r="E711" s="450"/>
      <c r="G711" s="450"/>
      <c r="H711" s="450"/>
    </row>
    <row r="712" spans="1:8" s="423" customFormat="1">
      <c r="A712" s="448"/>
      <c r="B712" s="451"/>
      <c r="E712" s="450"/>
      <c r="G712" s="450"/>
      <c r="H712" s="450"/>
    </row>
    <row r="713" spans="1:8" s="423" customFormat="1">
      <c r="A713" s="448"/>
      <c r="B713" s="451"/>
      <c r="E713" s="450"/>
      <c r="G713" s="450"/>
      <c r="H713" s="450"/>
    </row>
    <row r="714" spans="1:8" s="423" customFormat="1">
      <c r="A714" s="448"/>
      <c r="B714" s="451"/>
      <c r="E714" s="450"/>
      <c r="G714" s="450"/>
      <c r="H714" s="450"/>
    </row>
    <row r="715" spans="1:8" s="423" customFormat="1">
      <c r="A715" s="448"/>
      <c r="B715" s="451"/>
      <c r="E715" s="450"/>
      <c r="G715" s="450"/>
      <c r="H715" s="450"/>
    </row>
    <row r="716" spans="1:8" s="423" customFormat="1">
      <c r="A716" s="448"/>
      <c r="B716" s="451"/>
      <c r="E716" s="450"/>
      <c r="G716" s="450"/>
      <c r="H716" s="450"/>
    </row>
    <row r="717" spans="1:8" s="423" customFormat="1">
      <c r="A717" s="448"/>
      <c r="B717" s="451"/>
      <c r="E717" s="450"/>
      <c r="G717" s="450"/>
      <c r="H717" s="450"/>
    </row>
    <row r="718" spans="1:8" s="423" customFormat="1">
      <c r="A718" s="448"/>
      <c r="B718" s="451"/>
      <c r="E718" s="450"/>
      <c r="G718" s="450"/>
      <c r="H718" s="450"/>
    </row>
    <row r="719" spans="1:8" s="423" customFormat="1">
      <c r="A719" s="448"/>
      <c r="B719" s="451"/>
      <c r="E719" s="450"/>
      <c r="G719" s="450"/>
      <c r="H719" s="450"/>
    </row>
    <row r="720" spans="1:8" s="423" customFormat="1">
      <c r="A720" s="448"/>
      <c r="B720" s="451"/>
      <c r="E720" s="450"/>
      <c r="G720" s="450"/>
      <c r="H720" s="450"/>
    </row>
    <row r="721" spans="1:8" s="423" customFormat="1">
      <c r="A721" s="448"/>
      <c r="B721" s="451"/>
      <c r="E721" s="450"/>
      <c r="G721" s="450"/>
      <c r="H721" s="450"/>
    </row>
    <row r="722" spans="1:8" s="423" customFormat="1">
      <c r="A722" s="448"/>
      <c r="B722" s="451"/>
      <c r="E722" s="450"/>
      <c r="G722" s="450"/>
      <c r="H722" s="450"/>
    </row>
    <row r="723" spans="1:8" s="423" customFormat="1">
      <c r="A723" s="448"/>
      <c r="B723" s="451"/>
      <c r="E723" s="450"/>
      <c r="G723" s="450"/>
      <c r="H723" s="450"/>
    </row>
    <row r="724" spans="1:8" s="423" customFormat="1">
      <c r="A724" s="448"/>
      <c r="B724" s="451"/>
      <c r="E724" s="450"/>
      <c r="G724" s="450"/>
      <c r="H724" s="450"/>
    </row>
    <row r="725" spans="1:8" s="423" customFormat="1">
      <c r="A725" s="448"/>
      <c r="B725" s="451"/>
      <c r="E725" s="450"/>
      <c r="G725" s="450"/>
      <c r="H725" s="450"/>
    </row>
    <row r="726" spans="1:8" s="423" customFormat="1">
      <c r="A726" s="448"/>
      <c r="B726" s="451"/>
      <c r="E726" s="450"/>
      <c r="G726" s="450"/>
      <c r="H726" s="450"/>
    </row>
    <row r="727" spans="1:8" s="423" customFormat="1">
      <c r="A727" s="448"/>
      <c r="B727" s="451"/>
      <c r="E727" s="450"/>
      <c r="G727" s="450"/>
      <c r="H727" s="450"/>
    </row>
    <row r="728" spans="1:8" s="423" customFormat="1">
      <c r="A728" s="448"/>
      <c r="B728" s="451"/>
      <c r="E728" s="450"/>
      <c r="G728" s="450"/>
      <c r="H728" s="450"/>
    </row>
    <row r="729" spans="1:8" s="423" customFormat="1">
      <c r="A729" s="448"/>
      <c r="B729" s="451"/>
      <c r="E729" s="450"/>
      <c r="G729" s="450"/>
      <c r="H729" s="450"/>
    </row>
    <row r="730" spans="1:8" s="423" customFormat="1">
      <c r="A730" s="448"/>
      <c r="B730" s="451"/>
      <c r="E730" s="450"/>
      <c r="G730" s="450"/>
      <c r="H730" s="450"/>
    </row>
    <row r="731" spans="1:8" s="423" customFormat="1">
      <c r="A731" s="448"/>
      <c r="B731" s="451"/>
      <c r="E731" s="450"/>
      <c r="G731" s="450"/>
      <c r="H731" s="450"/>
    </row>
    <row r="732" spans="1:8" s="423" customFormat="1">
      <c r="A732" s="448"/>
      <c r="B732" s="451"/>
      <c r="E732" s="450"/>
      <c r="G732" s="450"/>
      <c r="H732" s="450"/>
    </row>
    <row r="733" spans="1:8" s="423" customFormat="1">
      <c r="A733" s="448"/>
      <c r="B733" s="451"/>
      <c r="E733" s="450"/>
      <c r="G733" s="450"/>
      <c r="H733" s="450"/>
    </row>
    <row r="734" spans="1:8" s="423" customFormat="1">
      <c r="A734" s="448"/>
      <c r="B734" s="451"/>
      <c r="E734" s="450"/>
      <c r="G734" s="450"/>
      <c r="H734" s="450"/>
    </row>
    <row r="735" spans="1:8" s="423" customFormat="1">
      <c r="A735" s="448"/>
      <c r="B735" s="451"/>
      <c r="E735" s="450"/>
      <c r="G735" s="450"/>
      <c r="H735" s="450"/>
    </row>
    <row r="736" spans="1:8" s="423" customFormat="1">
      <c r="A736" s="448"/>
      <c r="B736" s="451"/>
      <c r="E736" s="450"/>
      <c r="G736" s="450"/>
      <c r="H736" s="450"/>
    </row>
    <row r="737" spans="1:8" s="423" customFormat="1">
      <c r="A737" s="448"/>
      <c r="B737" s="451"/>
      <c r="E737" s="450"/>
      <c r="G737" s="450"/>
      <c r="H737" s="450"/>
    </row>
    <row r="738" spans="1:8" s="423" customFormat="1">
      <c r="A738" s="448"/>
      <c r="B738" s="451"/>
      <c r="E738" s="450"/>
      <c r="G738" s="450"/>
      <c r="H738" s="450"/>
    </row>
    <row r="739" spans="1:8" s="423" customFormat="1">
      <c r="A739" s="448"/>
      <c r="B739" s="451"/>
      <c r="E739" s="450"/>
      <c r="G739" s="450"/>
      <c r="H739" s="450"/>
    </row>
    <row r="740" spans="1:8" s="423" customFormat="1">
      <c r="A740" s="448"/>
      <c r="B740" s="451"/>
      <c r="E740" s="450"/>
      <c r="G740" s="450"/>
      <c r="H740" s="450"/>
    </row>
    <row r="741" spans="1:8" s="423" customFormat="1">
      <c r="A741" s="448"/>
      <c r="B741" s="451"/>
      <c r="E741" s="450"/>
      <c r="G741" s="450"/>
      <c r="H741" s="450"/>
    </row>
    <row r="742" spans="1:8" s="423" customFormat="1">
      <c r="A742" s="448"/>
      <c r="B742" s="451"/>
      <c r="E742" s="450"/>
      <c r="G742" s="450"/>
      <c r="H742" s="450"/>
    </row>
    <row r="743" spans="1:8" s="423" customFormat="1">
      <c r="A743" s="448"/>
      <c r="B743" s="451"/>
      <c r="E743" s="450"/>
      <c r="G743" s="450"/>
      <c r="H743" s="450"/>
    </row>
    <row r="744" spans="1:8" s="423" customFormat="1">
      <c r="A744" s="448"/>
      <c r="B744" s="451"/>
      <c r="E744" s="450"/>
      <c r="G744" s="450"/>
      <c r="H744" s="450"/>
    </row>
    <row r="745" spans="1:8" s="423" customFormat="1">
      <c r="A745" s="448"/>
      <c r="B745" s="451"/>
      <c r="E745" s="450"/>
      <c r="G745" s="450"/>
      <c r="H745" s="450"/>
    </row>
    <row r="746" spans="1:8" s="423" customFormat="1">
      <c r="A746" s="448"/>
      <c r="B746" s="451"/>
      <c r="E746" s="450"/>
      <c r="G746" s="450"/>
      <c r="H746" s="450"/>
    </row>
    <row r="747" spans="1:8" s="423" customFormat="1">
      <c r="A747" s="448"/>
      <c r="B747" s="451"/>
      <c r="E747" s="450"/>
      <c r="G747" s="450"/>
      <c r="H747" s="450"/>
    </row>
    <row r="748" spans="1:8" s="423" customFormat="1">
      <c r="A748" s="448"/>
      <c r="B748" s="451"/>
      <c r="E748" s="450"/>
      <c r="G748" s="450"/>
      <c r="H748" s="450"/>
    </row>
    <row r="749" spans="1:8" s="423" customFormat="1">
      <c r="A749" s="448"/>
      <c r="B749" s="451"/>
      <c r="E749" s="450"/>
      <c r="G749" s="450"/>
      <c r="H749" s="450"/>
    </row>
    <row r="750" spans="1:8" s="423" customFormat="1">
      <c r="A750" s="448"/>
      <c r="B750" s="451"/>
      <c r="E750" s="450"/>
      <c r="G750" s="450"/>
      <c r="H750" s="450"/>
    </row>
    <row r="751" spans="1:8" s="423" customFormat="1">
      <c r="A751" s="448"/>
      <c r="B751" s="451"/>
      <c r="E751" s="450"/>
      <c r="G751" s="450"/>
      <c r="H751" s="450"/>
    </row>
    <row r="752" spans="1:8" s="423" customFormat="1">
      <c r="A752" s="448"/>
      <c r="B752" s="451"/>
      <c r="E752" s="450"/>
      <c r="G752" s="450"/>
      <c r="H752" s="450"/>
    </row>
    <row r="753" spans="1:8" s="423" customFormat="1">
      <c r="A753" s="448"/>
      <c r="B753" s="451"/>
      <c r="E753" s="450"/>
      <c r="G753" s="450"/>
      <c r="H753" s="450"/>
    </row>
    <row r="754" spans="1:8" s="423" customFormat="1">
      <c r="A754" s="448"/>
      <c r="B754" s="451"/>
      <c r="E754" s="450"/>
      <c r="G754" s="450"/>
      <c r="H754" s="450"/>
    </row>
    <row r="755" spans="1:8" s="423" customFormat="1">
      <c r="A755" s="448"/>
      <c r="B755" s="451"/>
      <c r="E755" s="450"/>
      <c r="G755" s="450"/>
      <c r="H755" s="450"/>
    </row>
    <row r="756" spans="1:8" s="423" customFormat="1">
      <c r="A756" s="448"/>
      <c r="B756" s="451"/>
      <c r="E756" s="450"/>
      <c r="G756" s="450"/>
      <c r="H756" s="450"/>
    </row>
    <row r="757" spans="1:8" s="423" customFormat="1">
      <c r="A757" s="448"/>
      <c r="B757" s="451"/>
      <c r="E757" s="450"/>
      <c r="G757" s="450"/>
      <c r="H757" s="450"/>
    </row>
    <row r="758" spans="1:8" s="423" customFormat="1">
      <c r="A758" s="448"/>
      <c r="B758" s="451"/>
      <c r="E758" s="450"/>
      <c r="G758" s="450"/>
      <c r="H758" s="450"/>
    </row>
    <row r="759" spans="1:8" s="423" customFormat="1">
      <c r="A759" s="448"/>
      <c r="B759" s="451"/>
      <c r="E759" s="450"/>
      <c r="G759" s="450"/>
      <c r="H759" s="450"/>
    </row>
    <row r="760" spans="1:8" s="423" customFormat="1">
      <c r="A760" s="448"/>
      <c r="B760" s="451"/>
      <c r="E760" s="450"/>
      <c r="G760" s="450"/>
      <c r="H760" s="450"/>
    </row>
    <row r="761" spans="1:8" s="423" customFormat="1">
      <c r="A761" s="448"/>
      <c r="B761" s="451"/>
      <c r="E761" s="450"/>
      <c r="G761" s="450"/>
      <c r="H761" s="450"/>
    </row>
    <row r="762" spans="1:8" s="423" customFormat="1">
      <c r="A762" s="448"/>
      <c r="B762" s="451"/>
      <c r="E762" s="450"/>
      <c r="G762" s="450"/>
      <c r="H762" s="450"/>
    </row>
    <row r="763" spans="1:8" s="423" customFormat="1">
      <c r="A763" s="448"/>
      <c r="B763" s="451"/>
      <c r="E763" s="450"/>
      <c r="G763" s="450"/>
      <c r="H763" s="450"/>
    </row>
    <row r="764" spans="1:8" s="423" customFormat="1">
      <c r="A764" s="448"/>
      <c r="B764" s="451"/>
      <c r="E764" s="450"/>
      <c r="G764" s="450"/>
      <c r="H764" s="450"/>
    </row>
    <row r="765" spans="1:8" s="423" customFormat="1">
      <c r="A765" s="448"/>
      <c r="B765" s="451"/>
      <c r="E765" s="450"/>
      <c r="G765" s="450"/>
      <c r="H765" s="450"/>
    </row>
    <row r="766" spans="1:8" s="423" customFormat="1">
      <c r="A766" s="448"/>
      <c r="B766" s="451"/>
      <c r="E766" s="450"/>
      <c r="G766" s="450"/>
      <c r="H766" s="450"/>
    </row>
    <row r="767" spans="1:8" s="423" customFormat="1">
      <c r="A767" s="448"/>
      <c r="B767" s="451"/>
      <c r="E767" s="450"/>
      <c r="G767" s="450"/>
      <c r="H767" s="450"/>
    </row>
    <row r="768" spans="1:8" s="423" customFormat="1">
      <c r="A768" s="448"/>
      <c r="B768" s="451"/>
      <c r="E768" s="450"/>
      <c r="G768" s="450"/>
      <c r="H768" s="450"/>
    </row>
    <row r="769" spans="1:8" s="423" customFormat="1">
      <c r="A769" s="448"/>
      <c r="B769" s="451"/>
      <c r="E769" s="450"/>
      <c r="G769" s="450"/>
      <c r="H769" s="450"/>
    </row>
    <row r="770" spans="1:8" s="423" customFormat="1">
      <c r="A770" s="448"/>
      <c r="B770" s="451"/>
      <c r="E770" s="450"/>
      <c r="G770" s="450"/>
      <c r="H770" s="450"/>
    </row>
    <row r="771" spans="1:8" s="423" customFormat="1">
      <c r="A771" s="448"/>
      <c r="B771" s="451"/>
      <c r="E771" s="450"/>
      <c r="G771" s="450"/>
      <c r="H771" s="450"/>
    </row>
    <row r="772" spans="1:8" s="423" customFormat="1">
      <c r="A772" s="448"/>
      <c r="B772" s="451"/>
      <c r="E772" s="450"/>
      <c r="G772" s="450"/>
      <c r="H772" s="450"/>
    </row>
    <row r="773" spans="1:8" s="423" customFormat="1">
      <c r="A773" s="448"/>
      <c r="B773" s="451"/>
      <c r="E773" s="450"/>
      <c r="G773" s="450"/>
      <c r="H773" s="450"/>
    </row>
    <row r="774" spans="1:8" s="423" customFormat="1">
      <c r="A774" s="448"/>
      <c r="B774" s="451"/>
      <c r="E774" s="450"/>
      <c r="G774" s="450"/>
      <c r="H774" s="450"/>
    </row>
    <row r="775" spans="1:8" s="423" customFormat="1">
      <c r="A775" s="448"/>
      <c r="B775" s="451"/>
      <c r="E775" s="450"/>
      <c r="G775" s="450"/>
      <c r="H775" s="450"/>
    </row>
    <row r="776" spans="1:8" s="423" customFormat="1">
      <c r="A776" s="448"/>
      <c r="B776" s="451"/>
      <c r="E776" s="450"/>
      <c r="G776" s="450"/>
      <c r="H776" s="450"/>
    </row>
    <row r="777" spans="1:8" s="423" customFormat="1">
      <c r="A777" s="448"/>
      <c r="B777" s="451"/>
      <c r="E777" s="450"/>
      <c r="G777" s="450"/>
      <c r="H777" s="450"/>
    </row>
    <row r="778" spans="1:8" s="423" customFormat="1">
      <c r="A778" s="448"/>
      <c r="B778" s="451"/>
      <c r="E778" s="450"/>
      <c r="G778" s="450"/>
      <c r="H778" s="450"/>
    </row>
    <row r="779" spans="1:8" s="423" customFormat="1">
      <c r="A779" s="448"/>
      <c r="B779" s="451"/>
      <c r="E779" s="450"/>
      <c r="G779" s="450"/>
      <c r="H779" s="450"/>
    </row>
    <row r="780" spans="1:8" s="423" customFormat="1">
      <c r="A780" s="448"/>
      <c r="B780" s="451"/>
      <c r="E780" s="450"/>
      <c r="G780" s="450"/>
      <c r="H780" s="450"/>
    </row>
    <row r="781" spans="1:8" s="423" customFormat="1">
      <c r="A781" s="448"/>
      <c r="B781" s="451"/>
      <c r="E781" s="450"/>
      <c r="G781" s="450"/>
      <c r="H781" s="450"/>
    </row>
    <row r="782" spans="1:8" s="423" customFormat="1">
      <c r="A782" s="448"/>
      <c r="B782" s="451"/>
      <c r="E782" s="450"/>
      <c r="G782" s="450"/>
      <c r="H782" s="450"/>
    </row>
    <row r="783" spans="1:8" s="423" customFormat="1">
      <c r="A783" s="448"/>
      <c r="B783" s="451"/>
      <c r="E783" s="450"/>
      <c r="G783" s="450"/>
      <c r="H783" s="450"/>
    </row>
    <row r="784" spans="1:8" s="423" customFormat="1">
      <c r="A784" s="448"/>
      <c r="B784" s="451"/>
      <c r="E784" s="450"/>
      <c r="G784" s="450"/>
      <c r="H784" s="450"/>
    </row>
    <row r="785" spans="1:8" s="423" customFormat="1">
      <c r="A785" s="448"/>
      <c r="B785" s="451"/>
      <c r="E785" s="450"/>
      <c r="G785" s="450"/>
      <c r="H785" s="450"/>
    </row>
    <row r="786" spans="1:8" s="423" customFormat="1">
      <c r="A786" s="448"/>
      <c r="B786" s="451"/>
      <c r="E786" s="450"/>
      <c r="G786" s="450"/>
      <c r="H786" s="450"/>
    </row>
    <row r="787" spans="1:8" s="423" customFormat="1">
      <c r="A787" s="448"/>
      <c r="B787" s="451"/>
      <c r="E787" s="450"/>
      <c r="G787" s="450"/>
      <c r="H787" s="450"/>
    </row>
    <row r="788" spans="1:8" s="423" customFormat="1">
      <c r="A788" s="448"/>
      <c r="B788" s="451"/>
      <c r="E788" s="450"/>
      <c r="G788" s="450"/>
      <c r="H788" s="450"/>
    </row>
    <row r="789" spans="1:8" s="423" customFormat="1">
      <c r="A789" s="448"/>
      <c r="B789" s="451"/>
      <c r="E789" s="450"/>
      <c r="G789" s="450"/>
      <c r="H789" s="450"/>
    </row>
    <row r="790" spans="1:8" s="423" customFormat="1">
      <c r="A790" s="448"/>
      <c r="B790" s="451"/>
      <c r="E790" s="450"/>
      <c r="G790" s="450"/>
      <c r="H790" s="450"/>
    </row>
    <row r="791" spans="1:8" s="423" customFormat="1">
      <c r="A791" s="448"/>
      <c r="B791" s="451"/>
      <c r="E791" s="450"/>
      <c r="G791" s="450"/>
      <c r="H791" s="450"/>
    </row>
    <row r="792" spans="1:8" s="423" customFormat="1">
      <c r="A792" s="448"/>
      <c r="B792" s="451"/>
      <c r="E792" s="450"/>
      <c r="G792" s="450"/>
      <c r="H792" s="450"/>
    </row>
    <row r="793" spans="1:8" s="423" customFormat="1">
      <c r="A793" s="448"/>
      <c r="B793" s="451"/>
      <c r="E793" s="450"/>
      <c r="G793" s="450"/>
      <c r="H793" s="450"/>
    </row>
    <row r="794" spans="1:8" s="423" customFormat="1">
      <c r="A794" s="448"/>
      <c r="B794" s="451"/>
      <c r="E794" s="450"/>
      <c r="G794" s="450"/>
      <c r="H794" s="450"/>
    </row>
    <row r="795" spans="1:8" s="423" customFormat="1">
      <c r="A795" s="448"/>
      <c r="B795" s="451"/>
      <c r="E795" s="450"/>
      <c r="G795" s="450"/>
      <c r="H795" s="450"/>
    </row>
    <row r="796" spans="1:8" s="423" customFormat="1">
      <c r="A796" s="448"/>
      <c r="B796" s="451"/>
      <c r="E796" s="450"/>
      <c r="G796" s="450"/>
      <c r="H796" s="450"/>
    </row>
    <row r="797" spans="1:8" s="423" customFormat="1">
      <c r="A797" s="448"/>
      <c r="B797" s="451"/>
      <c r="E797" s="450"/>
      <c r="G797" s="450"/>
      <c r="H797" s="450"/>
    </row>
    <row r="798" spans="1:8" s="423" customFormat="1">
      <c r="A798" s="448"/>
      <c r="B798" s="451"/>
      <c r="E798" s="450"/>
      <c r="G798" s="450"/>
      <c r="H798" s="450"/>
    </row>
    <row r="799" spans="1:8" s="423" customFormat="1">
      <c r="A799" s="448"/>
      <c r="B799" s="451"/>
      <c r="E799" s="450"/>
      <c r="G799" s="450"/>
      <c r="H799" s="450"/>
    </row>
    <row r="800" spans="1:8" s="423" customFormat="1">
      <c r="A800" s="448"/>
      <c r="B800" s="451"/>
      <c r="E800" s="450"/>
      <c r="G800" s="450"/>
      <c r="H800" s="450"/>
    </row>
    <row r="801" spans="1:8" s="423" customFormat="1">
      <c r="A801" s="448"/>
      <c r="B801" s="451"/>
      <c r="E801" s="450"/>
      <c r="G801" s="450"/>
      <c r="H801" s="450"/>
    </row>
    <row r="802" spans="1:8" s="423" customFormat="1">
      <c r="A802" s="448"/>
      <c r="B802" s="451"/>
      <c r="E802" s="450"/>
      <c r="G802" s="450"/>
      <c r="H802" s="450"/>
    </row>
    <row r="803" spans="1:8" s="423" customFormat="1">
      <c r="A803" s="448"/>
      <c r="B803" s="451"/>
      <c r="E803" s="450"/>
      <c r="G803" s="450"/>
      <c r="H803" s="450"/>
    </row>
    <row r="804" spans="1:8" s="423" customFormat="1">
      <c r="A804" s="448"/>
      <c r="B804" s="451"/>
      <c r="E804" s="450"/>
      <c r="G804" s="450"/>
      <c r="H804" s="450"/>
    </row>
    <row r="805" spans="1:8" s="423" customFormat="1">
      <c r="A805" s="448"/>
      <c r="B805" s="451"/>
      <c r="E805" s="450"/>
      <c r="G805" s="450"/>
      <c r="H805" s="450"/>
    </row>
    <row r="806" spans="1:8" s="423" customFormat="1">
      <c r="A806" s="448"/>
      <c r="B806" s="451"/>
      <c r="E806" s="450"/>
      <c r="G806" s="450"/>
      <c r="H806" s="450"/>
    </row>
    <row r="807" spans="1:8" s="423" customFormat="1">
      <c r="A807" s="448"/>
      <c r="B807" s="451"/>
      <c r="E807" s="450"/>
      <c r="G807" s="450"/>
      <c r="H807" s="450"/>
    </row>
    <row r="808" spans="1:8" s="423" customFormat="1">
      <c r="A808" s="448"/>
      <c r="B808" s="451"/>
      <c r="E808" s="450"/>
      <c r="G808" s="450"/>
      <c r="H808" s="450"/>
    </row>
    <row r="809" spans="1:8" s="423" customFormat="1">
      <c r="A809" s="448"/>
      <c r="B809" s="451"/>
      <c r="E809" s="450"/>
      <c r="G809" s="450"/>
      <c r="H809" s="450"/>
    </row>
    <row r="810" spans="1:8" s="423" customFormat="1">
      <c r="A810" s="448"/>
      <c r="B810" s="451"/>
      <c r="E810" s="450"/>
      <c r="G810" s="450"/>
      <c r="H810" s="450"/>
    </row>
    <row r="811" spans="1:8" s="423" customFormat="1">
      <c r="A811" s="448"/>
      <c r="B811" s="451"/>
      <c r="E811" s="450"/>
      <c r="G811" s="450"/>
      <c r="H811" s="450"/>
    </row>
    <row r="812" spans="1:8" s="423" customFormat="1">
      <c r="A812" s="448"/>
      <c r="B812" s="451"/>
      <c r="E812" s="450"/>
      <c r="G812" s="450"/>
      <c r="H812" s="450"/>
    </row>
    <row r="813" spans="1:8" s="423" customFormat="1">
      <c r="A813" s="448"/>
      <c r="B813" s="451"/>
      <c r="E813" s="450"/>
      <c r="G813" s="450"/>
      <c r="H813" s="450"/>
    </row>
    <row r="814" spans="1:8" s="423" customFormat="1">
      <c r="A814" s="448"/>
      <c r="B814" s="451"/>
      <c r="E814" s="450"/>
      <c r="G814" s="450"/>
      <c r="H814" s="450"/>
    </row>
    <row r="815" spans="1:8" s="423" customFormat="1">
      <c r="A815" s="448"/>
      <c r="B815" s="451"/>
      <c r="E815" s="450"/>
      <c r="G815" s="450"/>
      <c r="H815" s="450"/>
    </row>
    <row r="816" spans="1:8" s="423" customFormat="1">
      <c r="A816" s="448"/>
      <c r="B816" s="451"/>
      <c r="E816" s="450"/>
      <c r="G816" s="450"/>
      <c r="H816" s="450"/>
    </row>
    <row r="817" spans="1:8" s="423" customFormat="1">
      <c r="A817" s="448"/>
      <c r="B817" s="451"/>
      <c r="E817" s="450"/>
      <c r="G817" s="450"/>
      <c r="H817" s="450"/>
    </row>
    <row r="818" spans="1:8" s="423" customFormat="1">
      <c r="A818" s="448"/>
      <c r="B818" s="451"/>
      <c r="E818" s="450"/>
      <c r="G818" s="450"/>
      <c r="H818" s="450"/>
    </row>
    <row r="819" spans="1:8" s="423" customFormat="1">
      <c r="A819" s="448"/>
      <c r="B819" s="451"/>
      <c r="E819" s="450"/>
      <c r="G819" s="450"/>
      <c r="H819" s="450"/>
    </row>
    <row r="820" spans="1:8" s="423" customFormat="1">
      <c r="A820" s="448"/>
      <c r="B820" s="451"/>
      <c r="E820" s="450"/>
      <c r="G820" s="450"/>
      <c r="H820" s="450"/>
    </row>
    <row r="821" spans="1:8" s="423" customFormat="1">
      <c r="A821" s="448"/>
      <c r="B821" s="451"/>
      <c r="E821" s="450"/>
      <c r="G821" s="450"/>
      <c r="H821" s="450"/>
    </row>
    <row r="822" spans="1:8" s="423" customFormat="1">
      <c r="A822" s="448"/>
      <c r="B822" s="451"/>
      <c r="E822" s="450"/>
      <c r="G822" s="450"/>
      <c r="H822" s="450"/>
    </row>
    <row r="823" spans="1:8" s="423" customFormat="1">
      <c r="A823" s="448"/>
      <c r="B823" s="451"/>
      <c r="E823" s="450"/>
      <c r="G823" s="450"/>
      <c r="H823" s="450"/>
    </row>
    <row r="824" spans="1:8" s="423" customFormat="1">
      <c r="A824" s="448"/>
      <c r="B824" s="451"/>
      <c r="E824" s="450"/>
      <c r="G824" s="450"/>
      <c r="H824" s="450"/>
    </row>
    <row r="825" spans="1:8" s="423" customFormat="1">
      <c r="A825" s="448"/>
      <c r="B825" s="451"/>
      <c r="E825" s="450"/>
      <c r="G825" s="450"/>
      <c r="H825" s="450"/>
    </row>
    <row r="826" spans="1:8" s="423" customFormat="1">
      <c r="A826" s="448"/>
      <c r="B826" s="451"/>
      <c r="E826" s="450"/>
      <c r="G826" s="450"/>
      <c r="H826" s="450"/>
    </row>
    <row r="827" spans="1:8" s="423" customFormat="1">
      <c r="A827" s="448"/>
      <c r="B827" s="451"/>
      <c r="E827" s="450"/>
      <c r="G827" s="450"/>
      <c r="H827" s="450"/>
    </row>
    <row r="828" spans="1:8" s="423" customFormat="1">
      <c r="A828" s="448"/>
      <c r="B828" s="451"/>
      <c r="E828" s="450"/>
      <c r="G828" s="450"/>
      <c r="H828" s="450"/>
    </row>
    <row r="829" spans="1:8" s="423" customFormat="1">
      <c r="A829" s="448"/>
      <c r="B829" s="451"/>
      <c r="E829" s="450"/>
      <c r="G829" s="450"/>
      <c r="H829" s="450"/>
    </row>
    <row r="830" spans="1:8" s="423" customFormat="1">
      <c r="A830" s="448"/>
      <c r="B830" s="451"/>
      <c r="E830" s="450"/>
      <c r="G830" s="450"/>
      <c r="H830" s="450"/>
    </row>
    <row r="831" spans="1:8" s="423" customFormat="1">
      <c r="A831" s="448"/>
      <c r="B831" s="451"/>
      <c r="E831" s="450"/>
      <c r="G831" s="450"/>
      <c r="H831" s="450"/>
    </row>
    <row r="832" spans="1:8" s="423" customFormat="1">
      <c r="A832" s="448"/>
      <c r="B832" s="451"/>
      <c r="E832" s="450"/>
      <c r="G832" s="450"/>
      <c r="H832" s="450"/>
    </row>
    <row r="833" spans="1:8" s="423" customFormat="1">
      <c r="A833" s="448"/>
      <c r="B833" s="451"/>
      <c r="E833" s="450"/>
      <c r="G833" s="450"/>
      <c r="H833" s="450"/>
    </row>
    <row r="834" spans="1:8" s="423" customFormat="1">
      <c r="A834" s="448"/>
      <c r="B834" s="451"/>
      <c r="E834" s="450"/>
      <c r="G834" s="450"/>
      <c r="H834" s="450"/>
    </row>
    <row r="835" spans="1:8" s="423" customFormat="1">
      <c r="A835" s="448"/>
      <c r="B835" s="451"/>
      <c r="E835" s="450"/>
      <c r="G835" s="450"/>
      <c r="H835" s="450"/>
    </row>
    <row r="836" spans="1:8" s="423" customFormat="1">
      <c r="A836" s="448"/>
      <c r="B836" s="451"/>
      <c r="E836" s="450"/>
      <c r="G836" s="450"/>
      <c r="H836" s="450"/>
    </row>
    <row r="837" spans="1:8" s="423" customFormat="1">
      <c r="A837" s="448"/>
      <c r="B837" s="451"/>
      <c r="E837" s="450"/>
      <c r="G837" s="450"/>
      <c r="H837" s="450"/>
    </row>
    <row r="838" spans="1:8" s="423" customFormat="1">
      <c r="A838" s="448"/>
      <c r="B838" s="451"/>
      <c r="E838" s="450"/>
      <c r="G838" s="450"/>
      <c r="H838" s="450"/>
    </row>
    <row r="839" spans="1:8" s="423" customFormat="1">
      <c r="A839" s="448"/>
      <c r="B839" s="451"/>
      <c r="E839" s="450"/>
      <c r="G839" s="450"/>
      <c r="H839" s="450"/>
    </row>
    <row r="840" spans="1:8" s="423" customFormat="1">
      <c r="A840" s="448"/>
      <c r="B840" s="451"/>
      <c r="E840" s="450"/>
      <c r="G840" s="450"/>
      <c r="H840" s="450"/>
    </row>
    <row r="841" spans="1:8" s="423" customFormat="1">
      <c r="A841" s="448"/>
      <c r="B841" s="451"/>
      <c r="E841" s="450"/>
      <c r="G841" s="450"/>
      <c r="H841" s="450"/>
    </row>
    <row r="842" spans="1:8" s="423" customFormat="1">
      <c r="A842" s="448"/>
      <c r="B842" s="451"/>
      <c r="E842" s="450"/>
      <c r="G842" s="450"/>
      <c r="H842" s="450"/>
    </row>
    <row r="843" spans="1:8" s="423" customFormat="1">
      <c r="A843" s="448"/>
      <c r="B843" s="451"/>
      <c r="E843" s="450"/>
      <c r="G843" s="450"/>
      <c r="H843" s="450"/>
    </row>
    <row r="844" spans="1:8" s="423" customFormat="1">
      <c r="A844" s="448"/>
      <c r="B844" s="451"/>
      <c r="E844" s="450"/>
      <c r="G844" s="450"/>
      <c r="H844" s="450"/>
    </row>
    <row r="845" spans="1:8" s="423" customFormat="1">
      <c r="A845" s="448"/>
      <c r="B845" s="451"/>
      <c r="E845" s="450"/>
      <c r="G845" s="450"/>
      <c r="H845" s="450"/>
    </row>
    <row r="846" spans="1:8" s="423" customFormat="1">
      <c r="A846" s="448"/>
      <c r="B846" s="451"/>
      <c r="E846" s="450"/>
      <c r="G846" s="450"/>
      <c r="H846" s="450"/>
    </row>
    <row r="847" spans="1:8" s="423" customFormat="1">
      <c r="A847" s="448"/>
      <c r="B847" s="451"/>
      <c r="E847" s="450"/>
      <c r="G847" s="450"/>
      <c r="H847" s="450"/>
    </row>
    <row r="848" spans="1:8" s="423" customFormat="1">
      <c r="A848" s="448"/>
      <c r="B848" s="451"/>
      <c r="E848" s="450"/>
      <c r="G848" s="450"/>
      <c r="H848" s="450"/>
    </row>
    <row r="849" spans="1:8" s="423" customFormat="1">
      <c r="A849" s="448"/>
      <c r="B849" s="451"/>
      <c r="E849" s="450"/>
      <c r="G849" s="450"/>
      <c r="H849" s="450"/>
    </row>
    <row r="850" spans="1:8" s="423" customFormat="1">
      <c r="A850" s="448"/>
      <c r="B850" s="451"/>
      <c r="E850" s="450"/>
      <c r="G850" s="450"/>
      <c r="H850" s="450"/>
    </row>
    <row r="851" spans="1:8" s="423" customFormat="1">
      <c r="A851" s="448"/>
      <c r="B851" s="451"/>
      <c r="E851" s="450"/>
      <c r="G851" s="450"/>
      <c r="H851" s="450"/>
    </row>
    <row r="852" spans="1:8" s="423" customFormat="1">
      <c r="A852" s="448"/>
      <c r="B852" s="451"/>
      <c r="E852" s="450"/>
      <c r="G852" s="450"/>
      <c r="H852" s="450"/>
    </row>
    <row r="853" spans="1:8" s="423" customFormat="1">
      <c r="A853" s="448"/>
      <c r="B853" s="451"/>
      <c r="E853" s="450"/>
      <c r="G853" s="450"/>
      <c r="H853" s="450"/>
    </row>
    <row r="854" spans="1:8" s="423" customFormat="1">
      <c r="A854" s="448"/>
      <c r="B854" s="451"/>
      <c r="E854" s="450"/>
      <c r="G854" s="450"/>
      <c r="H854" s="450"/>
    </row>
    <row r="855" spans="1:8" s="423" customFormat="1">
      <c r="A855" s="448"/>
      <c r="B855" s="451"/>
      <c r="E855" s="450"/>
      <c r="G855" s="450"/>
      <c r="H855" s="450"/>
    </row>
    <row r="856" spans="1:8" s="423" customFormat="1">
      <c r="A856" s="448"/>
      <c r="B856" s="451"/>
      <c r="E856" s="450"/>
      <c r="G856" s="450"/>
      <c r="H856" s="450"/>
    </row>
    <row r="857" spans="1:8" s="423" customFormat="1">
      <c r="A857" s="448"/>
      <c r="B857" s="451"/>
      <c r="E857" s="450"/>
      <c r="G857" s="450"/>
      <c r="H857" s="450"/>
    </row>
    <row r="858" spans="1:8" s="423" customFormat="1">
      <c r="A858" s="448"/>
      <c r="B858" s="451"/>
      <c r="E858" s="450"/>
      <c r="G858" s="450"/>
      <c r="H858" s="450"/>
    </row>
    <row r="859" spans="1:8" s="423" customFormat="1">
      <c r="A859" s="448"/>
      <c r="B859" s="451"/>
      <c r="E859" s="450"/>
      <c r="G859" s="450"/>
      <c r="H859" s="450"/>
    </row>
    <row r="860" spans="1:8" s="423" customFormat="1">
      <c r="A860" s="448"/>
      <c r="B860" s="451"/>
      <c r="E860" s="450"/>
      <c r="G860" s="450"/>
      <c r="H860" s="450"/>
    </row>
    <row r="861" spans="1:8" s="423" customFormat="1">
      <c r="A861" s="448"/>
      <c r="B861" s="451"/>
      <c r="E861" s="450"/>
      <c r="G861" s="450"/>
      <c r="H861" s="450"/>
    </row>
    <row r="862" spans="1:8" s="423" customFormat="1">
      <c r="A862" s="448"/>
      <c r="B862" s="451"/>
      <c r="E862" s="450"/>
      <c r="G862" s="450"/>
      <c r="H862" s="450"/>
    </row>
    <row r="863" spans="1:8" s="423" customFormat="1">
      <c r="A863" s="448"/>
      <c r="B863" s="451"/>
      <c r="E863" s="450"/>
      <c r="G863" s="450"/>
      <c r="H863" s="450"/>
    </row>
    <row r="864" spans="1:8" s="423" customFormat="1">
      <c r="A864" s="448"/>
      <c r="B864" s="451"/>
      <c r="E864" s="450"/>
      <c r="G864" s="450"/>
      <c r="H864" s="450"/>
    </row>
    <row r="865" spans="1:8" s="423" customFormat="1">
      <c r="A865" s="448"/>
      <c r="B865" s="451"/>
      <c r="E865" s="450"/>
      <c r="G865" s="450"/>
      <c r="H865" s="450"/>
    </row>
    <row r="866" spans="1:8" s="423" customFormat="1">
      <c r="A866" s="448"/>
      <c r="B866" s="451"/>
      <c r="E866" s="450"/>
      <c r="G866" s="450"/>
      <c r="H866" s="450"/>
    </row>
    <row r="867" spans="1:8" s="423" customFormat="1">
      <c r="A867" s="448"/>
      <c r="B867" s="451"/>
      <c r="E867" s="450"/>
      <c r="G867" s="450"/>
      <c r="H867" s="450"/>
    </row>
    <row r="868" spans="1:8" s="423" customFormat="1">
      <c r="A868" s="448"/>
      <c r="B868" s="451"/>
      <c r="E868" s="450"/>
      <c r="G868" s="450"/>
      <c r="H868" s="450"/>
    </row>
    <row r="869" spans="1:8" s="423" customFormat="1">
      <c r="A869" s="448"/>
      <c r="B869" s="451"/>
      <c r="E869" s="450"/>
      <c r="G869" s="450"/>
      <c r="H869" s="450"/>
    </row>
    <row r="870" spans="1:8" s="423" customFormat="1">
      <c r="A870" s="448"/>
      <c r="B870" s="451"/>
      <c r="E870" s="450"/>
      <c r="G870" s="450"/>
      <c r="H870" s="450"/>
    </row>
    <row r="871" spans="1:8" s="423" customFormat="1">
      <c r="A871" s="448"/>
      <c r="B871" s="451"/>
      <c r="E871" s="450"/>
      <c r="G871" s="450"/>
      <c r="H871" s="450"/>
    </row>
    <row r="872" spans="1:8" s="423" customFormat="1">
      <c r="A872" s="448"/>
      <c r="B872" s="451"/>
      <c r="E872" s="450"/>
      <c r="G872" s="450"/>
      <c r="H872" s="450"/>
    </row>
    <row r="873" spans="1:8" s="423" customFormat="1">
      <c r="A873" s="448"/>
      <c r="B873" s="451"/>
      <c r="E873" s="450"/>
      <c r="G873" s="450"/>
      <c r="H873" s="450"/>
    </row>
    <row r="874" spans="1:8" s="423" customFormat="1">
      <c r="A874" s="448"/>
      <c r="B874" s="451"/>
      <c r="E874" s="450"/>
      <c r="G874" s="450"/>
      <c r="H874" s="450"/>
    </row>
    <row r="875" spans="1:8" s="423" customFormat="1">
      <c r="A875" s="448"/>
      <c r="B875" s="451"/>
      <c r="E875" s="450"/>
      <c r="G875" s="450"/>
      <c r="H875" s="450"/>
    </row>
    <row r="876" spans="1:8" s="423" customFormat="1">
      <c r="A876" s="448"/>
      <c r="B876" s="451"/>
      <c r="E876" s="450"/>
      <c r="G876" s="450"/>
      <c r="H876" s="450"/>
    </row>
    <row r="877" spans="1:8" s="423" customFormat="1">
      <c r="A877" s="448"/>
      <c r="B877" s="451"/>
      <c r="E877" s="450"/>
      <c r="G877" s="450"/>
      <c r="H877" s="450"/>
    </row>
    <row r="878" spans="1:8" s="423" customFormat="1">
      <c r="A878" s="448"/>
      <c r="B878" s="451"/>
      <c r="E878" s="450"/>
      <c r="G878" s="450"/>
      <c r="H878" s="450"/>
    </row>
    <row r="879" spans="1:8" s="423" customFormat="1">
      <c r="A879" s="448"/>
      <c r="B879" s="451"/>
      <c r="E879" s="450"/>
      <c r="G879" s="450"/>
      <c r="H879" s="450"/>
    </row>
    <row r="880" spans="1:8" s="423" customFormat="1">
      <c r="A880" s="448"/>
      <c r="B880" s="451"/>
      <c r="E880" s="450"/>
      <c r="G880" s="450"/>
      <c r="H880" s="450"/>
    </row>
    <row r="881" spans="1:8" s="423" customFormat="1">
      <c r="A881" s="448"/>
      <c r="B881" s="451"/>
      <c r="E881" s="450"/>
      <c r="G881" s="450"/>
      <c r="H881" s="450"/>
    </row>
    <row r="882" spans="1:8" s="423" customFormat="1">
      <c r="A882" s="448"/>
      <c r="B882" s="451"/>
      <c r="E882" s="450"/>
      <c r="G882" s="450"/>
      <c r="H882" s="450"/>
    </row>
    <row r="883" spans="1:8" s="423" customFormat="1">
      <c r="A883" s="448"/>
      <c r="B883" s="451"/>
      <c r="E883" s="450"/>
      <c r="G883" s="450"/>
      <c r="H883" s="450"/>
    </row>
    <row r="884" spans="1:8" s="423" customFormat="1">
      <c r="A884" s="448"/>
      <c r="B884" s="451"/>
      <c r="E884" s="450"/>
      <c r="G884" s="450"/>
      <c r="H884" s="450"/>
    </row>
    <row r="885" spans="1:8" s="423" customFormat="1">
      <c r="A885" s="448"/>
      <c r="B885" s="451"/>
      <c r="E885" s="450"/>
      <c r="G885" s="450"/>
      <c r="H885" s="450"/>
    </row>
    <row r="886" spans="1:8" s="423" customFormat="1">
      <c r="A886" s="448"/>
      <c r="B886" s="451"/>
      <c r="E886" s="450"/>
      <c r="G886" s="450"/>
      <c r="H886" s="450"/>
    </row>
    <row r="887" spans="1:8" s="423" customFormat="1">
      <c r="A887" s="448"/>
      <c r="B887" s="451"/>
      <c r="E887" s="450"/>
      <c r="G887" s="450"/>
      <c r="H887" s="450"/>
    </row>
    <row r="888" spans="1:8" s="423" customFormat="1">
      <c r="A888" s="448"/>
      <c r="B888" s="451"/>
      <c r="E888" s="450"/>
      <c r="G888" s="450"/>
      <c r="H888" s="450"/>
    </row>
    <row r="889" spans="1:8" s="423" customFormat="1">
      <c r="A889" s="448"/>
      <c r="B889" s="451"/>
      <c r="E889" s="450"/>
      <c r="G889" s="450"/>
      <c r="H889" s="450"/>
    </row>
    <row r="890" spans="1:8" s="423" customFormat="1">
      <c r="A890" s="448"/>
      <c r="B890" s="451"/>
      <c r="E890" s="450"/>
      <c r="G890" s="450"/>
      <c r="H890" s="450"/>
    </row>
    <row r="891" spans="1:8" s="423" customFormat="1">
      <c r="A891" s="448"/>
      <c r="B891" s="451"/>
      <c r="E891" s="450"/>
      <c r="G891" s="450"/>
      <c r="H891" s="450"/>
    </row>
    <row r="892" spans="1:8" s="423" customFormat="1">
      <c r="A892" s="448"/>
      <c r="B892" s="451"/>
      <c r="E892" s="450"/>
      <c r="G892" s="450"/>
      <c r="H892" s="450"/>
    </row>
    <row r="893" spans="1:8" s="423" customFormat="1">
      <c r="A893" s="448"/>
      <c r="B893" s="451"/>
      <c r="E893" s="450"/>
      <c r="G893" s="450"/>
      <c r="H893" s="450"/>
    </row>
    <row r="894" spans="1:8" s="423" customFormat="1">
      <c r="A894" s="448"/>
      <c r="B894" s="451"/>
      <c r="E894" s="450"/>
      <c r="G894" s="450"/>
      <c r="H894" s="450"/>
    </row>
    <row r="895" spans="1:8" s="423" customFormat="1">
      <c r="A895" s="448"/>
      <c r="B895" s="451"/>
      <c r="E895" s="450"/>
      <c r="G895" s="450"/>
      <c r="H895" s="450"/>
    </row>
    <row r="896" spans="1:8" s="423" customFormat="1">
      <c r="A896" s="448"/>
      <c r="B896" s="451"/>
      <c r="E896" s="450"/>
      <c r="G896" s="450"/>
      <c r="H896" s="450"/>
    </row>
    <row r="897" spans="1:8" s="423" customFormat="1">
      <c r="A897" s="448"/>
      <c r="B897" s="451"/>
      <c r="E897" s="450"/>
      <c r="G897" s="450"/>
      <c r="H897" s="450"/>
    </row>
    <row r="898" spans="1:8" s="423" customFormat="1">
      <c r="A898" s="448"/>
      <c r="B898" s="451"/>
      <c r="E898" s="450"/>
      <c r="G898" s="450"/>
      <c r="H898" s="450"/>
    </row>
    <row r="899" spans="1:8" s="423" customFormat="1">
      <c r="A899" s="448"/>
      <c r="B899" s="451"/>
      <c r="E899" s="450"/>
      <c r="G899" s="450"/>
      <c r="H899" s="450"/>
    </row>
    <row r="900" spans="1:8" s="423" customFormat="1">
      <c r="A900" s="448"/>
      <c r="B900" s="451"/>
      <c r="E900" s="450"/>
      <c r="G900" s="450"/>
      <c r="H900" s="450"/>
    </row>
    <row r="901" spans="1:8" s="423" customFormat="1">
      <c r="A901" s="448"/>
      <c r="B901" s="451"/>
      <c r="E901" s="450"/>
      <c r="G901" s="450"/>
      <c r="H901" s="450"/>
    </row>
    <row r="902" spans="1:8" s="423" customFormat="1">
      <c r="A902" s="448"/>
      <c r="B902" s="451"/>
      <c r="E902" s="450"/>
      <c r="G902" s="450"/>
      <c r="H902" s="450"/>
    </row>
    <row r="903" spans="1:8" s="423" customFormat="1">
      <c r="A903" s="448"/>
      <c r="B903" s="451"/>
      <c r="E903" s="450"/>
      <c r="G903" s="450"/>
      <c r="H903" s="450"/>
    </row>
    <row r="904" spans="1:8" s="423" customFormat="1">
      <c r="A904" s="448"/>
      <c r="B904" s="451"/>
      <c r="E904" s="450"/>
      <c r="G904" s="450"/>
      <c r="H904" s="450"/>
    </row>
    <row r="905" spans="1:8" s="423" customFormat="1">
      <c r="A905" s="448"/>
      <c r="B905" s="451"/>
      <c r="E905" s="450"/>
      <c r="G905" s="450"/>
      <c r="H905" s="450"/>
    </row>
    <row r="906" spans="1:8" s="423" customFormat="1">
      <c r="A906" s="448"/>
      <c r="B906" s="451"/>
      <c r="E906" s="450"/>
      <c r="G906" s="450"/>
      <c r="H906" s="450"/>
    </row>
    <row r="907" spans="1:8" s="423" customFormat="1">
      <c r="A907" s="448"/>
      <c r="B907" s="451"/>
      <c r="E907" s="450"/>
      <c r="G907" s="450"/>
      <c r="H907" s="450"/>
    </row>
    <row r="908" spans="1:8" s="423" customFormat="1">
      <c r="A908" s="448"/>
      <c r="B908" s="451"/>
      <c r="E908" s="450"/>
      <c r="G908" s="450"/>
      <c r="H908" s="450"/>
    </row>
    <row r="909" spans="1:8" s="423" customFormat="1">
      <c r="A909" s="448"/>
      <c r="B909" s="451"/>
      <c r="E909" s="450"/>
      <c r="G909" s="450"/>
      <c r="H909" s="450"/>
    </row>
    <row r="910" spans="1:8" s="423" customFormat="1">
      <c r="A910" s="448"/>
      <c r="B910" s="451"/>
      <c r="E910" s="450"/>
      <c r="G910" s="450"/>
      <c r="H910" s="450"/>
    </row>
    <row r="911" spans="1:8" s="423" customFormat="1">
      <c r="A911" s="448"/>
      <c r="B911" s="451"/>
      <c r="E911" s="450"/>
      <c r="G911" s="450"/>
      <c r="H911" s="450"/>
    </row>
    <row r="912" spans="1:8" s="423" customFormat="1">
      <c r="A912" s="448"/>
      <c r="B912" s="451"/>
      <c r="E912" s="450"/>
      <c r="G912" s="450"/>
      <c r="H912" s="450"/>
    </row>
    <row r="913" spans="1:8" s="423" customFormat="1">
      <c r="A913" s="448"/>
      <c r="B913" s="451"/>
      <c r="E913" s="450"/>
      <c r="G913" s="450"/>
      <c r="H913" s="450"/>
    </row>
    <row r="914" spans="1:8" s="423" customFormat="1">
      <c r="A914" s="448"/>
      <c r="B914" s="451"/>
      <c r="E914" s="450"/>
      <c r="G914" s="450"/>
      <c r="H914" s="450"/>
    </row>
    <row r="915" spans="1:8" s="423" customFormat="1">
      <c r="A915" s="448"/>
      <c r="B915" s="451"/>
      <c r="E915" s="450"/>
      <c r="G915" s="450"/>
      <c r="H915" s="450"/>
    </row>
    <row r="916" spans="1:8" s="423" customFormat="1">
      <c r="A916" s="448"/>
      <c r="B916" s="451"/>
      <c r="E916" s="450"/>
      <c r="G916" s="450"/>
      <c r="H916" s="450"/>
    </row>
    <row r="917" spans="1:8" s="423" customFormat="1">
      <c r="A917" s="448"/>
      <c r="B917" s="451"/>
      <c r="E917" s="450"/>
      <c r="G917" s="450"/>
      <c r="H917" s="450"/>
    </row>
    <row r="918" spans="1:8" s="423" customFormat="1">
      <c r="A918" s="448"/>
      <c r="B918" s="451"/>
      <c r="E918" s="450"/>
      <c r="G918" s="450"/>
      <c r="H918" s="450"/>
    </row>
    <row r="919" spans="1:8" s="423" customFormat="1">
      <c r="A919" s="448"/>
      <c r="B919" s="451"/>
      <c r="E919" s="450"/>
      <c r="G919" s="450"/>
      <c r="H919" s="450"/>
    </row>
    <row r="920" spans="1:8" s="423" customFormat="1">
      <c r="A920" s="448"/>
      <c r="B920" s="451"/>
      <c r="E920" s="450"/>
      <c r="G920" s="450"/>
      <c r="H920" s="450"/>
    </row>
    <row r="921" spans="1:8" s="423" customFormat="1">
      <c r="A921" s="448"/>
      <c r="B921" s="451"/>
      <c r="E921" s="450"/>
      <c r="G921" s="450"/>
      <c r="H921" s="450"/>
    </row>
    <row r="922" spans="1:8" s="423" customFormat="1">
      <c r="A922" s="448"/>
      <c r="B922" s="451"/>
      <c r="E922" s="450"/>
      <c r="G922" s="450"/>
      <c r="H922" s="450"/>
    </row>
    <row r="923" spans="1:8" s="423" customFormat="1">
      <c r="A923" s="448"/>
      <c r="B923" s="451"/>
      <c r="E923" s="450"/>
      <c r="G923" s="450"/>
      <c r="H923" s="450"/>
    </row>
    <row r="924" spans="1:8" s="423" customFormat="1">
      <c r="A924" s="448"/>
      <c r="B924" s="451"/>
      <c r="E924" s="450"/>
      <c r="G924" s="450"/>
      <c r="H924" s="450"/>
    </row>
    <row r="925" spans="1:8" s="423" customFormat="1">
      <c r="A925" s="448"/>
      <c r="B925" s="451"/>
      <c r="E925" s="450"/>
      <c r="G925" s="450"/>
      <c r="H925" s="450"/>
    </row>
    <row r="926" spans="1:8" s="423" customFormat="1">
      <c r="A926" s="448"/>
      <c r="B926" s="451"/>
      <c r="E926" s="450"/>
      <c r="G926" s="450"/>
      <c r="H926" s="450"/>
    </row>
    <row r="927" spans="1:8" s="423" customFormat="1">
      <c r="A927" s="448"/>
      <c r="B927" s="451"/>
      <c r="E927" s="450"/>
      <c r="G927" s="450"/>
      <c r="H927" s="450"/>
    </row>
    <row r="928" spans="1:8" s="423" customFormat="1">
      <c r="A928" s="448"/>
      <c r="B928" s="451"/>
      <c r="E928" s="450"/>
      <c r="G928" s="450"/>
      <c r="H928" s="450"/>
    </row>
    <row r="929" spans="1:8" s="423" customFormat="1">
      <c r="A929" s="448"/>
      <c r="B929" s="451"/>
      <c r="E929" s="450"/>
      <c r="G929" s="450"/>
      <c r="H929" s="450"/>
    </row>
    <row r="930" spans="1:8" s="423" customFormat="1">
      <c r="A930" s="448"/>
      <c r="B930" s="451"/>
      <c r="E930" s="450"/>
      <c r="G930" s="450"/>
      <c r="H930" s="450"/>
    </row>
    <row r="931" spans="1:8" s="423" customFormat="1">
      <c r="A931" s="448"/>
      <c r="B931" s="451"/>
      <c r="E931" s="450"/>
      <c r="G931" s="450"/>
      <c r="H931" s="450"/>
    </row>
    <row r="932" spans="1:8" s="423" customFormat="1">
      <c r="A932" s="448"/>
      <c r="B932" s="451"/>
      <c r="E932" s="450"/>
      <c r="G932" s="450"/>
      <c r="H932" s="450"/>
    </row>
    <row r="933" spans="1:8" s="423" customFormat="1">
      <c r="A933" s="448"/>
      <c r="B933" s="451"/>
      <c r="E933" s="450"/>
      <c r="G933" s="450"/>
      <c r="H933" s="450"/>
    </row>
    <row r="934" spans="1:8" s="423" customFormat="1">
      <c r="A934" s="448"/>
      <c r="B934" s="451"/>
      <c r="E934" s="450"/>
      <c r="G934" s="450"/>
      <c r="H934" s="450"/>
    </row>
    <row r="935" spans="1:8" s="423" customFormat="1">
      <c r="A935" s="448"/>
      <c r="B935" s="451"/>
      <c r="E935" s="450"/>
      <c r="G935" s="450"/>
      <c r="H935" s="450"/>
    </row>
    <row r="936" spans="1:8" s="423" customFormat="1">
      <c r="A936" s="448"/>
      <c r="B936" s="451"/>
      <c r="E936" s="450"/>
      <c r="G936" s="450"/>
      <c r="H936" s="450"/>
    </row>
    <row r="937" spans="1:8" s="423" customFormat="1">
      <c r="A937" s="448"/>
      <c r="B937" s="451"/>
      <c r="E937" s="450"/>
      <c r="G937" s="450"/>
      <c r="H937" s="450"/>
    </row>
    <row r="938" spans="1:8" s="423" customFormat="1">
      <c r="A938" s="448"/>
      <c r="B938" s="451"/>
      <c r="E938" s="450"/>
      <c r="G938" s="450"/>
      <c r="H938" s="450"/>
    </row>
    <row r="939" spans="1:8" s="423" customFormat="1">
      <c r="A939" s="448"/>
      <c r="B939" s="451"/>
      <c r="E939" s="450"/>
      <c r="G939" s="450"/>
      <c r="H939" s="450"/>
    </row>
    <row r="940" spans="1:8" s="423" customFormat="1">
      <c r="A940" s="448"/>
      <c r="B940" s="451"/>
      <c r="E940" s="450"/>
      <c r="G940" s="450"/>
      <c r="H940" s="450"/>
    </row>
    <row r="941" spans="1:8" s="423" customFormat="1">
      <c r="A941" s="448"/>
      <c r="B941" s="451"/>
      <c r="E941" s="450"/>
      <c r="G941" s="450"/>
      <c r="H941" s="450"/>
    </row>
    <row r="942" spans="1:8" s="423" customFormat="1">
      <c r="A942" s="448"/>
      <c r="B942" s="451"/>
      <c r="E942" s="450"/>
      <c r="G942" s="450"/>
      <c r="H942" s="450"/>
    </row>
    <row r="943" spans="1:8" s="423" customFormat="1">
      <c r="A943" s="448"/>
      <c r="B943" s="451"/>
      <c r="E943" s="450"/>
      <c r="G943" s="450"/>
      <c r="H943" s="450"/>
    </row>
    <row r="944" spans="1:8" s="423" customFormat="1">
      <c r="A944" s="448"/>
      <c r="B944" s="451"/>
      <c r="E944" s="450"/>
      <c r="G944" s="450"/>
      <c r="H944" s="450"/>
    </row>
    <row r="945" spans="1:8" s="423" customFormat="1">
      <c r="A945" s="448"/>
      <c r="B945" s="451"/>
      <c r="E945" s="450"/>
      <c r="G945" s="450"/>
      <c r="H945" s="450"/>
    </row>
    <row r="946" spans="1:8" s="423" customFormat="1">
      <c r="A946" s="448"/>
      <c r="B946" s="451"/>
      <c r="E946" s="450"/>
      <c r="G946" s="450"/>
      <c r="H946" s="450"/>
    </row>
    <row r="947" spans="1:8" s="423" customFormat="1">
      <c r="A947" s="448"/>
      <c r="B947" s="451"/>
      <c r="E947" s="450"/>
      <c r="G947" s="450"/>
      <c r="H947" s="450"/>
    </row>
    <row r="948" spans="1:8" s="423" customFormat="1">
      <c r="A948" s="448"/>
      <c r="B948" s="451"/>
      <c r="E948" s="450"/>
      <c r="G948" s="450"/>
      <c r="H948" s="450"/>
    </row>
    <row r="949" spans="1:8" s="423" customFormat="1">
      <c r="A949" s="448"/>
      <c r="B949" s="451"/>
      <c r="E949" s="450"/>
      <c r="G949" s="450"/>
      <c r="H949" s="450"/>
    </row>
    <row r="950" spans="1:8" s="423" customFormat="1">
      <c r="A950" s="448"/>
      <c r="B950" s="451"/>
      <c r="E950" s="450"/>
      <c r="G950" s="450"/>
      <c r="H950" s="450"/>
    </row>
    <row r="951" spans="1:8" s="423" customFormat="1">
      <c r="A951" s="448"/>
      <c r="B951" s="451"/>
      <c r="E951" s="450"/>
      <c r="G951" s="450"/>
      <c r="H951" s="450"/>
    </row>
    <row r="952" spans="1:8" s="423" customFormat="1">
      <c r="A952" s="448"/>
      <c r="B952" s="451"/>
      <c r="E952" s="450"/>
      <c r="G952" s="450"/>
      <c r="H952" s="450"/>
    </row>
    <row r="953" spans="1:8" s="423" customFormat="1">
      <c r="A953" s="448"/>
      <c r="B953" s="451"/>
      <c r="E953" s="450"/>
      <c r="G953" s="450"/>
      <c r="H953" s="450"/>
    </row>
    <row r="954" spans="1:8" s="423" customFormat="1">
      <c r="A954" s="448"/>
      <c r="B954" s="451"/>
      <c r="E954" s="450"/>
      <c r="G954" s="450"/>
      <c r="H954" s="450"/>
    </row>
    <row r="955" spans="1:8" s="423" customFormat="1">
      <c r="A955" s="448"/>
      <c r="B955" s="451"/>
      <c r="E955" s="450"/>
      <c r="G955" s="450"/>
      <c r="H955" s="450"/>
    </row>
    <row r="956" spans="1:8" s="423" customFormat="1">
      <c r="A956" s="448"/>
      <c r="B956" s="451"/>
      <c r="E956" s="450"/>
      <c r="G956" s="450"/>
      <c r="H956" s="450"/>
    </row>
    <row r="957" spans="1:8" s="423" customFormat="1">
      <c r="A957" s="448"/>
      <c r="B957" s="451"/>
      <c r="E957" s="450"/>
      <c r="G957" s="450"/>
      <c r="H957" s="450"/>
    </row>
    <row r="958" spans="1:8" s="423" customFormat="1">
      <c r="A958" s="448"/>
      <c r="B958" s="451"/>
      <c r="E958" s="450"/>
      <c r="G958" s="450"/>
      <c r="H958" s="450"/>
    </row>
    <row r="959" spans="1:8" s="423" customFormat="1">
      <c r="A959" s="448"/>
      <c r="B959" s="451"/>
      <c r="E959" s="450"/>
      <c r="G959" s="450"/>
      <c r="H959" s="450"/>
    </row>
    <row r="960" spans="1:8" s="423" customFormat="1">
      <c r="A960" s="448"/>
      <c r="B960" s="451"/>
      <c r="E960" s="450"/>
      <c r="G960" s="450"/>
      <c r="H960" s="450"/>
    </row>
    <row r="961" spans="1:8" s="423" customFormat="1">
      <c r="A961" s="448"/>
      <c r="B961" s="451"/>
      <c r="E961" s="450"/>
      <c r="G961" s="450"/>
      <c r="H961" s="450"/>
    </row>
    <row r="962" spans="1:8" s="423" customFormat="1">
      <c r="A962" s="448"/>
      <c r="B962" s="451"/>
      <c r="E962" s="450"/>
      <c r="G962" s="450"/>
      <c r="H962" s="450"/>
    </row>
    <row r="963" spans="1:8" s="423" customFormat="1">
      <c r="A963" s="448"/>
      <c r="B963" s="451"/>
      <c r="E963" s="450"/>
      <c r="G963" s="450"/>
      <c r="H963" s="450"/>
    </row>
    <row r="964" spans="1:8" s="423" customFormat="1">
      <c r="A964" s="448"/>
      <c r="B964" s="451"/>
      <c r="E964" s="450"/>
      <c r="G964" s="450"/>
      <c r="H964" s="450"/>
    </row>
    <row r="965" spans="1:8" s="423" customFormat="1">
      <c r="A965" s="448"/>
      <c r="B965" s="451"/>
      <c r="E965" s="450"/>
      <c r="G965" s="450"/>
      <c r="H965" s="450"/>
    </row>
    <row r="966" spans="1:8" s="423" customFormat="1">
      <c r="A966" s="448"/>
      <c r="B966" s="451"/>
      <c r="E966" s="450"/>
      <c r="G966" s="450"/>
      <c r="H966" s="450"/>
    </row>
    <row r="967" spans="1:8" s="423" customFormat="1">
      <c r="A967" s="448"/>
      <c r="B967" s="451"/>
      <c r="E967" s="450"/>
      <c r="G967" s="450"/>
      <c r="H967" s="450"/>
    </row>
    <row r="968" spans="1:8" s="423" customFormat="1">
      <c r="A968" s="448"/>
      <c r="B968" s="451"/>
      <c r="E968" s="450"/>
      <c r="G968" s="450"/>
      <c r="H968" s="450"/>
    </row>
    <row r="969" spans="1:8" s="423" customFormat="1">
      <c r="A969" s="448"/>
      <c r="B969" s="451"/>
      <c r="E969" s="450"/>
      <c r="G969" s="450"/>
      <c r="H969" s="450"/>
    </row>
    <row r="970" spans="1:8" s="423" customFormat="1">
      <c r="A970" s="448"/>
      <c r="B970" s="451"/>
      <c r="E970" s="450"/>
      <c r="G970" s="450"/>
      <c r="H970" s="450"/>
    </row>
    <row r="971" spans="1:8" s="423" customFormat="1">
      <c r="A971" s="448"/>
      <c r="B971" s="451"/>
      <c r="E971" s="450"/>
      <c r="G971" s="450"/>
      <c r="H971" s="450"/>
    </row>
    <row r="972" spans="1:8" s="423" customFormat="1">
      <c r="A972" s="448"/>
      <c r="B972" s="451"/>
      <c r="E972" s="450"/>
      <c r="G972" s="450"/>
      <c r="H972" s="450"/>
    </row>
    <row r="973" spans="1:8" s="423" customFormat="1">
      <c r="A973" s="448"/>
      <c r="B973" s="451"/>
      <c r="E973" s="450"/>
      <c r="G973" s="450"/>
      <c r="H973" s="450"/>
    </row>
    <row r="974" spans="1:8" s="423" customFormat="1">
      <c r="A974" s="448"/>
      <c r="B974" s="451"/>
      <c r="E974" s="450"/>
      <c r="G974" s="450"/>
      <c r="H974" s="450"/>
    </row>
    <row r="975" spans="1:8" s="423" customFormat="1">
      <c r="A975" s="448"/>
      <c r="B975" s="451"/>
      <c r="E975" s="450"/>
      <c r="G975" s="450"/>
      <c r="H975" s="450"/>
    </row>
    <row r="976" spans="1:8" s="423" customFormat="1">
      <c r="A976" s="448"/>
      <c r="B976" s="451"/>
      <c r="E976" s="450"/>
      <c r="G976" s="450"/>
      <c r="H976" s="450"/>
    </row>
    <row r="977" spans="1:8" s="423" customFormat="1">
      <c r="A977" s="448"/>
      <c r="B977" s="451"/>
      <c r="E977" s="450"/>
      <c r="G977" s="450"/>
      <c r="H977" s="450"/>
    </row>
    <row r="978" spans="1:8" s="423" customFormat="1">
      <c r="A978" s="448"/>
      <c r="B978" s="451"/>
      <c r="E978" s="450"/>
      <c r="G978" s="450"/>
      <c r="H978" s="450"/>
    </row>
    <row r="979" spans="1:8" s="423" customFormat="1">
      <c r="A979" s="448"/>
      <c r="B979" s="451"/>
      <c r="E979" s="450"/>
      <c r="G979" s="450"/>
      <c r="H979" s="450"/>
    </row>
    <row r="980" spans="1:8" s="423" customFormat="1">
      <c r="A980" s="448"/>
      <c r="B980" s="451"/>
      <c r="E980" s="450"/>
      <c r="G980" s="450"/>
      <c r="H980" s="450"/>
    </row>
    <row r="981" spans="1:8" s="423" customFormat="1">
      <c r="A981" s="448"/>
      <c r="B981" s="451"/>
      <c r="E981" s="450"/>
      <c r="G981" s="450"/>
      <c r="H981" s="450"/>
    </row>
    <row r="982" spans="1:8" s="423" customFormat="1">
      <c r="A982" s="448"/>
      <c r="B982" s="451"/>
      <c r="E982" s="450"/>
      <c r="G982" s="450"/>
      <c r="H982" s="450"/>
    </row>
    <row r="983" spans="1:8" s="423" customFormat="1">
      <c r="A983" s="448"/>
      <c r="B983" s="451"/>
      <c r="E983" s="450"/>
      <c r="G983" s="450"/>
      <c r="H983" s="450"/>
    </row>
    <row r="984" spans="1:8" s="423" customFormat="1">
      <c r="A984" s="448"/>
      <c r="B984" s="451"/>
      <c r="E984" s="450"/>
      <c r="G984" s="450"/>
      <c r="H984" s="450"/>
    </row>
    <row r="985" spans="1:8" s="423" customFormat="1">
      <c r="A985" s="448"/>
      <c r="B985" s="451"/>
      <c r="E985" s="450"/>
      <c r="G985" s="450"/>
      <c r="H985" s="450"/>
    </row>
    <row r="986" spans="1:8" s="423" customFormat="1">
      <c r="A986" s="448"/>
      <c r="B986" s="451"/>
      <c r="E986" s="450"/>
      <c r="G986" s="450"/>
      <c r="H986" s="450"/>
    </row>
    <row r="987" spans="1:8" s="423" customFormat="1">
      <c r="A987" s="448"/>
      <c r="B987" s="451"/>
      <c r="E987" s="450"/>
      <c r="G987" s="450"/>
      <c r="H987" s="450"/>
    </row>
    <row r="988" spans="1:8" s="423" customFormat="1">
      <c r="A988" s="448"/>
      <c r="B988" s="451"/>
      <c r="E988" s="450"/>
      <c r="G988" s="450"/>
      <c r="H988" s="450"/>
    </row>
    <row r="989" spans="1:8" s="423" customFormat="1">
      <c r="A989" s="448"/>
      <c r="B989" s="451"/>
      <c r="E989" s="450"/>
      <c r="G989" s="450"/>
      <c r="H989" s="450"/>
    </row>
    <row r="990" spans="1:8" s="423" customFormat="1">
      <c r="A990" s="448"/>
      <c r="B990" s="451"/>
      <c r="E990" s="450"/>
      <c r="G990" s="450"/>
      <c r="H990" s="450"/>
    </row>
    <row r="991" spans="1:8" s="423" customFormat="1">
      <c r="A991" s="448"/>
      <c r="B991" s="451"/>
      <c r="E991" s="450"/>
      <c r="G991" s="450"/>
      <c r="H991" s="450"/>
    </row>
    <row r="992" spans="1:8" s="423" customFormat="1">
      <c r="A992" s="448"/>
      <c r="B992" s="451"/>
      <c r="E992" s="450"/>
      <c r="G992" s="450"/>
      <c r="H992" s="450"/>
    </row>
    <row r="993" spans="1:8" s="423" customFormat="1">
      <c r="A993" s="448"/>
      <c r="B993" s="451"/>
      <c r="E993" s="450"/>
      <c r="G993" s="450"/>
      <c r="H993" s="450"/>
    </row>
    <row r="994" spans="1:8" s="423" customFormat="1">
      <c r="A994" s="448"/>
      <c r="B994" s="451"/>
      <c r="E994" s="450"/>
      <c r="G994" s="450"/>
      <c r="H994" s="450"/>
    </row>
    <row r="995" spans="1:8" s="423" customFormat="1">
      <c r="A995" s="448"/>
      <c r="B995" s="451"/>
      <c r="E995" s="450"/>
      <c r="G995" s="450"/>
      <c r="H995" s="450"/>
    </row>
    <row r="996" spans="1:8" s="423" customFormat="1">
      <c r="A996" s="448"/>
      <c r="B996" s="451"/>
      <c r="E996" s="450"/>
      <c r="G996" s="450"/>
      <c r="H996" s="450"/>
    </row>
    <row r="997" spans="1:8" s="423" customFormat="1">
      <c r="A997" s="448"/>
      <c r="B997" s="451"/>
      <c r="E997" s="450"/>
      <c r="G997" s="450"/>
      <c r="H997" s="450"/>
    </row>
    <row r="998" spans="1:8" s="423" customFormat="1">
      <c r="A998" s="448"/>
      <c r="B998" s="451"/>
      <c r="E998" s="450"/>
      <c r="G998" s="450"/>
      <c r="H998" s="450"/>
    </row>
    <row r="999" spans="1:8" s="423" customFormat="1">
      <c r="A999" s="448"/>
      <c r="B999" s="451"/>
      <c r="E999" s="450"/>
      <c r="G999" s="450"/>
      <c r="H999" s="450"/>
    </row>
    <row r="1000" spans="1:8" s="423" customFormat="1">
      <c r="A1000" s="448"/>
      <c r="B1000" s="451"/>
      <c r="E1000" s="450"/>
      <c r="G1000" s="450"/>
      <c r="H1000" s="450"/>
    </row>
    <row r="1001" spans="1:8" s="423" customFormat="1">
      <c r="A1001" s="448"/>
      <c r="B1001" s="451"/>
      <c r="E1001" s="450"/>
      <c r="G1001" s="450"/>
      <c r="H1001" s="450"/>
    </row>
    <row r="1002" spans="1:8" s="423" customFormat="1">
      <c r="A1002" s="448"/>
      <c r="B1002" s="451"/>
      <c r="E1002" s="450"/>
      <c r="G1002" s="450"/>
      <c r="H1002" s="450"/>
    </row>
    <row r="1003" spans="1:8" s="423" customFormat="1">
      <c r="A1003" s="448"/>
      <c r="B1003" s="451"/>
      <c r="E1003" s="450"/>
      <c r="G1003" s="450"/>
      <c r="H1003" s="450"/>
    </row>
    <row r="1004" spans="1:8" s="423" customFormat="1">
      <c r="A1004" s="448"/>
      <c r="B1004" s="451"/>
      <c r="E1004" s="450"/>
      <c r="G1004" s="450"/>
      <c r="H1004" s="450"/>
    </row>
    <row r="1005" spans="1:8" s="423" customFormat="1">
      <c r="A1005" s="448"/>
      <c r="B1005" s="451"/>
      <c r="E1005" s="450"/>
      <c r="G1005" s="450"/>
      <c r="H1005" s="450"/>
    </row>
    <row r="1006" spans="1:8" s="423" customFormat="1">
      <c r="A1006" s="448"/>
      <c r="B1006" s="451"/>
      <c r="E1006" s="450"/>
      <c r="G1006" s="450"/>
      <c r="H1006" s="450"/>
    </row>
    <row r="1007" spans="1:8" s="423" customFormat="1">
      <c r="A1007" s="448"/>
      <c r="B1007" s="451"/>
      <c r="E1007" s="450"/>
      <c r="G1007" s="450"/>
      <c r="H1007" s="450"/>
    </row>
    <row r="1008" spans="1:8" s="423" customFormat="1">
      <c r="A1008" s="448"/>
      <c r="B1008" s="451"/>
      <c r="E1008" s="450"/>
      <c r="G1008" s="450"/>
      <c r="H1008" s="450"/>
    </row>
    <row r="1009" spans="1:8" s="423" customFormat="1">
      <c r="A1009" s="448"/>
      <c r="B1009" s="451"/>
      <c r="E1009" s="450"/>
      <c r="G1009" s="450"/>
      <c r="H1009" s="450"/>
    </row>
    <row r="1010" spans="1:8" s="423" customFormat="1">
      <c r="A1010" s="448"/>
      <c r="B1010" s="451"/>
      <c r="E1010" s="450"/>
      <c r="G1010" s="450"/>
      <c r="H1010" s="450"/>
    </row>
    <row r="1011" spans="1:8" s="423" customFormat="1">
      <c r="A1011" s="448"/>
      <c r="B1011" s="451"/>
      <c r="E1011" s="450"/>
      <c r="G1011" s="450"/>
      <c r="H1011" s="450"/>
    </row>
    <row r="1012" spans="1:8" s="423" customFormat="1">
      <c r="A1012" s="448"/>
      <c r="B1012" s="451"/>
      <c r="E1012" s="450"/>
      <c r="G1012" s="450"/>
      <c r="H1012" s="450"/>
    </row>
    <row r="1013" spans="1:8" s="423" customFormat="1">
      <c r="A1013" s="448"/>
      <c r="B1013" s="451"/>
      <c r="E1013" s="450"/>
      <c r="G1013" s="450"/>
      <c r="H1013" s="450"/>
    </row>
    <row r="1014" spans="1:8" s="423" customFormat="1">
      <c r="A1014" s="448"/>
      <c r="B1014" s="451"/>
      <c r="E1014" s="450"/>
      <c r="G1014" s="450"/>
      <c r="H1014" s="450"/>
    </row>
    <row r="1015" spans="1:8" s="423" customFormat="1">
      <c r="A1015" s="448"/>
      <c r="B1015" s="451"/>
      <c r="E1015" s="450"/>
      <c r="G1015" s="450"/>
      <c r="H1015" s="450"/>
    </row>
    <row r="1016" spans="1:8" s="423" customFormat="1">
      <c r="A1016" s="448"/>
      <c r="B1016" s="451"/>
      <c r="E1016" s="450"/>
      <c r="G1016" s="450"/>
      <c r="H1016" s="450"/>
    </row>
    <row r="1017" spans="1:8" s="423" customFormat="1">
      <c r="A1017" s="448"/>
      <c r="B1017" s="451"/>
      <c r="E1017" s="450"/>
      <c r="G1017" s="450"/>
      <c r="H1017" s="450"/>
    </row>
    <row r="1018" spans="1:8" s="423" customFormat="1">
      <c r="A1018" s="448"/>
      <c r="B1018" s="451"/>
      <c r="E1018" s="450"/>
      <c r="G1018" s="450"/>
      <c r="H1018" s="450"/>
    </row>
    <row r="1019" spans="1:8" s="423" customFormat="1">
      <c r="A1019" s="448"/>
      <c r="B1019" s="451"/>
      <c r="E1019" s="450"/>
      <c r="G1019" s="450"/>
      <c r="H1019" s="450"/>
    </row>
    <row r="1020" spans="1:8" s="423" customFormat="1">
      <c r="A1020" s="448"/>
      <c r="B1020" s="451"/>
      <c r="E1020" s="450"/>
      <c r="G1020" s="450"/>
      <c r="H1020" s="450"/>
    </row>
    <row r="1021" spans="1:8" s="423" customFormat="1">
      <c r="A1021" s="448"/>
      <c r="B1021" s="451"/>
      <c r="E1021" s="450"/>
      <c r="G1021" s="450"/>
      <c r="H1021" s="450"/>
    </row>
    <row r="1022" spans="1:8" s="423" customFormat="1">
      <c r="A1022" s="448"/>
      <c r="B1022" s="451"/>
      <c r="E1022" s="450"/>
      <c r="G1022" s="450"/>
      <c r="H1022" s="450"/>
    </row>
    <row r="1023" spans="1:8" s="423" customFormat="1">
      <c r="A1023" s="448"/>
      <c r="B1023" s="451"/>
      <c r="E1023" s="450"/>
      <c r="G1023" s="450"/>
      <c r="H1023" s="450"/>
    </row>
    <row r="1024" spans="1:8" s="423" customFormat="1">
      <c r="A1024" s="448"/>
      <c r="B1024" s="451"/>
      <c r="E1024" s="450"/>
      <c r="G1024" s="450"/>
      <c r="H1024" s="450"/>
    </row>
    <row r="1025" spans="1:8" s="423" customFormat="1">
      <c r="A1025" s="448"/>
      <c r="B1025" s="451"/>
      <c r="E1025" s="450"/>
      <c r="G1025" s="450"/>
      <c r="H1025" s="450"/>
    </row>
    <row r="1026" spans="1:8" s="423" customFormat="1">
      <c r="A1026" s="448"/>
      <c r="B1026" s="451"/>
      <c r="E1026" s="450"/>
      <c r="G1026" s="450"/>
      <c r="H1026" s="450"/>
    </row>
    <row r="1027" spans="1:8" s="423" customFormat="1">
      <c r="A1027" s="448"/>
      <c r="B1027" s="451"/>
      <c r="E1027" s="450"/>
      <c r="G1027" s="450"/>
      <c r="H1027" s="450"/>
    </row>
    <row r="1028" spans="1:8" s="423" customFormat="1">
      <c r="A1028" s="448"/>
      <c r="B1028" s="451"/>
      <c r="E1028" s="450"/>
      <c r="G1028" s="450"/>
      <c r="H1028" s="450"/>
    </row>
    <row r="1029" spans="1:8" s="423" customFormat="1">
      <c r="A1029" s="448"/>
      <c r="B1029" s="451"/>
      <c r="E1029" s="450"/>
      <c r="G1029" s="450"/>
      <c r="H1029" s="450"/>
    </row>
    <row r="1030" spans="1:8" s="423" customFormat="1">
      <c r="A1030" s="448"/>
      <c r="B1030" s="451"/>
      <c r="E1030" s="450"/>
      <c r="G1030" s="450"/>
      <c r="H1030" s="450"/>
    </row>
    <row r="1031" spans="1:8" s="423" customFormat="1">
      <c r="A1031" s="448"/>
      <c r="B1031" s="451"/>
      <c r="E1031" s="450"/>
      <c r="G1031" s="450"/>
      <c r="H1031" s="450"/>
    </row>
    <row r="1032" spans="1:8" s="423" customFormat="1">
      <c r="A1032" s="448"/>
      <c r="B1032" s="451"/>
      <c r="E1032" s="450"/>
      <c r="G1032" s="450"/>
      <c r="H1032" s="450"/>
    </row>
    <row r="1033" spans="1:8" s="423" customFormat="1">
      <c r="A1033" s="448"/>
      <c r="B1033" s="451"/>
      <c r="E1033" s="450"/>
      <c r="G1033" s="450"/>
      <c r="H1033" s="450"/>
    </row>
    <row r="1034" spans="1:8" s="423" customFormat="1">
      <c r="A1034" s="448"/>
      <c r="B1034" s="451"/>
      <c r="E1034" s="450"/>
      <c r="G1034" s="450"/>
      <c r="H1034" s="450"/>
    </row>
    <row r="1035" spans="1:8" s="423" customFormat="1">
      <c r="A1035" s="448"/>
      <c r="B1035" s="451"/>
      <c r="E1035" s="450"/>
      <c r="G1035" s="450"/>
      <c r="H1035" s="450"/>
    </row>
    <row r="1036" spans="1:8" s="423" customFormat="1">
      <c r="A1036" s="448"/>
      <c r="B1036" s="451"/>
      <c r="E1036" s="450"/>
      <c r="G1036" s="450"/>
      <c r="H1036" s="450"/>
    </row>
    <row r="1037" spans="1:8" s="423" customFormat="1">
      <c r="A1037" s="448"/>
      <c r="B1037" s="451"/>
      <c r="E1037" s="450"/>
      <c r="G1037" s="450"/>
      <c r="H1037" s="450"/>
    </row>
    <row r="1038" spans="1:8" s="423" customFormat="1">
      <c r="A1038" s="448"/>
      <c r="B1038" s="451"/>
      <c r="E1038" s="450"/>
      <c r="G1038" s="450"/>
      <c r="H1038" s="450"/>
    </row>
    <row r="1039" spans="1:8" s="423" customFormat="1">
      <c r="A1039" s="448"/>
      <c r="B1039" s="451"/>
      <c r="E1039" s="450"/>
      <c r="G1039" s="450"/>
      <c r="H1039" s="450"/>
    </row>
    <row r="1040" spans="1:8" s="423" customFormat="1">
      <c r="A1040" s="448"/>
      <c r="B1040" s="451"/>
      <c r="E1040" s="450"/>
      <c r="G1040" s="450"/>
      <c r="H1040" s="450"/>
    </row>
    <row r="1041" spans="1:8" s="423" customFormat="1">
      <c r="A1041" s="448"/>
      <c r="B1041" s="451"/>
      <c r="E1041" s="450"/>
      <c r="G1041" s="450"/>
      <c r="H1041" s="450"/>
    </row>
    <row r="1042" spans="1:8" s="423" customFormat="1">
      <c r="A1042" s="448"/>
      <c r="B1042" s="451"/>
      <c r="E1042" s="450"/>
      <c r="G1042" s="450"/>
      <c r="H1042" s="450"/>
    </row>
    <row r="1043" spans="1:8" s="423" customFormat="1">
      <c r="A1043" s="448"/>
      <c r="B1043" s="451"/>
      <c r="E1043" s="450"/>
      <c r="G1043" s="450"/>
      <c r="H1043" s="450"/>
    </row>
    <row r="1044" spans="1:8" s="423" customFormat="1">
      <c r="A1044" s="448"/>
      <c r="B1044" s="451"/>
      <c r="E1044" s="450"/>
      <c r="G1044" s="450"/>
      <c r="H1044" s="450"/>
    </row>
    <row r="1045" spans="1:8" s="423" customFormat="1">
      <c r="A1045" s="448"/>
      <c r="B1045" s="451"/>
      <c r="E1045" s="450"/>
      <c r="G1045" s="450"/>
      <c r="H1045" s="450"/>
    </row>
    <row r="1046" spans="1:8" s="423" customFormat="1">
      <c r="A1046" s="448"/>
      <c r="B1046" s="451"/>
      <c r="E1046" s="450"/>
      <c r="G1046" s="450"/>
      <c r="H1046" s="450"/>
    </row>
    <row r="1047" spans="1:8" s="423" customFormat="1">
      <c r="A1047" s="448"/>
      <c r="B1047" s="451"/>
      <c r="E1047" s="450"/>
      <c r="G1047" s="450"/>
      <c r="H1047" s="450"/>
    </row>
    <row r="1048" spans="1:8" s="423" customFormat="1">
      <c r="A1048" s="448"/>
      <c r="B1048" s="451"/>
      <c r="E1048" s="450"/>
      <c r="G1048" s="450"/>
      <c r="H1048" s="450"/>
    </row>
    <row r="1049" spans="1:8" s="423" customFormat="1">
      <c r="A1049" s="448"/>
      <c r="B1049" s="451"/>
      <c r="E1049" s="450"/>
      <c r="G1049" s="450"/>
      <c r="H1049" s="450"/>
    </row>
    <row r="1050" spans="1:8" s="423" customFormat="1">
      <c r="A1050" s="448"/>
      <c r="B1050" s="451"/>
      <c r="E1050" s="450"/>
      <c r="G1050" s="450"/>
      <c r="H1050" s="450"/>
    </row>
    <row r="1051" spans="1:8" s="423" customFormat="1">
      <c r="A1051" s="448"/>
      <c r="B1051" s="451"/>
      <c r="E1051" s="450"/>
      <c r="G1051" s="450"/>
      <c r="H1051" s="450"/>
    </row>
    <row r="1052" spans="1:8" s="423" customFormat="1">
      <c r="A1052" s="448"/>
      <c r="B1052" s="451"/>
      <c r="E1052" s="450"/>
      <c r="G1052" s="450"/>
      <c r="H1052" s="450"/>
    </row>
    <row r="1053" spans="1:8" s="423" customFormat="1">
      <c r="A1053" s="448"/>
      <c r="B1053" s="451"/>
      <c r="E1053" s="450"/>
      <c r="G1053" s="450"/>
      <c r="H1053" s="450"/>
    </row>
    <row r="1054" spans="1:8" s="423" customFormat="1">
      <c r="A1054" s="448"/>
      <c r="B1054" s="451"/>
      <c r="E1054" s="450"/>
      <c r="G1054" s="450"/>
      <c r="H1054" s="450"/>
    </row>
    <row r="1055" spans="1:8" s="423" customFormat="1">
      <c r="A1055" s="448"/>
      <c r="B1055" s="451"/>
      <c r="E1055" s="450"/>
      <c r="G1055" s="450"/>
      <c r="H1055" s="450"/>
    </row>
    <row r="1056" spans="1:8" s="423" customFormat="1">
      <c r="A1056" s="448"/>
      <c r="B1056" s="451"/>
      <c r="E1056" s="450"/>
      <c r="G1056" s="450"/>
      <c r="H1056" s="450"/>
    </row>
    <row r="1057" spans="1:8" s="423" customFormat="1">
      <c r="A1057" s="448"/>
      <c r="B1057" s="451"/>
      <c r="E1057" s="450"/>
      <c r="G1057" s="450"/>
      <c r="H1057" s="450"/>
    </row>
    <row r="1058" spans="1:8" s="423" customFormat="1">
      <c r="A1058" s="448"/>
      <c r="B1058" s="451"/>
      <c r="E1058" s="450"/>
      <c r="G1058" s="450"/>
      <c r="H1058" s="450"/>
    </row>
    <row r="1059" spans="1:8" s="423" customFormat="1">
      <c r="A1059" s="448"/>
      <c r="B1059" s="451"/>
      <c r="E1059" s="450"/>
      <c r="G1059" s="450"/>
      <c r="H1059" s="450"/>
    </row>
    <row r="1060" spans="1:8" s="423" customFormat="1">
      <c r="A1060" s="448"/>
      <c r="B1060" s="451"/>
      <c r="E1060" s="450"/>
      <c r="G1060" s="450"/>
      <c r="H1060" s="450"/>
    </row>
    <row r="1061" spans="1:8" s="423" customFormat="1">
      <c r="A1061" s="448"/>
      <c r="B1061" s="451"/>
      <c r="E1061" s="450"/>
      <c r="G1061" s="450"/>
      <c r="H1061" s="450"/>
    </row>
    <row r="1062" spans="1:8" s="423" customFormat="1">
      <c r="A1062" s="448"/>
      <c r="B1062" s="451"/>
      <c r="E1062" s="450"/>
      <c r="G1062" s="450"/>
      <c r="H1062" s="450"/>
    </row>
    <row r="1063" spans="1:8" s="423" customFormat="1">
      <c r="A1063" s="448"/>
      <c r="B1063" s="451"/>
      <c r="E1063" s="450"/>
      <c r="G1063" s="450"/>
      <c r="H1063" s="450"/>
    </row>
    <row r="1064" spans="1:8" s="423" customFormat="1">
      <c r="A1064" s="448"/>
      <c r="B1064" s="451"/>
      <c r="E1064" s="450"/>
      <c r="G1064" s="450"/>
      <c r="H1064" s="450"/>
    </row>
    <row r="1065" spans="1:8" s="423" customFormat="1">
      <c r="A1065" s="448"/>
      <c r="B1065" s="451"/>
      <c r="E1065" s="450"/>
      <c r="G1065" s="450"/>
      <c r="H1065" s="450"/>
    </row>
    <row r="1066" spans="1:8" s="423" customFormat="1">
      <c r="A1066" s="448"/>
      <c r="B1066" s="451"/>
      <c r="E1066" s="450"/>
      <c r="G1066" s="450"/>
      <c r="H1066" s="450"/>
    </row>
    <row r="1067" spans="1:8" s="423" customFormat="1">
      <c r="A1067" s="448"/>
      <c r="B1067" s="451"/>
      <c r="E1067" s="450"/>
      <c r="G1067" s="450"/>
      <c r="H1067" s="450"/>
    </row>
    <row r="1068" spans="1:8" s="423" customFormat="1">
      <c r="A1068" s="448"/>
      <c r="B1068" s="451"/>
      <c r="E1068" s="450"/>
      <c r="G1068" s="450"/>
      <c r="H1068" s="450"/>
    </row>
    <row r="1069" spans="1:8" s="423" customFormat="1">
      <c r="A1069" s="448"/>
      <c r="B1069" s="451"/>
      <c r="E1069" s="450"/>
      <c r="G1069" s="450"/>
      <c r="H1069" s="450"/>
    </row>
    <row r="1070" spans="1:8" s="423" customFormat="1">
      <c r="A1070" s="448"/>
      <c r="B1070" s="451"/>
      <c r="E1070" s="450"/>
      <c r="G1070" s="450"/>
      <c r="H1070" s="450"/>
    </row>
    <row r="1071" spans="1:8" s="423" customFormat="1">
      <c r="A1071" s="448"/>
      <c r="B1071" s="451"/>
      <c r="E1071" s="450"/>
      <c r="G1071" s="450"/>
      <c r="H1071" s="450"/>
    </row>
    <row r="1072" spans="1:8" s="423" customFormat="1">
      <c r="A1072" s="448"/>
      <c r="B1072" s="451"/>
      <c r="E1072" s="450"/>
      <c r="G1072" s="450"/>
      <c r="H1072" s="450"/>
    </row>
    <row r="1073" spans="1:8" s="423" customFormat="1">
      <c r="A1073" s="448"/>
      <c r="B1073" s="451"/>
      <c r="E1073" s="450"/>
      <c r="G1073" s="450"/>
      <c r="H1073" s="450"/>
    </row>
    <row r="1074" spans="1:8" s="423" customFormat="1">
      <c r="A1074" s="448"/>
      <c r="B1074" s="451"/>
      <c r="E1074" s="450"/>
      <c r="G1074" s="450"/>
      <c r="H1074" s="450"/>
    </row>
    <row r="1075" spans="1:8" s="423" customFormat="1">
      <c r="A1075" s="448"/>
      <c r="B1075" s="451"/>
      <c r="E1075" s="450"/>
      <c r="G1075" s="450"/>
      <c r="H1075" s="450"/>
    </row>
    <row r="1076" spans="1:8" s="423" customFormat="1">
      <c r="A1076" s="448"/>
      <c r="B1076" s="451"/>
      <c r="E1076" s="450"/>
      <c r="G1076" s="450"/>
      <c r="H1076" s="450"/>
    </row>
    <row r="1077" spans="1:8" s="423" customFormat="1">
      <c r="A1077" s="448"/>
      <c r="B1077" s="451"/>
      <c r="E1077" s="450"/>
      <c r="G1077" s="450"/>
      <c r="H1077" s="450"/>
    </row>
    <row r="1078" spans="1:8" s="423" customFormat="1">
      <c r="A1078" s="448"/>
      <c r="B1078" s="451"/>
      <c r="E1078" s="450"/>
      <c r="G1078" s="450"/>
      <c r="H1078" s="450"/>
    </row>
    <row r="1079" spans="1:8" s="423" customFormat="1">
      <c r="A1079" s="448"/>
      <c r="B1079" s="451"/>
      <c r="E1079" s="450"/>
      <c r="G1079" s="450"/>
      <c r="H1079" s="450"/>
    </row>
    <row r="1080" spans="1:8" s="423" customFormat="1">
      <c r="A1080" s="448"/>
      <c r="B1080" s="451"/>
      <c r="E1080" s="450"/>
      <c r="G1080" s="450"/>
      <c r="H1080" s="450"/>
    </row>
    <row r="1081" spans="1:8" s="423" customFormat="1">
      <c r="A1081" s="448"/>
      <c r="B1081" s="451"/>
      <c r="E1081" s="450"/>
      <c r="G1081" s="450"/>
      <c r="H1081" s="450"/>
    </row>
    <row r="1082" spans="1:8" s="423" customFormat="1">
      <c r="A1082" s="448"/>
      <c r="B1082" s="451"/>
      <c r="E1082" s="450"/>
      <c r="G1082" s="450"/>
      <c r="H1082" s="450"/>
    </row>
    <row r="1083" spans="1:8" s="423" customFormat="1">
      <c r="A1083" s="448"/>
      <c r="B1083" s="451"/>
      <c r="E1083" s="450"/>
      <c r="G1083" s="450"/>
      <c r="H1083" s="450"/>
    </row>
    <row r="1084" spans="1:8" s="423" customFormat="1">
      <c r="A1084" s="448"/>
      <c r="B1084" s="451"/>
      <c r="E1084" s="450"/>
      <c r="G1084" s="450"/>
      <c r="H1084" s="450"/>
    </row>
    <row r="1085" spans="1:8" s="423" customFormat="1">
      <c r="A1085" s="448"/>
      <c r="B1085" s="451"/>
      <c r="E1085" s="450"/>
      <c r="G1085" s="450"/>
      <c r="H1085" s="450"/>
    </row>
    <row r="1086" spans="1:8" s="423" customFormat="1">
      <c r="A1086" s="448"/>
      <c r="B1086" s="451"/>
      <c r="E1086" s="450"/>
      <c r="G1086" s="450"/>
      <c r="H1086" s="450"/>
    </row>
    <row r="1087" spans="1:8" s="423" customFormat="1">
      <c r="A1087" s="448"/>
      <c r="B1087" s="451"/>
      <c r="E1087" s="450"/>
      <c r="G1087" s="450"/>
      <c r="H1087" s="450"/>
    </row>
    <row r="1088" spans="1:8" s="423" customFormat="1">
      <c r="A1088" s="448"/>
      <c r="B1088" s="451"/>
      <c r="E1088" s="450"/>
      <c r="G1088" s="450"/>
      <c r="H1088" s="450"/>
    </row>
    <row r="1089" spans="1:8" s="423" customFormat="1">
      <c r="A1089" s="448"/>
      <c r="B1089" s="451"/>
      <c r="E1089" s="450"/>
      <c r="G1089" s="450"/>
      <c r="H1089" s="450"/>
    </row>
    <row r="1090" spans="1:8" s="423" customFormat="1">
      <c r="A1090" s="448"/>
      <c r="B1090" s="451"/>
      <c r="E1090" s="450"/>
      <c r="G1090" s="450"/>
      <c r="H1090" s="450"/>
    </row>
    <row r="1091" spans="1:8" s="423" customFormat="1">
      <c r="A1091" s="448"/>
      <c r="B1091" s="451"/>
      <c r="E1091" s="450"/>
      <c r="G1091" s="450"/>
      <c r="H1091" s="450"/>
    </row>
    <row r="1092" spans="1:8" s="423" customFormat="1">
      <c r="A1092" s="448"/>
      <c r="B1092" s="451"/>
      <c r="E1092" s="450"/>
      <c r="G1092" s="450"/>
      <c r="H1092" s="450"/>
    </row>
    <row r="1093" spans="1:8" s="423" customFormat="1">
      <c r="A1093" s="448"/>
      <c r="B1093" s="451"/>
      <c r="E1093" s="450"/>
      <c r="G1093" s="450"/>
      <c r="H1093" s="450"/>
    </row>
    <row r="1094" spans="1:8" s="423" customFormat="1">
      <c r="A1094" s="448"/>
      <c r="B1094" s="451"/>
      <c r="E1094" s="450"/>
      <c r="G1094" s="450"/>
      <c r="H1094" s="450"/>
    </row>
    <row r="1095" spans="1:8" s="423" customFormat="1">
      <c r="A1095" s="448"/>
      <c r="B1095" s="451"/>
      <c r="E1095" s="450"/>
      <c r="G1095" s="450"/>
      <c r="H1095" s="450"/>
    </row>
    <row r="1096" spans="1:8" s="423" customFormat="1">
      <c r="A1096" s="448"/>
      <c r="B1096" s="451"/>
      <c r="E1096" s="450"/>
      <c r="G1096" s="450"/>
      <c r="H1096" s="450"/>
    </row>
    <row r="1097" spans="1:8" s="423" customFormat="1">
      <c r="A1097" s="448"/>
      <c r="B1097" s="451"/>
      <c r="E1097" s="450"/>
      <c r="G1097" s="450"/>
      <c r="H1097" s="450"/>
    </row>
    <row r="1098" spans="1:8" s="423" customFormat="1">
      <c r="A1098" s="448"/>
      <c r="B1098" s="451"/>
      <c r="E1098" s="450"/>
      <c r="G1098" s="450"/>
      <c r="H1098" s="450"/>
    </row>
    <row r="1099" spans="1:8" s="423" customFormat="1">
      <c r="A1099" s="448"/>
      <c r="B1099" s="451"/>
      <c r="E1099" s="450"/>
      <c r="G1099" s="450"/>
      <c r="H1099" s="450"/>
    </row>
    <row r="1100" spans="1:8" s="423" customFormat="1">
      <c r="A1100" s="448"/>
      <c r="B1100" s="451"/>
      <c r="E1100" s="450"/>
      <c r="G1100" s="450"/>
      <c r="H1100" s="450"/>
    </row>
    <row r="1101" spans="1:8" s="423" customFormat="1">
      <c r="A1101" s="448"/>
      <c r="B1101" s="451"/>
      <c r="E1101" s="450"/>
      <c r="G1101" s="450"/>
      <c r="H1101" s="450"/>
    </row>
    <row r="1102" spans="1:8" s="423" customFormat="1">
      <c r="A1102" s="448"/>
      <c r="B1102" s="451"/>
      <c r="E1102" s="450"/>
      <c r="G1102" s="450"/>
      <c r="H1102" s="450"/>
    </row>
    <row r="1103" spans="1:8" s="423" customFormat="1">
      <c r="A1103" s="448"/>
      <c r="B1103" s="451"/>
      <c r="E1103" s="450"/>
      <c r="G1103" s="450"/>
      <c r="H1103" s="450"/>
    </row>
    <row r="1104" spans="1:8" s="423" customFormat="1">
      <c r="A1104" s="448"/>
      <c r="B1104" s="451"/>
      <c r="E1104" s="450"/>
      <c r="G1104" s="450"/>
      <c r="H1104" s="450"/>
    </row>
    <row r="1105" spans="1:8" s="423" customFormat="1">
      <c r="A1105" s="448"/>
      <c r="B1105" s="451"/>
      <c r="E1105" s="450"/>
      <c r="G1105" s="450"/>
      <c r="H1105" s="450"/>
    </row>
    <row r="1106" spans="1:8" s="423" customFormat="1">
      <c r="A1106" s="448"/>
      <c r="B1106" s="451"/>
      <c r="E1106" s="450"/>
      <c r="G1106" s="450"/>
      <c r="H1106" s="450"/>
    </row>
    <row r="1107" spans="1:8" s="423" customFormat="1">
      <c r="A1107" s="448"/>
      <c r="B1107" s="451"/>
      <c r="E1107" s="450"/>
      <c r="G1107" s="450"/>
      <c r="H1107" s="450"/>
    </row>
    <row r="1108" spans="1:8" s="423" customFormat="1">
      <c r="A1108" s="448"/>
      <c r="B1108" s="451"/>
      <c r="E1108" s="450"/>
      <c r="G1108" s="450"/>
      <c r="H1108" s="450"/>
    </row>
    <row r="1109" spans="1:8" s="423" customFormat="1">
      <c r="A1109" s="448"/>
      <c r="B1109" s="451"/>
      <c r="E1109" s="450"/>
      <c r="G1109" s="450"/>
      <c r="H1109" s="450"/>
    </row>
    <row r="1110" spans="1:8" s="423" customFormat="1">
      <c r="A1110" s="448"/>
      <c r="B1110" s="451"/>
      <c r="E1110" s="450"/>
      <c r="G1110" s="450"/>
      <c r="H1110" s="450"/>
    </row>
    <row r="1111" spans="1:8" s="423" customFormat="1">
      <c r="A1111" s="448"/>
      <c r="B1111" s="451"/>
      <c r="E1111" s="450"/>
      <c r="G1111" s="450"/>
      <c r="H1111" s="450"/>
    </row>
    <row r="1112" spans="1:8" s="423" customFormat="1">
      <c r="A1112" s="448"/>
      <c r="B1112" s="451"/>
      <c r="E1112" s="450"/>
      <c r="G1112" s="450"/>
      <c r="H1112" s="450"/>
    </row>
    <row r="1113" spans="1:8" s="423" customFormat="1">
      <c r="A1113" s="448"/>
      <c r="B1113" s="451"/>
      <c r="E1113" s="450"/>
      <c r="G1113" s="450"/>
      <c r="H1113" s="450"/>
    </row>
    <row r="1114" spans="1:8" s="423" customFormat="1">
      <c r="A1114" s="448"/>
      <c r="B1114" s="451"/>
      <c r="E1114" s="450"/>
      <c r="G1114" s="450"/>
      <c r="H1114" s="450"/>
    </row>
    <row r="1115" spans="1:8" s="423" customFormat="1">
      <c r="A1115" s="448"/>
      <c r="B1115" s="451"/>
      <c r="E1115" s="450"/>
      <c r="G1115" s="450"/>
      <c r="H1115" s="450"/>
    </row>
    <row r="1116" spans="1:8" s="423" customFormat="1">
      <c r="A1116" s="448"/>
      <c r="B1116" s="451"/>
      <c r="E1116" s="450"/>
      <c r="G1116" s="450"/>
      <c r="H1116" s="450"/>
    </row>
    <row r="1117" spans="1:8" s="423" customFormat="1">
      <c r="A1117" s="448"/>
      <c r="B1117" s="451"/>
      <c r="E1117" s="450"/>
      <c r="G1117" s="450"/>
      <c r="H1117" s="450"/>
    </row>
    <row r="1118" spans="1:8" s="423" customFormat="1">
      <c r="A1118" s="448"/>
      <c r="B1118" s="451"/>
      <c r="E1118" s="450"/>
      <c r="G1118" s="450"/>
      <c r="H1118" s="450"/>
    </row>
    <row r="1119" spans="1:8" s="423" customFormat="1">
      <c r="A1119" s="448"/>
      <c r="B1119" s="451"/>
      <c r="E1119" s="450"/>
      <c r="G1119" s="450"/>
      <c r="H1119" s="450"/>
    </row>
    <row r="1120" spans="1:8" s="423" customFormat="1">
      <c r="A1120" s="448"/>
      <c r="B1120" s="451"/>
      <c r="E1120" s="450"/>
      <c r="G1120" s="450"/>
      <c r="H1120" s="450"/>
    </row>
    <row r="1121" spans="1:8" s="423" customFormat="1">
      <c r="A1121" s="448"/>
      <c r="B1121" s="451"/>
      <c r="E1121" s="450"/>
      <c r="G1121" s="450"/>
      <c r="H1121" s="450"/>
    </row>
    <row r="1122" spans="1:8" s="423" customFormat="1">
      <c r="A1122" s="448"/>
      <c r="B1122" s="451"/>
      <c r="E1122" s="450"/>
      <c r="G1122" s="450"/>
      <c r="H1122" s="450"/>
    </row>
    <row r="1123" spans="1:8" s="423" customFormat="1">
      <c r="A1123" s="448"/>
      <c r="B1123" s="451"/>
      <c r="E1123" s="450"/>
      <c r="G1123" s="450"/>
      <c r="H1123" s="450"/>
    </row>
    <row r="1124" spans="1:8" s="423" customFormat="1">
      <c r="A1124" s="448"/>
      <c r="B1124" s="451"/>
      <c r="E1124" s="450"/>
      <c r="G1124" s="450"/>
      <c r="H1124" s="450"/>
    </row>
    <row r="1125" spans="1:8" s="423" customFormat="1">
      <c r="A1125" s="448"/>
      <c r="B1125" s="451"/>
      <c r="E1125" s="450"/>
      <c r="G1125" s="450"/>
      <c r="H1125" s="450"/>
    </row>
    <row r="1126" spans="1:8" s="423" customFormat="1">
      <c r="A1126" s="448"/>
      <c r="B1126" s="451"/>
      <c r="E1126" s="450"/>
      <c r="G1126" s="450"/>
      <c r="H1126" s="450"/>
    </row>
    <row r="1127" spans="1:8" s="423" customFormat="1">
      <c r="A1127" s="448"/>
      <c r="B1127" s="451"/>
      <c r="E1127" s="450"/>
      <c r="G1127" s="450"/>
      <c r="H1127" s="450"/>
    </row>
    <row r="1128" spans="1:8" s="423" customFormat="1">
      <c r="A1128" s="448"/>
      <c r="B1128" s="451"/>
      <c r="E1128" s="450"/>
      <c r="G1128" s="450"/>
      <c r="H1128" s="450"/>
    </row>
    <row r="1129" spans="1:8" s="423" customFormat="1">
      <c r="A1129" s="448"/>
      <c r="B1129" s="451"/>
      <c r="E1129" s="450"/>
      <c r="G1129" s="450"/>
      <c r="H1129" s="450"/>
    </row>
    <row r="1130" spans="1:8" s="423" customFormat="1">
      <c r="A1130" s="448"/>
      <c r="B1130" s="451"/>
      <c r="E1130" s="450"/>
      <c r="G1130" s="450"/>
      <c r="H1130" s="450"/>
    </row>
    <row r="1131" spans="1:8" s="423" customFormat="1">
      <c r="A1131" s="448"/>
      <c r="B1131" s="451"/>
      <c r="E1131" s="450"/>
      <c r="G1131" s="450"/>
      <c r="H1131" s="450"/>
    </row>
    <row r="1132" spans="1:8" s="423" customFormat="1">
      <c r="A1132" s="448"/>
      <c r="B1132" s="451"/>
      <c r="E1132" s="450"/>
      <c r="G1132" s="450"/>
      <c r="H1132" s="450"/>
    </row>
    <row r="1133" spans="1:8" s="423" customFormat="1">
      <c r="A1133" s="448"/>
      <c r="B1133" s="451"/>
      <c r="E1133" s="450"/>
      <c r="G1133" s="450"/>
      <c r="H1133" s="450"/>
    </row>
    <row r="1134" spans="1:8" s="423" customFormat="1">
      <c r="A1134" s="448"/>
      <c r="B1134" s="451"/>
      <c r="E1134" s="450"/>
      <c r="G1134" s="450"/>
      <c r="H1134" s="450"/>
    </row>
    <row r="1135" spans="1:8" s="423" customFormat="1">
      <c r="A1135" s="448"/>
      <c r="B1135" s="451"/>
      <c r="E1135" s="450"/>
      <c r="G1135" s="450"/>
      <c r="H1135" s="450"/>
    </row>
    <row r="1136" spans="1:8" s="423" customFormat="1">
      <c r="A1136" s="448"/>
      <c r="B1136" s="451"/>
      <c r="E1136" s="450"/>
      <c r="G1136" s="450"/>
      <c r="H1136" s="450"/>
    </row>
    <row r="1137" spans="1:8" s="423" customFormat="1">
      <c r="A1137" s="448"/>
      <c r="B1137" s="451"/>
      <c r="E1137" s="450"/>
      <c r="G1137" s="450"/>
      <c r="H1137" s="450"/>
    </row>
    <row r="1138" spans="1:8" s="423" customFormat="1">
      <c r="A1138" s="448"/>
      <c r="B1138" s="451"/>
      <c r="E1138" s="450"/>
      <c r="G1138" s="450"/>
      <c r="H1138" s="450"/>
    </row>
    <row r="1139" spans="1:8" s="423" customFormat="1">
      <c r="A1139" s="448"/>
      <c r="B1139" s="451"/>
      <c r="E1139" s="450"/>
      <c r="G1139" s="450"/>
      <c r="H1139" s="450"/>
    </row>
    <row r="1140" spans="1:8" s="423" customFormat="1">
      <c r="A1140" s="448"/>
      <c r="B1140" s="451"/>
      <c r="E1140" s="450"/>
      <c r="G1140" s="450"/>
      <c r="H1140" s="450"/>
    </row>
    <row r="1141" spans="1:8" s="423" customFormat="1">
      <c r="A1141" s="448"/>
      <c r="B1141" s="451"/>
      <c r="E1141" s="450"/>
      <c r="G1141" s="450"/>
      <c r="H1141" s="450"/>
    </row>
    <row r="1142" spans="1:8" s="423" customFormat="1">
      <c r="A1142" s="448"/>
      <c r="B1142" s="451"/>
      <c r="E1142" s="450"/>
      <c r="G1142" s="450"/>
      <c r="H1142" s="450"/>
    </row>
    <row r="1143" spans="1:8" s="423" customFormat="1">
      <c r="A1143" s="448"/>
      <c r="B1143" s="451"/>
      <c r="E1143" s="450"/>
      <c r="G1143" s="450"/>
      <c r="H1143" s="450"/>
    </row>
    <row r="1144" spans="1:8" s="423" customFormat="1">
      <c r="A1144" s="448"/>
      <c r="B1144" s="451"/>
      <c r="E1144" s="450"/>
      <c r="G1144" s="450"/>
      <c r="H1144" s="450"/>
    </row>
    <row r="1145" spans="1:8" s="423" customFormat="1">
      <c r="A1145" s="448"/>
      <c r="B1145" s="451"/>
      <c r="E1145" s="450"/>
      <c r="G1145" s="450"/>
      <c r="H1145" s="450"/>
    </row>
    <row r="1146" spans="1:8" s="423" customFormat="1">
      <c r="A1146" s="448"/>
      <c r="B1146" s="451"/>
      <c r="E1146" s="450"/>
      <c r="G1146" s="450"/>
      <c r="H1146" s="450"/>
    </row>
    <row r="1147" spans="1:8" s="423" customFormat="1">
      <c r="A1147" s="448"/>
      <c r="B1147" s="451"/>
      <c r="E1147" s="450"/>
      <c r="G1147" s="450"/>
      <c r="H1147" s="450"/>
    </row>
    <row r="1148" spans="1:8" s="423" customFormat="1">
      <c r="A1148" s="448"/>
      <c r="B1148" s="451"/>
      <c r="E1148" s="450"/>
      <c r="G1148" s="450"/>
      <c r="H1148" s="450"/>
    </row>
    <row r="1149" spans="1:8" s="423" customFormat="1">
      <c r="A1149" s="448"/>
      <c r="B1149" s="451"/>
      <c r="E1149" s="450"/>
      <c r="G1149" s="450"/>
      <c r="H1149" s="450"/>
    </row>
    <row r="1150" spans="1:8" s="423" customFormat="1">
      <c r="A1150" s="448"/>
      <c r="B1150" s="451"/>
      <c r="E1150" s="450"/>
      <c r="G1150" s="450"/>
      <c r="H1150" s="450"/>
    </row>
    <row r="1151" spans="1:8" s="423" customFormat="1">
      <c r="A1151" s="448"/>
      <c r="B1151" s="451"/>
      <c r="E1151" s="450"/>
      <c r="G1151" s="450"/>
      <c r="H1151" s="450"/>
    </row>
    <row r="1152" spans="1:8" s="423" customFormat="1">
      <c r="A1152" s="448"/>
      <c r="B1152" s="451"/>
      <c r="E1152" s="450"/>
      <c r="G1152" s="450"/>
      <c r="H1152" s="450"/>
    </row>
    <row r="1153" spans="1:8" s="423" customFormat="1">
      <c r="A1153" s="448"/>
      <c r="B1153" s="451"/>
      <c r="E1153" s="450"/>
      <c r="G1153" s="450"/>
      <c r="H1153" s="450"/>
    </row>
    <row r="1154" spans="1:8" s="423" customFormat="1">
      <c r="A1154" s="448"/>
      <c r="B1154" s="451"/>
      <c r="E1154" s="450"/>
      <c r="G1154" s="450"/>
      <c r="H1154" s="450"/>
    </row>
    <row r="1155" spans="1:8" s="423" customFormat="1">
      <c r="A1155" s="448"/>
      <c r="B1155" s="451"/>
      <c r="E1155" s="450"/>
      <c r="G1155" s="450"/>
      <c r="H1155" s="450"/>
    </row>
    <row r="1156" spans="1:8" s="423" customFormat="1">
      <c r="A1156" s="448"/>
      <c r="B1156" s="451"/>
      <c r="E1156" s="450"/>
      <c r="G1156" s="450"/>
      <c r="H1156" s="450"/>
    </row>
    <row r="1157" spans="1:8" s="423" customFormat="1">
      <c r="A1157" s="448"/>
      <c r="B1157" s="451"/>
      <c r="E1157" s="450"/>
      <c r="G1157" s="450"/>
      <c r="H1157" s="450"/>
    </row>
    <row r="1158" spans="1:8" s="423" customFormat="1">
      <c r="A1158" s="448"/>
      <c r="B1158" s="451"/>
      <c r="E1158" s="450"/>
      <c r="G1158" s="450"/>
      <c r="H1158" s="450"/>
    </row>
    <row r="1159" spans="1:8" s="423" customFormat="1">
      <c r="A1159" s="448"/>
      <c r="B1159" s="451"/>
      <c r="E1159" s="450"/>
      <c r="G1159" s="450"/>
      <c r="H1159" s="450"/>
    </row>
    <row r="1160" spans="1:8" s="423" customFormat="1">
      <c r="A1160" s="448"/>
      <c r="B1160" s="451"/>
      <c r="E1160" s="450"/>
      <c r="G1160" s="450"/>
      <c r="H1160" s="450"/>
    </row>
    <row r="1161" spans="1:8" s="423" customFormat="1">
      <c r="A1161" s="448"/>
      <c r="B1161" s="451"/>
      <c r="E1161" s="450"/>
      <c r="G1161" s="450"/>
      <c r="H1161" s="450"/>
    </row>
    <row r="1162" spans="1:8" s="423" customFormat="1">
      <c r="A1162" s="448"/>
      <c r="B1162" s="451"/>
      <c r="E1162" s="450"/>
      <c r="G1162" s="450"/>
      <c r="H1162" s="450"/>
    </row>
    <row r="1163" spans="1:8" s="423" customFormat="1">
      <c r="A1163" s="448"/>
      <c r="B1163" s="451"/>
      <c r="E1163" s="450"/>
      <c r="G1163" s="450"/>
      <c r="H1163" s="450"/>
    </row>
    <row r="1164" spans="1:8" s="423" customFormat="1">
      <c r="A1164" s="448"/>
      <c r="B1164" s="451"/>
      <c r="E1164" s="450"/>
      <c r="G1164" s="450"/>
      <c r="H1164" s="450"/>
    </row>
    <row r="1165" spans="1:8" s="423" customFormat="1">
      <c r="A1165" s="448"/>
      <c r="B1165" s="451"/>
      <c r="E1165" s="450"/>
      <c r="G1165" s="450"/>
      <c r="H1165" s="450"/>
    </row>
    <row r="1166" spans="1:8" s="423" customFormat="1">
      <c r="A1166" s="448"/>
      <c r="B1166" s="451"/>
      <c r="E1166" s="450"/>
      <c r="G1166" s="450"/>
      <c r="H1166" s="450"/>
    </row>
    <row r="1167" spans="1:8" s="423" customFormat="1">
      <c r="A1167" s="448"/>
      <c r="B1167" s="451"/>
      <c r="E1167" s="450"/>
      <c r="G1167" s="450"/>
      <c r="H1167" s="450"/>
    </row>
    <row r="1168" spans="1:8" s="423" customFormat="1">
      <c r="A1168" s="448"/>
      <c r="B1168" s="451"/>
      <c r="E1168" s="450"/>
      <c r="G1168" s="450"/>
      <c r="H1168" s="450"/>
    </row>
    <row r="1169" spans="1:8" s="423" customFormat="1">
      <c r="A1169" s="448"/>
      <c r="B1169" s="451"/>
      <c r="E1169" s="450"/>
      <c r="G1169" s="450"/>
      <c r="H1169" s="450"/>
    </row>
    <row r="1170" spans="1:8" s="423" customFormat="1">
      <c r="A1170" s="448"/>
      <c r="B1170" s="451"/>
      <c r="E1170" s="450"/>
      <c r="G1170" s="450"/>
      <c r="H1170" s="450"/>
    </row>
    <row r="1171" spans="1:8" s="423" customFormat="1">
      <c r="A1171" s="448"/>
      <c r="B1171" s="451"/>
      <c r="E1171" s="450"/>
      <c r="G1171" s="450"/>
      <c r="H1171" s="450"/>
    </row>
    <row r="1172" spans="1:8" s="423" customFormat="1">
      <c r="A1172" s="448"/>
      <c r="B1172" s="451"/>
      <c r="E1172" s="450"/>
      <c r="G1172" s="450"/>
      <c r="H1172" s="450"/>
    </row>
    <row r="1173" spans="1:8" s="423" customFormat="1">
      <c r="A1173" s="448"/>
      <c r="B1173" s="451"/>
      <c r="E1173" s="450"/>
      <c r="G1173" s="450"/>
      <c r="H1173" s="450"/>
    </row>
    <row r="1174" spans="1:8" s="423" customFormat="1">
      <c r="A1174" s="448"/>
      <c r="B1174" s="451"/>
      <c r="E1174" s="450"/>
      <c r="G1174" s="450"/>
      <c r="H1174" s="450"/>
    </row>
    <row r="1175" spans="1:8" s="423" customFormat="1">
      <c r="A1175" s="448"/>
      <c r="B1175" s="451"/>
      <c r="E1175" s="450"/>
      <c r="G1175" s="450"/>
      <c r="H1175" s="450"/>
    </row>
    <row r="1176" spans="1:8" s="423" customFormat="1">
      <c r="A1176" s="448"/>
      <c r="B1176" s="451"/>
      <c r="E1176" s="450"/>
      <c r="G1176" s="450"/>
      <c r="H1176" s="450"/>
    </row>
    <row r="1177" spans="1:8" s="423" customFormat="1">
      <c r="A1177" s="448"/>
      <c r="B1177" s="451"/>
      <c r="E1177" s="450"/>
      <c r="G1177" s="450"/>
      <c r="H1177" s="450"/>
    </row>
    <row r="1178" spans="1:8" s="423" customFormat="1">
      <c r="A1178" s="448"/>
      <c r="B1178" s="451"/>
      <c r="E1178" s="450"/>
      <c r="G1178" s="450"/>
      <c r="H1178" s="450"/>
    </row>
    <row r="1179" spans="1:8" s="423" customFormat="1">
      <c r="A1179" s="448"/>
      <c r="B1179" s="451"/>
      <c r="E1179" s="450"/>
      <c r="G1179" s="450"/>
      <c r="H1179" s="450"/>
    </row>
    <row r="1180" spans="1:8" s="423" customFormat="1">
      <c r="A1180" s="448"/>
      <c r="B1180" s="451"/>
      <c r="E1180" s="450"/>
      <c r="G1180" s="450"/>
      <c r="H1180" s="450"/>
    </row>
    <row r="1181" spans="1:8" s="423" customFormat="1">
      <c r="A1181" s="448"/>
      <c r="B1181" s="451"/>
      <c r="E1181" s="450"/>
      <c r="G1181" s="450"/>
      <c r="H1181" s="450"/>
    </row>
    <row r="1182" spans="1:8" s="423" customFormat="1">
      <c r="A1182" s="448"/>
      <c r="B1182" s="451"/>
      <c r="E1182" s="450"/>
      <c r="G1182" s="450"/>
      <c r="H1182" s="450"/>
    </row>
    <row r="1183" spans="1:8" s="423" customFormat="1">
      <c r="A1183" s="448"/>
      <c r="B1183" s="451"/>
      <c r="E1183" s="450"/>
      <c r="G1183" s="450"/>
      <c r="H1183" s="450"/>
    </row>
    <row r="1184" spans="1:8" s="423" customFormat="1">
      <c r="A1184" s="448"/>
      <c r="B1184" s="451"/>
      <c r="E1184" s="450"/>
      <c r="G1184" s="450"/>
      <c r="H1184" s="450"/>
    </row>
    <row r="1185" spans="1:8" s="423" customFormat="1">
      <c r="A1185" s="448"/>
      <c r="B1185" s="451"/>
      <c r="E1185" s="450"/>
      <c r="G1185" s="450"/>
      <c r="H1185" s="450"/>
    </row>
    <row r="1186" spans="1:8" s="423" customFormat="1">
      <c r="A1186" s="448"/>
      <c r="B1186" s="451"/>
      <c r="E1186" s="450"/>
      <c r="G1186" s="450"/>
      <c r="H1186" s="450"/>
    </row>
    <row r="1187" spans="1:8" s="423" customFormat="1">
      <c r="A1187" s="448"/>
      <c r="B1187" s="451"/>
      <c r="E1187" s="450"/>
      <c r="G1187" s="450"/>
      <c r="H1187" s="450"/>
    </row>
    <row r="1188" spans="1:8" s="423" customFormat="1">
      <c r="A1188" s="448"/>
      <c r="B1188" s="451"/>
      <c r="E1188" s="450"/>
      <c r="G1188" s="450"/>
      <c r="H1188" s="450"/>
    </row>
    <row r="1189" spans="1:8" s="423" customFormat="1">
      <c r="A1189" s="448"/>
      <c r="B1189" s="451"/>
      <c r="E1189" s="450"/>
      <c r="G1189" s="450"/>
      <c r="H1189" s="450"/>
    </row>
    <row r="1190" spans="1:8" s="423" customFormat="1">
      <c r="A1190" s="448"/>
      <c r="B1190" s="451"/>
      <c r="E1190" s="450"/>
      <c r="G1190" s="450"/>
      <c r="H1190" s="450"/>
    </row>
    <row r="1191" spans="1:8" s="423" customFormat="1">
      <c r="A1191" s="448"/>
      <c r="B1191" s="451"/>
      <c r="E1191" s="450"/>
      <c r="G1191" s="450"/>
      <c r="H1191" s="450"/>
    </row>
    <row r="1192" spans="1:8" s="423" customFormat="1">
      <c r="A1192" s="448"/>
      <c r="B1192" s="451"/>
      <c r="E1192" s="450"/>
      <c r="G1192" s="450"/>
      <c r="H1192" s="450"/>
    </row>
    <row r="1193" spans="1:8" s="423" customFormat="1">
      <c r="A1193" s="448"/>
      <c r="B1193" s="451"/>
      <c r="E1193" s="450"/>
      <c r="G1193" s="450"/>
      <c r="H1193" s="450"/>
    </row>
    <row r="1194" spans="1:8" s="423" customFormat="1">
      <c r="A1194" s="448"/>
      <c r="B1194" s="451"/>
      <c r="E1194" s="450"/>
      <c r="G1194" s="450"/>
      <c r="H1194" s="450"/>
    </row>
    <row r="1195" spans="1:8" s="423" customFormat="1">
      <c r="A1195" s="448"/>
      <c r="B1195" s="451"/>
      <c r="E1195" s="450"/>
      <c r="G1195" s="450"/>
      <c r="H1195" s="450"/>
    </row>
    <row r="1196" spans="1:8" s="423" customFormat="1">
      <c r="A1196" s="448"/>
      <c r="B1196" s="451"/>
      <c r="E1196" s="450"/>
      <c r="G1196" s="450"/>
      <c r="H1196" s="450"/>
    </row>
    <row r="1197" spans="1:8" s="423" customFormat="1">
      <c r="A1197" s="448"/>
      <c r="B1197" s="451"/>
      <c r="E1197" s="450"/>
      <c r="G1197" s="450"/>
      <c r="H1197" s="450"/>
    </row>
    <row r="1198" spans="1:8" s="423" customFormat="1">
      <c r="A1198" s="448"/>
      <c r="B1198" s="451"/>
      <c r="E1198" s="450"/>
      <c r="G1198" s="450"/>
      <c r="H1198" s="450"/>
    </row>
    <row r="1199" spans="1:8" s="423" customFormat="1">
      <c r="A1199" s="448"/>
      <c r="B1199" s="451"/>
      <c r="E1199" s="450"/>
      <c r="G1199" s="450"/>
      <c r="H1199" s="450"/>
    </row>
    <row r="1200" spans="1:8" s="423" customFormat="1">
      <c r="A1200" s="448"/>
      <c r="B1200" s="451"/>
      <c r="E1200" s="450"/>
      <c r="G1200" s="450"/>
      <c r="H1200" s="450"/>
    </row>
    <row r="1201" spans="1:8" s="423" customFormat="1">
      <c r="A1201" s="448"/>
      <c r="B1201" s="451"/>
      <c r="E1201" s="450"/>
      <c r="G1201" s="450"/>
      <c r="H1201" s="450"/>
    </row>
    <row r="1202" spans="1:8" s="423" customFormat="1">
      <c r="A1202" s="448"/>
      <c r="B1202" s="451"/>
      <c r="E1202" s="450"/>
      <c r="G1202" s="450"/>
      <c r="H1202" s="450"/>
    </row>
    <row r="1203" spans="1:8" s="423" customFormat="1">
      <c r="A1203" s="448"/>
      <c r="B1203" s="451"/>
      <c r="E1203" s="450"/>
      <c r="G1203" s="450"/>
      <c r="H1203" s="450"/>
    </row>
    <row r="1204" spans="1:8" s="423" customFormat="1">
      <c r="A1204" s="448"/>
      <c r="B1204" s="451"/>
      <c r="E1204" s="450"/>
      <c r="G1204" s="450"/>
      <c r="H1204" s="450"/>
    </row>
    <row r="1205" spans="1:8" s="423" customFormat="1">
      <c r="A1205" s="448"/>
      <c r="B1205" s="451"/>
      <c r="E1205" s="450"/>
      <c r="G1205" s="450"/>
      <c r="H1205" s="450"/>
    </row>
    <row r="1206" spans="1:8" s="423" customFormat="1">
      <c r="A1206" s="448"/>
      <c r="B1206" s="451"/>
      <c r="E1206" s="450"/>
      <c r="G1206" s="450"/>
      <c r="H1206" s="450"/>
    </row>
    <row r="1207" spans="1:8" s="423" customFormat="1">
      <c r="A1207" s="448"/>
      <c r="B1207" s="451"/>
      <c r="E1207" s="450"/>
      <c r="G1207" s="450"/>
      <c r="H1207" s="450"/>
    </row>
    <row r="1208" spans="1:8" s="423" customFormat="1">
      <c r="A1208" s="448"/>
      <c r="B1208" s="451"/>
      <c r="E1208" s="450"/>
      <c r="G1208" s="450"/>
      <c r="H1208" s="450"/>
    </row>
    <row r="1209" spans="1:8" s="423" customFormat="1">
      <c r="A1209" s="448"/>
      <c r="B1209" s="451"/>
      <c r="E1209" s="450"/>
      <c r="G1209" s="450"/>
      <c r="H1209" s="450"/>
    </row>
    <row r="1210" spans="1:8" s="423" customFormat="1">
      <c r="A1210" s="448"/>
      <c r="B1210" s="451"/>
      <c r="E1210" s="450"/>
      <c r="G1210" s="450"/>
      <c r="H1210" s="450"/>
    </row>
    <row r="1211" spans="1:8" s="423" customFormat="1">
      <c r="A1211" s="448"/>
      <c r="B1211" s="451"/>
      <c r="E1211" s="450"/>
      <c r="G1211" s="450"/>
      <c r="H1211" s="450"/>
    </row>
    <row r="1212" spans="1:8" s="423" customFormat="1">
      <c r="A1212" s="448"/>
      <c r="B1212" s="451"/>
      <c r="E1212" s="450"/>
      <c r="G1212" s="450"/>
      <c r="H1212" s="450"/>
    </row>
    <row r="1213" spans="1:8" s="423" customFormat="1">
      <c r="A1213" s="448"/>
      <c r="B1213" s="451"/>
      <c r="E1213" s="450"/>
      <c r="G1213" s="450"/>
      <c r="H1213" s="450"/>
    </row>
    <row r="1214" spans="1:8" s="423" customFormat="1">
      <c r="A1214" s="448"/>
      <c r="B1214" s="451"/>
      <c r="E1214" s="450"/>
      <c r="G1214" s="450"/>
      <c r="H1214" s="450"/>
    </row>
    <row r="1215" spans="1:8" s="423" customFormat="1">
      <c r="A1215" s="448"/>
      <c r="B1215" s="451"/>
      <c r="E1215" s="450"/>
      <c r="G1215" s="450"/>
      <c r="H1215" s="450"/>
    </row>
    <row r="1216" spans="1:8" s="423" customFormat="1">
      <c r="A1216" s="448"/>
      <c r="B1216" s="451"/>
      <c r="E1216" s="450"/>
      <c r="G1216" s="450"/>
      <c r="H1216" s="450"/>
    </row>
    <row r="1217" spans="1:8" s="423" customFormat="1">
      <c r="A1217" s="448"/>
      <c r="B1217" s="451"/>
      <c r="E1217" s="450"/>
      <c r="G1217" s="450"/>
      <c r="H1217" s="450"/>
    </row>
  </sheetData>
  <mergeCells count="1">
    <mergeCell ref="A3:H3"/>
  </mergeCell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3DD7F-64D3-41C4-9FF5-929D83259381}">
  <sheetPr codeName="Sheet17"/>
  <dimension ref="C5:G16"/>
  <sheetViews>
    <sheetView topLeftCell="A7" workbookViewId="0">
      <selection activeCell="E31" sqref="E30:E31"/>
    </sheetView>
  </sheetViews>
  <sheetFormatPr defaultColWidth="12.44140625" defaultRowHeight="14.4"/>
  <cols>
    <col min="3" max="3" width="9.5546875" bestFit="1" customWidth="1"/>
    <col min="4" max="4" width="11.77734375" bestFit="1" customWidth="1"/>
    <col min="5" max="5" width="60.44140625" bestFit="1" customWidth="1"/>
    <col min="6" max="6" width="8.77734375" bestFit="1" customWidth="1"/>
    <col min="7" max="7" width="11.21875" bestFit="1" customWidth="1"/>
  </cols>
  <sheetData>
    <row r="5" spans="3:7">
      <c r="C5" s="527" t="s">
        <v>366</v>
      </c>
      <c r="D5" s="527"/>
      <c r="E5" s="527"/>
      <c r="F5" s="18"/>
      <c r="G5" s="18"/>
    </row>
    <row r="6" spans="3:7">
      <c r="C6" s="18"/>
      <c r="D6" s="18"/>
      <c r="E6" s="18"/>
      <c r="F6" s="18"/>
      <c r="G6" s="18"/>
    </row>
    <row r="7" spans="3:7" ht="28.8">
      <c r="C7" s="45" t="s">
        <v>367</v>
      </c>
      <c r="D7" s="45" t="s">
        <v>368</v>
      </c>
      <c r="E7" s="45" t="s">
        <v>132</v>
      </c>
      <c r="F7" s="45" t="s">
        <v>369</v>
      </c>
      <c r="G7" s="45" t="s">
        <v>101</v>
      </c>
    </row>
    <row r="8" spans="3:7" ht="43.2">
      <c r="C8" s="18" t="s">
        <v>370</v>
      </c>
      <c r="D8" s="18" t="s">
        <v>371</v>
      </c>
      <c r="E8" s="18" t="s">
        <v>372</v>
      </c>
      <c r="F8" s="18">
        <v>2</v>
      </c>
      <c r="G8" s="18" t="s">
        <v>373</v>
      </c>
    </row>
    <row r="9" spans="3:7" ht="43.2">
      <c r="C9" s="18" t="s">
        <v>374</v>
      </c>
      <c r="D9" s="18" t="s">
        <v>375</v>
      </c>
      <c r="E9" s="18" t="s">
        <v>376</v>
      </c>
      <c r="F9" s="18">
        <v>2</v>
      </c>
      <c r="G9" s="18" t="s">
        <v>377</v>
      </c>
    </row>
    <row r="10" spans="3:7" ht="43.2">
      <c r="C10" s="18" t="s">
        <v>378</v>
      </c>
      <c r="D10" s="18" t="s">
        <v>379</v>
      </c>
      <c r="E10" s="18" t="s">
        <v>380</v>
      </c>
      <c r="F10" s="18">
        <v>2</v>
      </c>
      <c r="G10" s="18" t="s">
        <v>381</v>
      </c>
    </row>
    <row r="11" spans="3:7">
      <c r="C11" s="18"/>
      <c r="D11" s="18"/>
      <c r="E11" s="18"/>
      <c r="F11" s="18"/>
      <c r="G11" s="18"/>
    </row>
    <row r="12" spans="3:7">
      <c r="C12" s="18"/>
      <c r="D12" s="18"/>
      <c r="E12" s="18"/>
      <c r="F12" s="18"/>
      <c r="G12" s="18"/>
    </row>
    <row r="13" spans="3:7">
      <c r="C13" s="18"/>
      <c r="D13" s="18"/>
      <c r="E13" s="18"/>
      <c r="F13" s="18"/>
      <c r="G13" s="18"/>
    </row>
    <row r="14" spans="3:7" ht="28.8">
      <c r="C14" s="45" t="s">
        <v>382</v>
      </c>
      <c r="D14" s="45" t="s">
        <v>368</v>
      </c>
      <c r="E14" s="45" t="s">
        <v>132</v>
      </c>
      <c r="F14" s="45" t="s">
        <v>369</v>
      </c>
      <c r="G14" s="45" t="s">
        <v>101</v>
      </c>
    </row>
    <row r="15" spans="3:7" ht="28.8">
      <c r="C15" s="18" t="s">
        <v>383</v>
      </c>
      <c r="D15" s="18" t="s">
        <v>384</v>
      </c>
      <c r="E15" s="18" t="s">
        <v>385</v>
      </c>
      <c r="F15" s="18">
        <v>30</v>
      </c>
      <c r="G15" s="18" t="s">
        <v>386</v>
      </c>
    </row>
    <row r="16" spans="3:7" ht="28.8">
      <c r="C16" s="18" t="s">
        <v>387</v>
      </c>
      <c r="D16" s="18" t="s">
        <v>388</v>
      </c>
      <c r="E16" s="18" t="s">
        <v>389</v>
      </c>
      <c r="F16" s="18">
        <v>30</v>
      </c>
      <c r="G16" s="18" t="s">
        <v>386</v>
      </c>
    </row>
  </sheetData>
  <mergeCells count="1">
    <mergeCell ref="C5: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2</vt:i4>
      </vt:variant>
    </vt:vector>
  </HeadingPairs>
  <TitlesOfParts>
    <vt:vector size="29" baseType="lpstr">
      <vt:lpstr>Summary</vt:lpstr>
      <vt:lpstr>BoM</vt:lpstr>
      <vt:lpstr>Checklist</vt:lpstr>
      <vt:lpstr>Detailed Summary </vt:lpstr>
      <vt:lpstr>Sheet3</vt:lpstr>
      <vt:lpstr>BoM Additional</vt:lpstr>
      <vt:lpstr>RFP BoM</vt:lpstr>
      <vt:lpstr>BID Format</vt:lpstr>
      <vt:lpstr>Working</vt:lpstr>
      <vt:lpstr>Monthly Recurring</vt:lpstr>
      <vt:lpstr>Working Service</vt:lpstr>
      <vt:lpstr>Profitability</vt:lpstr>
      <vt:lpstr>Components</vt:lpstr>
      <vt:lpstr>Lenovo Quote</vt:lpstr>
      <vt:lpstr>Sheet1</vt:lpstr>
      <vt:lpstr>Redington</vt:lpstr>
      <vt:lpstr>RHEL</vt:lpstr>
      <vt:lpstr>Cyberdristi</vt:lpstr>
      <vt:lpstr>OEM</vt:lpstr>
      <vt:lpstr>Payment term</vt:lpstr>
      <vt:lpstr>Line-item wise prices</vt:lpstr>
      <vt:lpstr>Technical Scoring Matrix Criter</vt:lpstr>
      <vt:lpstr>Broadband Cost</vt:lpstr>
      <vt:lpstr>Windows Server</vt:lpstr>
      <vt:lpstr>Colo</vt:lpstr>
      <vt:lpstr>Discount Sheet</vt:lpstr>
      <vt:lpstr>Sheet4</vt:lpstr>
      <vt:lpstr>'Detailed Summary '!Print_Area</vt:lpstr>
      <vt:lpstr>Summary!Print_Area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Akshay Karandikar</dc:creator>
  <cp:keywords/>
  <dc:description/>
  <cp:lastModifiedBy>Sujit Kurhade</cp:lastModifiedBy>
  <cp:revision/>
  <dcterms:created xsi:type="dcterms:W3CDTF">2014-12-14T19:07:17Z</dcterms:created>
  <dcterms:modified xsi:type="dcterms:W3CDTF">2025-10-30T12:23:32Z</dcterms:modified>
  <cp:category/>
  <cp:contentStatus/>
</cp:coreProperties>
</file>