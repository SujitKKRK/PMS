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CRM\Profitablity Working\"/>
    </mc:Choice>
  </mc:AlternateContent>
  <xr:revisionPtr revIDLastSave="0" documentId="13_ncr:1_{655D560D-7130-4EA9-BF0A-B596D844431D}" xr6:coauthVersionLast="47" xr6:coauthVersionMax="47" xr10:uidLastSave="{00000000-0000-0000-0000-000000000000}"/>
  <bookViews>
    <workbookView xWindow="-108" yWindow="-108" windowWidth="23256" windowHeight="12456" activeTab="3" xr2:uid="{068C64B3-A77D-479F-9788-BEB3F53991D1}"/>
  </bookViews>
  <sheets>
    <sheet name="Doc Version" sheetId="1" r:id="rId1"/>
    <sheet name="Summary Sheet" sheetId="2" r:id="rId2"/>
    <sheet name="BoM" sheetId="3" r:id="rId3"/>
    <sheet name="Profitability" sheetId="7" r:id="rId4"/>
    <sheet name="Cash Flow" sheetId="8" r:id="rId5"/>
    <sheet name="CAPEX - OPEX" sheetId="6" r:id="rId6"/>
    <sheet name="RACI" sheetId="5" r:id="rId7"/>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1" i="7" l="1"/>
  <c r="C7" i="8"/>
  <c r="C14" i="8" s="1"/>
  <c r="G11" i="7"/>
  <c r="G15" i="7" s="1"/>
  <c r="E11" i="7"/>
  <c r="E15" i="7"/>
  <c r="C45" i="8"/>
  <c r="C43" i="8"/>
  <c r="C27" i="8"/>
  <c r="AM27" i="8" s="1"/>
  <c r="C12" i="8"/>
  <c r="C11" i="8"/>
  <c r="C10" i="8"/>
  <c r="C8" i="8"/>
  <c r="D40" i="8"/>
  <c r="E40" i="8" s="1"/>
  <c r="F40" i="8" s="1"/>
  <c r="G40" i="8" s="1"/>
  <c r="H40" i="8" s="1"/>
  <c r="I40" i="8" s="1"/>
  <c r="J40" i="8" s="1"/>
  <c r="K40" i="8" s="1"/>
  <c r="L40" i="8" s="1"/>
  <c r="M40" i="8" s="1"/>
  <c r="N40" i="8" s="1"/>
  <c r="O40" i="8" s="1"/>
  <c r="P40" i="8" s="1"/>
  <c r="Q40" i="8" s="1"/>
  <c r="R40" i="8" s="1"/>
  <c r="S40" i="8" s="1"/>
  <c r="T40" i="8" s="1"/>
  <c r="U40" i="8" s="1"/>
  <c r="V40" i="8" s="1"/>
  <c r="W40" i="8" s="1"/>
  <c r="X40" i="8" s="1"/>
  <c r="Y40" i="8" s="1"/>
  <c r="Z40" i="8" s="1"/>
  <c r="AA40" i="8" s="1"/>
  <c r="AB40" i="8" s="1"/>
  <c r="AC40" i="8" s="1"/>
  <c r="AD40" i="8" s="1"/>
  <c r="AE40" i="8" s="1"/>
  <c r="AF40" i="8" s="1"/>
  <c r="AG40" i="8" s="1"/>
  <c r="AH40" i="8" s="1"/>
  <c r="AI40" i="8" s="1"/>
  <c r="AJ40" i="8" s="1"/>
  <c r="AK40" i="8" s="1"/>
  <c r="AL40" i="8" s="1"/>
  <c r="D22" i="8"/>
  <c r="E22" i="8" s="1"/>
  <c r="F22" i="8" s="1"/>
  <c r="G22" i="8" s="1"/>
  <c r="H22" i="8" s="1"/>
  <c r="I22" i="8" s="1"/>
  <c r="J22" i="8" s="1"/>
  <c r="K22" i="8" s="1"/>
  <c r="L22" i="8" s="1"/>
  <c r="M22" i="8" s="1"/>
  <c r="N22" i="8" s="1"/>
  <c r="O22" i="8" s="1"/>
  <c r="P22" i="8" s="1"/>
  <c r="Q22" i="8" s="1"/>
  <c r="R22" i="8" s="1"/>
  <c r="S22" i="8" s="1"/>
  <c r="T22" i="8" s="1"/>
  <c r="U22" i="8" s="1"/>
  <c r="V22" i="8" s="1"/>
  <c r="W22" i="8" s="1"/>
  <c r="X22" i="8" s="1"/>
  <c r="Y22" i="8" s="1"/>
  <c r="Z22" i="8" s="1"/>
  <c r="AA22" i="8" s="1"/>
  <c r="AB22" i="8" s="1"/>
  <c r="AC22" i="8" s="1"/>
  <c r="AD22" i="8" s="1"/>
  <c r="AE22" i="8" s="1"/>
  <c r="AF22" i="8" s="1"/>
  <c r="AG22" i="8" s="1"/>
  <c r="AH22" i="8" s="1"/>
  <c r="AI22" i="8" s="1"/>
  <c r="AJ22" i="8" s="1"/>
  <c r="AK22" i="8" s="1"/>
  <c r="AL22" i="8" s="1"/>
  <c r="D11" i="8"/>
  <c r="E11" i="8" s="1"/>
  <c r="F11" i="8" s="1"/>
  <c r="G11" i="8" s="1"/>
  <c r="AM45" i="8"/>
  <c r="AM8" i="8"/>
  <c r="F5" i="8"/>
  <c r="G5" i="8" s="1"/>
  <c r="H5" i="8" s="1"/>
  <c r="I5" i="8" s="1"/>
  <c r="J5" i="8" s="1"/>
  <c r="K5" i="8" s="1"/>
  <c r="L5" i="8" s="1"/>
  <c r="M5" i="8" s="1"/>
  <c r="N5" i="8" s="1"/>
  <c r="O5" i="8" s="1"/>
  <c r="P5" i="8" s="1"/>
  <c r="Q5" i="8" s="1"/>
  <c r="R5" i="8" s="1"/>
  <c r="S5" i="8" s="1"/>
  <c r="T5" i="8" s="1"/>
  <c r="U5" i="8" s="1"/>
  <c r="V5" i="8" s="1"/>
  <c r="W5" i="8" s="1"/>
  <c r="X5" i="8" s="1"/>
  <c r="Y5" i="8" s="1"/>
  <c r="Z5" i="8" s="1"/>
  <c r="AA5" i="8" s="1"/>
  <c r="AB5" i="8" s="1"/>
  <c r="AC5" i="8" s="1"/>
  <c r="AD5" i="8" s="1"/>
  <c r="AE5" i="8" s="1"/>
  <c r="AF5" i="8" s="1"/>
  <c r="AG5" i="8" s="1"/>
  <c r="AH5" i="8" s="1"/>
  <c r="AI5" i="8" s="1"/>
  <c r="AJ5" i="8" s="1"/>
  <c r="AK5" i="8" s="1"/>
  <c r="AL5" i="8" s="1"/>
  <c r="D5" i="8"/>
  <c r="E5" i="8" s="1"/>
  <c r="G47" i="7"/>
  <c r="G46" i="7"/>
  <c r="E47" i="7"/>
  <c r="E45" i="7" s="1"/>
  <c r="E46" i="7"/>
  <c r="C47" i="7"/>
  <c r="C46" i="7"/>
  <c r="G31" i="7"/>
  <c r="G30" i="7"/>
  <c r="G29" i="7"/>
  <c r="G28" i="7"/>
  <c r="E31" i="7"/>
  <c r="E30" i="7"/>
  <c r="E29" i="7"/>
  <c r="E28" i="7"/>
  <c r="C31" i="7"/>
  <c r="C30" i="7"/>
  <c r="C29" i="7"/>
  <c r="C28" i="7"/>
  <c r="C18" i="7"/>
  <c r="G18" i="7" s="1"/>
  <c r="G10" i="7" s="1"/>
  <c r="G23" i="7"/>
  <c r="G22" i="7"/>
  <c r="G21" i="7"/>
  <c r="G20" i="7"/>
  <c r="G19" i="7"/>
  <c r="G17" i="7"/>
  <c r="L11" i="3"/>
  <c r="L12" i="3"/>
  <c r="G16" i="7"/>
  <c r="E23" i="7"/>
  <c r="E22" i="7"/>
  <c r="E21" i="7"/>
  <c r="E20" i="7"/>
  <c r="E17" i="7"/>
  <c r="E16" i="7"/>
  <c r="C23" i="7"/>
  <c r="C21" i="7"/>
  <c r="C17" i="7"/>
  <c r="C16" i="7"/>
  <c r="C15" i="7"/>
  <c r="C20" i="7"/>
  <c r="C45" i="7"/>
  <c r="E26" i="7"/>
  <c r="H11" i="8" l="1"/>
  <c r="I11" i="8" s="1"/>
  <c r="J11" i="8" s="1"/>
  <c r="K11" i="8" s="1"/>
  <c r="L11" i="8" s="1"/>
  <c r="M11" i="8" s="1"/>
  <c r="N11" i="8" s="1"/>
  <c r="O11" i="8" s="1"/>
  <c r="P11" i="8" s="1"/>
  <c r="Q11" i="8" s="1"/>
  <c r="R11" i="8" s="1"/>
  <c r="S11" i="8" s="1"/>
  <c r="T11" i="8" s="1"/>
  <c r="U11" i="8" s="1"/>
  <c r="V11" i="8" s="1"/>
  <c r="W11" i="8" s="1"/>
  <c r="X11" i="8" s="1"/>
  <c r="Y11" i="8" s="1"/>
  <c r="Z11" i="8" s="1"/>
  <c r="AA11" i="8" s="1"/>
  <c r="AB11" i="8" s="1"/>
  <c r="AC11" i="8" s="1"/>
  <c r="AD11" i="8" s="1"/>
  <c r="AE11" i="8" s="1"/>
  <c r="AF11" i="8" s="1"/>
  <c r="AG11" i="8" s="1"/>
  <c r="AH11" i="8" s="1"/>
  <c r="AI11" i="8" s="1"/>
  <c r="AJ11" i="8" s="1"/>
  <c r="AK11" i="8" s="1"/>
  <c r="AL11" i="8" s="1"/>
  <c r="AM11" i="8"/>
  <c r="C15" i="8"/>
  <c r="C17" i="8" s="1"/>
  <c r="D12" i="8"/>
  <c r="C25" i="8"/>
  <c r="AM10" i="8"/>
  <c r="D7" i="8"/>
  <c r="E27" i="7"/>
  <c r="E44" i="7"/>
  <c r="E48" i="7" s="1"/>
  <c r="E18" i="7"/>
  <c r="E10" i="7" s="1"/>
  <c r="C44" i="7"/>
  <c r="C48" i="7" s="1"/>
  <c r="J30" i="7"/>
  <c r="C10" i="7"/>
  <c r="G44" i="7"/>
  <c r="G26" i="7"/>
  <c r="C26" i="7"/>
  <c r="C27" i="7"/>
  <c r="C24" i="7"/>
  <c r="AM25" i="8" l="1"/>
  <c r="E12" i="8"/>
  <c r="F12" i="8" s="1"/>
  <c r="G12" i="8" s="1"/>
  <c r="H12" i="8" s="1"/>
  <c r="I12" i="8" s="1"/>
  <c r="J12" i="8" s="1"/>
  <c r="K12" i="8" s="1"/>
  <c r="L12" i="8" s="1"/>
  <c r="M12" i="8" s="1"/>
  <c r="N12" i="8" s="1"/>
  <c r="O12" i="8" s="1"/>
  <c r="P12" i="8" s="1"/>
  <c r="Q12" i="8" s="1"/>
  <c r="R12" i="8" s="1"/>
  <c r="S12" i="8" s="1"/>
  <c r="T12" i="8" s="1"/>
  <c r="U12" i="8" s="1"/>
  <c r="V12" i="8" s="1"/>
  <c r="W12" i="8" s="1"/>
  <c r="X12" i="8" s="1"/>
  <c r="Y12" i="8" s="1"/>
  <c r="Z12" i="8" s="1"/>
  <c r="AA12" i="8" s="1"/>
  <c r="AB12" i="8" s="1"/>
  <c r="AC12" i="8" s="1"/>
  <c r="AD12" i="8" s="1"/>
  <c r="AE12" i="8" s="1"/>
  <c r="AF12" i="8" s="1"/>
  <c r="AG12" i="8" s="1"/>
  <c r="AH12" i="8" s="1"/>
  <c r="AI12" i="8" s="1"/>
  <c r="AJ12" i="8" s="1"/>
  <c r="AK12" i="8" s="1"/>
  <c r="AL12" i="8" s="1"/>
  <c r="D14" i="8"/>
  <c r="E7" i="8"/>
  <c r="E24" i="7"/>
  <c r="F22" i="7"/>
  <c r="E32" i="7"/>
  <c r="E33" i="7" s="1"/>
  <c r="C28" i="8" s="1"/>
  <c r="D28" i="8" s="1"/>
  <c r="E28" i="8" s="1"/>
  <c r="F28" i="8" s="1"/>
  <c r="G28" i="8" s="1"/>
  <c r="H28" i="8" s="1"/>
  <c r="I28" i="8" s="1"/>
  <c r="J28" i="8" s="1"/>
  <c r="K28" i="8" s="1"/>
  <c r="L28" i="8" s="1"/>
  <c r="M28" i="8" s="1"/>
  <c r="N28" i="8" s="1"/>
  <c r="O28" i="8" s="1"/>
  <c r="P28" i="8" s="1"/>
  <c r="Q28" i="8" s="1"/>
  <c r="R28" i="8" s="1"/>
  <c r="S28" i="8" s="1"/>
  <c r="T28" i="8" s="1"/>
  <c r="U28" i="8" s="1"/>
  <c r="V28" i="8" s="1"/>
  <c r="W28" i="8" s="1"/>
  <c r="X28" i="8" s="1"/>
  <c r="Y28" i="8" s="1"/>
  <c r="Z28" i="8" s="1"/>
  <c r="AA28" i="8" s="1"/>
  <c r="AB28" i="8" s="1"/>
  <c r="AC28" i="8" s="1"/>
  <c r="AD28" i="8" s="1"/>
  <c r="AE28" i="8" s="1"/>
  <c r="AF28" i="8" s="1"/>
  <c r="AG28" i="8" s="1"/>
  <c r="AH28" i="8" s="1"/>
  <c r="AI28" i="8" s="1"/>
  <c r="AJ28" i="8" s="1"/>
  <c r="AK28" i="8" s="1"/>
  <c r="AL28" i="8" s="1"/>
  <c r="C43" i="7"/>
  <c r="D22" i="7"/>
  <c r="D19" i="7"/>
  <c r="D15" i="7"/>
  <c r="G43" i="7"/>
  <c r="E43" i="7"/>
  <c r="C32" i="7"/>
  <c r="C33" i="7" s="1"/>
  <c r="C35" i="7" s="1"/>
  <c r="G45" i="7"/>
  <c r="G48" i="7" s="1"/>
  <c r="G27" i="7"/>
  <c r="G24" i="7"/>
  <c r="C42" i="8" s="1"/>
  <c r="D42" i="8" s="1"/>
  <c r="E42" i="8" s="1"/>
  <c r="F15" i="7" l="1"/>
  <c r="E38" i="7" s="1"/>
  <c r="F38" i="7" s="1"/>
  <c r="C24" i="8"/>
  <c r="E40" i="7"/>
  <c r="F40" i="7" s="1"/>
  <c r="AM28" i="8"/>
  <c r="AM43" i="8"/>
  <c r="E14" i="8"/>
  <c r="F7" i="8"/>
  <c r="D15" i="8"/>
  <c r="D17" i="8" s="1"/>
  <c r="F42" i="8"/>
  <c r="AM12" i="8"/>
  <c r="F19" i="7"/>
  <c r="C66" i="7"/>
  <c r="C34" i="7"/>
  <c r="C36" i="7" s="1"/>
  <c r="C38" i="7"/>
  <c r="D38" i="7" s="1"/>
  <c r="E35" i="7"/>
  <c r="C29" i="8" s="1"/>
  <c r="D29" i="8" s="1"/>
  <c r="E29" i="8" s="1"/>
  <c r="F29" i="8" s="1"/>
  <c r="E67" i="7"/>
  <c r="E34" i="7"/>
  <c r="E66" i="7"/>
  <c r="E60" i="7"/>
  <c r="C67" i="7"/>
  <c r="H15" i="7"/>
  <c r="G32" i="7"/>
  <c r="G33" i="7" s="1"/>
  <c r="H19" i="7"/>
  <c r="H22" i="7"/>
  <c r="C40" i="7"/>
  <c r="D40" i="7" s="1"/>
  <c r="C39" i="7"/>
  <c r="D39" i="7" s="1"/>
  <c r="C60" i="7"/>
  <c r="G35" i="7" l="1"/>
  <c r="C47" i="8" s="1"/>
  <c r="C46" i="8"/>
  <c r="D24" i="8"/>
  <c r="C31" i="8"/>
  <c r="C32" i="8" s="1"/>
  <c r="C34" i="8" s="1"/>
  <c r="E15" i="8"/>
  <c r="E17" i="8" s="1"/>
  <c r="G42" i="8"/>
  <c r="G29" i="8"/>
  <c r="F14" i="8"/>
  <c r="F15" i="8" s="1"/>
  <c r="F17" i="8" s="1"/>
  <c r="G7" i="8"/>
  <c r="C58" i="7"/>
  <c r="E39" i="7"/>
  <c r="F39" i="7" s="1"/>
  <c r="G34" i="7"/>
  <c r="G58" i="7" s="1"/>
  <c r="D36" i="7"/>
  <c r="G39" i="7"/>
  <c r="H39" i="7" s="1"/>
  <c r="G40" i="7"/>
  <c r="H40" i="7" s="1"/>
  <c r="G38" i="7"/>
  <c r="H38" i="7" s="1"/>
  <c r="G60" i="7"/>
  <c r="G66" i="7"/>
  <c r="E36" i="7"/>
  <c r="E58" i="7"/>
  <c r="G67" i="7"/>
  <c r="D47" i="8" l="1"/>
  <c r="E47" i="8" s="1"/>
  <c r="F47" i="8" s="1"/>
  <c r="G47" i="8" s="1"/>
  <c r="H47" i="8" s="1"/>
  <c r="I47" i="8" s="1"/>
  <c r="J47" i="8" s="1"/>
  <c r="K47" i="8" s="1"/>
  <c r="L47" i="8" s="1"/>
  <c r="M47" i="8" s="1"/>
  <c r="N47" i="8" s="1"/>
  <c r="O47" i="8" s="1"/>
  <c r="P47" i="8" s="1"/>
  <c r="Q47" i="8" s="1"/>
  <c r="R47" i="8" s="1"/>
  <c r="S47" i="8" s="1"/>
  <c r="T47" i="8" s="1"/>
  <c r="U47" i="8" s="1"/>
  <c r="V47" i="8" s="1"/>
  <c r="W47" i="8" s="1"/>
  <c r="X47" i="8" s="1"/>
  <c r="Y47" i="8" s="1"/>
  <c r="Z47" i="8" s="1"/>
  <c r="AA47" i="8" s="1"/>
  <c r="AB47" i="8" s="1"/>
  <c r="AC47" i="8" s="1"/>
  <c r="AD47" i="8" s="1"/>
  <c r="AE47" i="8" s="1"/>
  <c r="AF47" i="8" s="1"/>
  <c r="AG47" i="8" s="1"/>
  <c r="AH47" i="8" s="1"/>
  <c r="AI47" i="8" s="1"/>
  <c r="AJ47" i="8" s="1"/>
  <c r="AK47" i="8" s="1"/>
  <c r="AL47" i="8" s="1"/>
  <c r="E24" i="8"/>
  <c r="D31" i="8"/>
  <c r="D32" i="8" s="1"/>
  <c r="D34" i="8" s="1"/>
  <c r="D46" i="8"/>
  <c r="C49" i="8"/>
  <c r="C50" i="8" s="1"/>
  <c r="C52" i="8" s="1"/>
  <c r="G14" i="8"/>
  <c r="H7" i="8"/>
  <c r="H29" i="8"/>
  <c r="H42" i="8"/>
  <c r="G36" i="7"/>
  <c r="F36" i="7"/>
  <c r="E46" i="8" l="1"/>
  <c r="D49" i="8"/>
  <c r="D50" i="8" s="1"/>
  <c r="F24" i="8"/>
  <c r="E31" i="8"/>
  <c r="E32" i="8" s="1"/>
  <c r="E34" i="8" s="1"/>
  <c r="AM47" i="8"/>
  <c r="I42" i="8"/>
  <c r="H14" i="8"/>
  <c r="H15" i="8" s="1"/>
  <c r="H17" i="8" s="1"/>
  <c r="I7" i="8"/>
  <c r="I29" i="8"/>
  <c r="D52" i="8"/>
  <c r="G15" i="8"/>
  <c r="G17" i="8" s="1"/>
  <c r="H36" i="7"/>
  <c r="G24" i="8" l="1"/>
  <c r="F31" i="8"/>
  <c r="F32" i="8" s="1"/>
  <c r="F34" i="8" s="1"/>
  <c r="F46" i="8"/>
  <c r="E49" i="8"/>
  <c r="E50" i="8" s="1"/>
  <c r="E52" i="8" s="1"/>
  <c r="I14" i="8"/>
  <c r="I15" i="8" s="1"/>
  <c r="I17" i="8" s="1"/>
  <c r="J7" i="8"/>
  <c r="J29" i="8"/>
  <c r="J42" i="8"/>
  <c r="G46" i="8" l="1"/>
  <c r="F49" i="8"/>
  <c r="F50" i="8" s="1"/>
  <c r="F52" i="8" s="1"/>
  <c r="H24" i="8"/>
  <c r="G31" i="8"/>
  <c r="G32" i="8" s="1"/>
  <c r="G34" i="8" s="1"/>
  <c r="K42" i="8"/>
  <c r="K29" i="8"/>
  <c r="K7" i="8"/>
  <c r="J14" i="8"/>
  <c r="J15" i="8" s="1"/>
  <c r="J17" i="8" s="1"/>
  <c r="I24" i="8" l="1"/>
  <c r="H31" i="8"/>
  <c r="H32" i="8" s="1"/>
  <c r="H34" i="8" s="1"/>
  <c r="H46" i="8"/>
  <c r="G49" i="8"/>
  <c r="G50" i="8" s="1"/>
  <c r="G52" i="8" s="1"/>
  <c r="L29" i="8"/>
  <c r="L7" i="8"/>
  <c r="K14" i="8"/>
  <c r="K15" i="8" s="1"/>
  <c r="K17" i="8" s="1"/>
  <c r="L42" i="8"/>
  <c r="I46" i="8" l="1"/>
  <c r="H49" i="8"/>
  <c r="H50" i="8" s="1"/>
  <c r="H52" i="8" s="1"/>
  <c r="J24" i="8"/>
  <c r="I31" i="8"/>
  <c r="I32" i="8" s="1"/>
  <c r="I34" i="8" s="1"/>
  <c r="M7" i="8"/>
  <c r="L14" i="8"/>
  <c r="L15" i="8" s="1"/>
  <c r="L17" i="8" s="1"/>
  <c r="M42" i="8"/>
  <c r="M29" i="8"/>
  <c r="K24" i="8" l="1"/>
  <c r="J31" i="8"/>
  <c r="J32" i="8" s="1"/>
  <c r="J34" i="8" s="1"/>
  <c r="J46" i="8"/>
  <c r="I49" i="8"/>
  <c r="I50" i="8" s="1"/>
  <c r="M14" i="8"/>
  <c r="M15" i="8" s="1"/>
  <c r="M17" i="8" s="1"/>
  <c r="N7" i="8"/>
  <c r="I52" i="8"/>
  <c r="N29" i="8"/>
  <c r="N42" i="8"/>
  <c r="K46" i="8" l="1"/>
  <c r="J49" i="8"/>
  <c r="J50" i="8" s="1"/>
  <c r="J52" i="8" s="1"/>
  <c r="L24" i="8"/>
  <c r="K31" i="8"/>
  <c r="K32" i="8" s="1"/>
  <c r="K34" i="8" s="1"/>
  <c r="O29" i="8"/>
  <c r="O42" i="8"/>
  <c r="N14" i="8"/>
  <c r="N15" i="8" s="1"/>
  <c r="N17" i="8" s="1"/>
  <c r="O7" i="8"/>
  <c r="M24" i="8" l="1"/>
  <c r="L31" i="8"/>
  <c r="L32" i="8" s="1"/>
  <c r="L34" i="8" s="1"/>
  <c r="L46" i="8"/>
  <c r="K49" i="8"/>
  <c r="K50" i="8" s="1"/>
  <c r="K52" i="8" s="1"/>
  <c r="P42" i="8"/>
  <c r="P7" i="8"/>
  <c r="O14" i="8"/>
  <c r="O15" i="8" s="1"/>
  <c r="O17" i="8" s="1"/>
  <c r="P29" i="8"/>
  <c r="M46" i="8" l="1"/>
  <c r="L49" i="8"/>
  <c r="L50" i="8" s="1"/>
  <c r="L52" i="8" s="1"/>
  <c r="N24" i="8"/>
  <c r="M31" i="8"/>
  <c r="M32" i="8" s="1"/>
  <c r="M34" i="8" s="1"/>
  <c r="P14" i="8"/>
  <c r="P15" i="8" s="1"/>
  <c r="P17" i="8" s="1"/>
  <c r="Q7" i="8"/>
  <c r="Q42" i="8"/>
  <c r="Q29" i="8"/>
  <c r="O24" i="8" l="1"/>
  <c r="N31" i="8"/>
  <c r="N32" i="8" s="1"/>
  <c r="N34" i="8" s="1"/>
  <c r="N46" i="8"/>
  <c r="M49" i="8"/>
  <c r="M50" i="8" s="1"/>
  <c r="R42" i="8"/>
  <c r="M52" i="8"/>
  <c r="Q14" i="8"/>
  <c r="Q15" i="8" s="1"/>
  <c r="Q17" i="8" s="1"/>
  <c r="R7" i="8"/>
  <c r="R29" i="8"/>
  <c r="P24" i="8" l="1"/>
  <c r="O31" i="8"/>
  <c r="O32" i="8" s="1"/>
  <c r="O34" i="8" s="1"/>
  <c r="O46" i="8"/>
  <c r="N49" i="8"/>
  <c r="N50" i="8" s="1"/>
  <c r="N52" i="8" s="1"/>
  <c r="S29" i="8"/>
  <c r="S42" i="8"/>
  <c r="S7" i="8"/>
  <c r="R14" i="8"/>
  <c r="R15" i="8" s="1"/>
  <c r="R17" i="8" s="1"/>
  <c r="P46" i="8" l="1"/>
  <c r="O49" i="8"/>
  <c r="O50" i="8" s="1"/>
  <c r="Q24" i="8"/>
  <c r="P31" i="8"/>
  <c r="P32" i="8" s="1"/>
  <c r="P34" i="8" s="1"/>
  <c r="T29" i="8"/>
  <c r="T7" i="8"/>
  <c r="S14" i="8"/>
  <c r="S15" i="8" s="1"/>
  <c r="S17" i="8" s="1"/>
  <c r="O52" i="8"/>
  <c r="T42" i="8"/>
  <c r="R24" i="8" l="1"/>
  <c r="Q31" i="8"/>
  <c r="Q32" i="8" s="1"/>
  <c r="Q34" i="8" s="1"/>
  <c r="Q46" i="8"/>
  <c r="P49" i="8"/>
  <c r="P50" i="8" s="1"/>
  <c r="P52" i="8" s="1"/>
  <c r="U7" i="8"/>
  <c r="T14" i="8"/>
  <c r="T15" i="8" s="1"/>
  <c r="T17" i="8" s="1"/>
  <c r="U42" i="8"/>
  <c r="U29" i="8"/>
  <c r="R46" i="8" l="1"/>
  <c r="Q49" i="8"/>
  <c r="Q50" i="8" s="1"/>
  <c r="Q52" i="8" s="1"/>
  <c r="S24" i="8"/>
  <c r="R31" i="8"/>
  <c r="R32" i="8" s="1"/>
  <c r="R34" i="8" s="1"/>
  <c r="V29" i="8"/>
  <c r="V42" i="8"/>
  <c r="U14" i="8"/>
  <c r="U15" i="8" s="1"/>
  <c r="U17" i="8" s="1"/>
  <c r="V7" i="8"/>
  <c r="T24" i="8" l="1"/>
  <c r="S31" i="8"/>
  <c r="S32" i="8" s="1"/>
  <c r="S34" i="8" s="1"/>
  <c r="S46" i="8"/>
  <c r="R49" i="8"/>
  <c r="R50" i="8" s="1"/>
  <c r="R52" i="8"/>
  <c r="W42" i="8"/>
  <c r="V14" i="8"/>
  <c r="V15" i="8" s="1"/>
  <c r="V17" i="8" s="1"/>
  <c r="W7" i="8"/>
  <c r="W29" i="8"/>
  <c r="T46" i="8" l="1"/>
  <c r="S49" i="8"/>
  <c r="S50" i="8" s="1"/>
  <c r="S52" i="8" s="1"/>
  <c r="U24" i="8"/>
  <c r="T31" i="8"/>
  <c r="T32" i="8" s="1"/>
  <c r="T34" i="8" s="1"/>
  <c r="W14" i="8"/>
  <c r="W15" i="8" s="1"/>
  <c r="W17" i="8" s="1"/>
  <c r="X7" i="8"/>
  <c r="X42" i="8"/>
  <c r="X29" i="8"/>
  <c r="V24" i="8" l="1"/>
  <c r="U31" i="8"/>
  <c r="U32" i="8" s="1"/>
  <c r="U34" i="8" s="1"/>
  <c r="U46" i="8"/>
  <c r="T49" i="8"/>
  <c r="T50" i="8" s="1"/>
  <c r="T52" i="8" s="1"/>
  <c r="Y29" i="8"/>
  <c r="Y42" i="8"/>
  <c r="X14" i="8"/>
  <c r="X15" i="8" s="1"/>
  <c r="X17" i="8" s="1"/>
  <c r="Y7" i="8"/>
  <c r="V46" i="8" l="1"/>
  <c r="U49" i="8"/>
  <c r="U50" i="8" s="1"/>
  <c r="W24" i="8"/>
  <c r="V31" i="8"/>
  <c r="V32" i="8" s="1"/>
  <c r="V34" i="8" s="1"/>
  <c r="Y14" i="8"/>
  <c r="Y15" i="8" s="1"/>
  <c r="Y17" i="8" s="1"/>
  <c r="Z7" i="8"/>
  <c r="Z42" i="8"/>
  <c r="U52" i="8"/>
  <c r="Z29" i="8"/>
  <c r="AA29" i="8" s="1"/>
  <c r="AB29" i="8" s="1"/>
  <c r="AC29" i="8" s="1"/>
  <c r="AD29" i="8" s="1"/>
  <c r="AE29" i="8" s="1"/>
  <c r="AF29" i="8" s="1"/>
  <c r="AG29" i="8" s="1"/>
  <c r="AH29" i="8" s="1"/>
  <c r="AI29" i="8" s="1"/>
  <c r="AJ29" i="8" s="1"/>
  <c r="AK29" i="8" s="1"/>
  <c r="AL29" i="8" s="1"/>
  <c r="X24" i="8" l="1"/>
  <c r="W31" i="8"/>
  <c r="W32" i="8" s="1"/>
  <c r="W34" i="8" s="1"/>
  <c r="W46" i="8"/>
  <c r="V49" i="8"/>
  <c r="V50" i="8" s="1"/>
  <c r="V52" i="8" s="1"/>
  <c r="AM29" i="8"/>
  <c r="AA42" i="8"/>
  <c r="AA7" i="8"/>
  <c r="Z14" i="8"/>
  <c r="Z15" i="8" s="1"/>
  <c r="Z17" i="8" s="1"/>
  <c r="X46" i="8" l="1"/>
  <c r="W49" i="8"/>
  <c r="W50" i="8" s="1"/>
  <c r="W52" i="8" s="1"/>
  <c r="Y24" i="8"/>
  <c r="X31" i="8"/>
  <c r="X32" i="8" s="1"/>
  <c r="X34" i="8" s="1"/>
  <c r="AB7" i="8"/>
  <c r="AA14" i="8"/>
  <c r="AA15" i="8" s="1"/>
  <c r="AA17" i="8" s="1"/>
  <c r="AB42" i="8"/>
  <c r="Z24" i="8" l="1"/>
  <c r="Y31" i="8"/>
  <c r="Y32" i="8" s="1"/>
  <c r="Y34" i="8" s="1"/>
  <c r="Y46" i="8"/>
  <c r="X49" i="8"/>
  <c r="X50" i="8" s="1"/>
  <c r="X52" i="8" s="1"/>
  <c r="AC42" i="8"/>
  <c r="AC7" i="8"/>
  <c r="AB14" i="8"/>
  <c r="AB15" i="8" s="1"/>
  <c r="AB17" i="8" s="1"/>
  <c r="Z46" i="8" l="1"/>
  <c r="Y49" i="8"/>
  <c r="Y50" i="8" s="1"/>
  <c r="Y52" i="8" s="1"/>
  <c r="AA24" i="8"/>
  <c r="Z31" i="8"/>
  <c r="Z32" i="8" s="1"/>
  <c r="Z34" i="8" s="1"/>
  <c r="AD7" i="8"/>
  <c r="AC14" i="8"/>
  <c r="AC15" i="8" s="1"/>
  <c r="AC17" i="8" s="1"/>
  <c r="AD42" i="8"/>
  <c r="AA31" i="8" l="1"/>
  <c r="AA32" i="8" s="1"/>
  <c r="AA34" i="8" s="1"/>
  <c r="AB24" i="8"/>
  <c r="AA46" i="8"/>
  <c r="Z49" i="8"/>
  <c r="Z50" i="8" s="1"/>
  <c r="Z52" i="8" s="1"/>
  <c r="AE42" i="8"/>
  <c r="AE7" i="8"/>
  <c r="AD14" i="8"/>
  <c r="AD15" i="8" s="1"/>
  <c r="AD17" i="8" s="1"/>
  <c r="AB46" i="8" l="1"/>
  <c r="AA49" i="8"/>
  <c r="AA50" i="8" s="1"/>
  <c r="AA52" i="8" s="1"/>
  <c r="AB31" i="8"/>
  <c r="AB32" i="8" s="1"/>
  <c r="AB34" i="8" s="1"/>
  <c r="AC24" i="8"/>
  <c r="AE14" i="8"/>
  <c r="AE15" i="8" s="1"/>
  <c r="AE17" i="8" s="1"/>
  <c r="AF7" i="8"/>
  <c r="AF42" i="8"/>
  <c r="AC31" i="8" l="1"/>
  <c r="AC32" i="8" s="1"/>
  <c r="AC34" i="8" s="1"/>
  <c r="AD24" i="8"/>
  <c r="AC46" i="8"/>
  <c r="AB49" i="8"/>
  <c r="AB50" i="8" s="1"/>
  <c r="AB52" i="8" s="1"/>
  <c r="AG42" i="8"/>
  <c r="AF14" i="8"/>
  <c r="AF15" i="8" s="1"/>
  <c r="AF17" i="8" s="1"/>
  <c r="AG7" i="8"/>
  <c r="AD46" i="8" l="1"/>
  <c r="AC49" i="8"/>
  <c r="AC50" i="8" s="1"/>
  <c r="AD31" i="8"/>
  <c r="AD32" i="8" s="1"/>
  <c r="AD34" i="8" s="1"/>
  <c r="AE24" i="8"/>
  <c r="AG14" i="8"/>
  <c r="AG15" i="8" s="1"/>
  <c r="AG17" i="8" s="1"/>
  <c r="AH7" i="8"/>
  <c r="AH42" i="8"/>
  <c r="AC52" i="8"/>
  <c r="AF24" i="8" l="1"/>
  <c r="AE31" i="8"/>
  <c r="AE32" i="8" s="1"/>
  <c r="AE34" i="8" s="1"/>
  <c r="AE46" i="8"/>
  <c r="AD49" i="8"/>
  <c r="AD50" i="8" s="1"/>
  <c r="AD52" i="8" s="1"/>
  <c r="AI42" i="8"/>
  <c r="AH14" i="8"/>
  <c r="AH15" i="8" s="1"/>
  <c r="AH17" i="8" s="1"/>
  <c r="AI7" i="8"/>
  <c r="AF46" i="8" l="1"/>
  <c r="AE49" i="8"/>
  <c r="AE50" i="8" s="1"/>
  <c r="AG24" i="8"/>
  <c r="AF31" i="8"/>
  <c r="AF32" i="8" s="1"/>
  <c r="AF34" i="8" s="1"/>
  <c r="AJ7" i="8"/>
  <c r="AI14" i="8"/>
  <c r="AI15" i="8" s="1"/>
  <c r="AI17" i="8" s="1"/>
  <c r="AJ42" i="8"/>
  <c r="AE52" i="8"/>
  <c r="AH24" i="8" l="1"/>
  <c r="AG31" i="8"/>
  <c r="AG32" i="8" s="1"/>
  <c r="AG34" i="8" s="1"/>
  <c r="AG46" i="8"/>
  <c r="AF49" i="8"/>
  <c r="AF50" i="8" s="1"/>
  <c r="AF52" i="8"/>
  <c r="AK42" i="8"/>
  <c r="AK7" i="8"/>
  <c r="AJ14" i="8"/>
  <c r="AJ15" i="8" s="1"/>
  <c r="AJ17" i="8" s="1"/>
  <c r="AH46" i="8" l="1"/>
  <c r="AG49" i="8"/>
  <c r="AG50" i="8" s="1"/>
  <c r="AH31" i="8"/>
  <c r="AH32" i="8" s="1"/>
  <c r="AH34" i="8" s="1"/>
  <c r="AI24" i="8"/>
  <c r="AL7" i="8"/>
  <c r="AK14" i="8"/>
  <c r="AK15" i="8" s="1"/>
  <c r="AK17" i="8" s="1"/>
  <c r="AL42" i="8"/>
  <c r="AG52" i="8"/>
  <c r="AI31" i="8" l="1"/>
  <c r="AI32" i="8" s="1"/>
  <c r="AI34" i="8" s="1"/>
  <c r="AJ24" i="8"/>
  <c r="AI46" i="8"/>
  <c r="AH49" i="8"/>
  <c r="AH50" i="8" s="1"/>
  <c r="AH52" i="8"/>
  <c r="AM42" i="8"/>
  <c r="AL14" i="8"/>
  <c r="AM7" i="8"/>
  <c r="AJ31" i="8" l="1"/>
  <c r="AJ32" i="8" s="1"/>
  <c r="AJ34" i="8" s="1"/>
  <c r="AK24" i="8"/>
  <c r="AJ46" i="8"/>
  <c r="AI49" i="8"/>
  <c r="AI50" i="8" s="1"/>
  <c r="AI52" i="8" s="1"/>
  <c r="AL15" i="8"/>
  <c r="AL17" i="8" s="1"/>
  <c r="AM17" i="8" s="1"/>
  <c r="C42" i="7" s="1"/>
  <c r="AM14" i="8"/>
  <c r="AM19" i="8" s="1"/>
  <c r="C53" i="7" l="1"/>
  <c r="D53" i="7" s="1"/>
  <c r="C55" i="7"/>
  <c r="D55" i="7" s="1"/>
  <c r="C54" i="7"/>
  <c r="D54" i="7" s="1"/>
  <c r="C49" i="7"/>
  <c r="AK46" i="8"/>
  <c r="AJ49" i="8"/>
  <c r="AK31" i="8"/>
  <c r="AK32" i="8" s="1"/>
  <c r="AK34" i="8" s="1"/>
  <c r="AL24" i="8"/>
  <c r="AL31" i="8" s="1"/>
  <c r="D50" i="7" l="1"/>
  <c r="C50" i="7"/>
  <c r="C59" i="7" s="1"/>
  <c r="AM31" i="8"/>
  <c r="AL32" i="8"/>
  <c r="AL34" i="8" s="1"/>
  <c r="AM34" i="8" s="1"/>
  <c r="E42" i="7" s="1"/>
  <c r="E55" i="7" s="1"/>
  <c r="F55" i="7" s="1"/>
  <c r="AJ50" i="8"/>
  <c r="AJ52" i="8" s="1"/>
  <c r="AL46" i="8"/>
  <c r="AK49" i="8"/>
  <c r="AK50" i="8" s="1"/>
  <c r="AK52" i="8" s="1"/>
  <c r="AM24" i="8"/>
  <c r="E54" i="7" l="1"/>
  <c r="F54" i="7" s="1"/>
  <c r="E53" i="7"/>
  <c r="F53" i="7" s="1"/>
  <c r="E49" i="7"/>
  <c r="F50" i="7" s="1"/>
  <c r="AM46" i="8"/>
  <c r="AL49" i="8"/>
  <c r="AL50" i="8" s="1"/>
  <c r="AL52" i="8" s="1"/>
  <c r="AM52" i="8" s="1"/>
  <c r="G42" i="7" s="1"/>
  <c r="AM36" i="8"/>
  <c r="E50" i="7" l="1"/>
  <c r="E59" i="7" s="1"/>
  <c r="AM49" i="8"/>
  <c r="AM54" i="8" s="1"/>
  <c r="G53" i="7"/>
  <c r="H53" i="7" s="1"/>
  <c r="G55" i="7"/>
  <c r="H55" i="7" s="1"/>
  <c r="G54" i="7"/>
  <c r="H54" i="7" s="1"/>
  <c r="G49" i="7"/>
  <c r="H50" i="7" l="1"/>
  <c r="G50" i="7"/>
  <c r="G59" i="7" s="1"/>
  <c r="L22" i="3" l="1"/>
  <c r="L21" i="3"/>
  <c r="L23" i="3" s="1"/>
  <c r="L20" i="3"/>
  <c r="L19" i="3"/>
  <c r="L18" i="3"/>
  <c r="L17" i="3"/>
  <c r="L15" i="3"/>
  <c r="L13" i="3" l="1"/>
  <c r="L10" i="3"/>
  <c r="L9" i="3"/>
  <c r="L8" i="3"/>
  <c r="L4" i="3"/>
  <c r="K4" i="3"/>
  <c r="G4" i="6"/>
  <c r="K4" i="6" l="1"/>
  <c r="I4" i="6"/>
  <c r="L4" i="6" s="1"/>
  <c r="F4" i="6"/>
  <c r="F12" i="3"/>
  <c r="F13" i="3"/>
  <c r="F10" i="3"/>
  <c r="F11" i="3"/>
  <c r="M4" i="6" l="1"/>
  <c r="N4" i="6" s="1"/>
  <c r="O4" i="6" l="1"/>
  <c r="E4" i="3"/>
  <c r="F4" i="3" s="1"/>
  <c r="E17" i="3" s="1"/>
  <c r="H23" i="3" s="1"/>
  <c r="E8" i="2" s="1"/>
  <c r="E10" i="2" s="1" a="1"/>
  <c r="E10" i="2" s="1"/>
  <c r="F15" i="3"/>
  <c r="F18" i="3" l="1"/>
  <c r="F19" i="3"/>
  <c r="F20" i="3"/>
  <c r="F8" i="3" l="1"/>
  <c r="F9" i="3"/>
  <c r="F21" i="3" l="1"/>
  <c r="D8" i="2" s="1"/>
  <c r="F8" i="2" s="1"/>
  <c r="F22" i="3"/>
  <c r="D9" i="2" s="1"/>
  <c r="F9" i="2" s="1"/>
  <c r="F10" i="2" l="1"/>
  <c r="D10" i="2"/>
  <c r="F23" i="3"/>
  <c r="E11" i="2"/>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<sst xmlns="http://schemas.openxmlformats.org/spreadsheetml/2006/main" count="283" uniqueCount="222">
  <si>
    <t>Customer Name :</t>
  </si>
  <si>
    <t>Partner Name :</t>
  </si>
  <si>
    <t>Date :</t>
  </si>
  <si>
    <t>Opp_ID :</t>
  </si>
  <si>
    <t>Solution :</t>
  </si>
  <si>
    <t>Contract term :</t>
  </si>
  <si>
    <t>3 years</t>
  </si>
  <si>
    <t xml:space="preserve">Date </t>
  </si>
  <si>
    <t>Doc Version</t>
  </si>
  <si>
    <t xml:space="preserve">Account Manager </t>
  </si>
  <si>
    <t>Solution Architect</t>
  </si>
  <si>
    <t>Reviewed By</t>
  </si>
  <si>
    <t>V1.0</t>
  </si>
  <si>
    <t>3 Year</t>
  </si>
  <si>
    <t xml:space="preserve"> Service Components</t>
  </si>
  <si>
    <t>Monthly Service Pay</t>
  </si>
  <si>
    <t>Yearly Service Pay</t>
  </si>
  <si>
    <t xml:space="preserve">ESDS' Managed Services -&gt;DC site </t>
  </si>
  <si>
    <t>* For detail Terms &amp; conditions, please refer to our standard terms &amp; conditions document.</t>
  </si>
  <si>
    <t xml:space="preserve">* Any component/Service not mentioned in the BOM/Main Commercials is out of ESDS's Scope. </t>
  </si>
  <si>
    <t>* The quote is valid for 15 days from the date of submission of offer.</t>
  </si>
  <si>
    <t>Terms &amp; Conditions</t>
  </si>
  <si>
    <t>Price:</t>
  </si>
  <si>
    <r>
      <t xml:space="preserve">• All prices are in Indian Rupee </t>
    </r>
    <r>
      <rPr>
        <u/>
        <sz val="10"/>
        <color rgb="FFFF0000"/>
        <rFont val="Bookman Old Style"/>
        <family val="1"/>
      </rPr>
      <t>without Taxes.</t>
    </r>
  </si>
  <si>
    <t>• Any change in the taxes, duties or levies due to change in government policies will be borne by the customer.</t>
  </si>
  <si>
    <t>• Billing shall start from the date of infrastructure hand-over in partial or full, irrespective of the Go-Live of the project, for e.g Dev environment is setup and released to client/partner for development activity, then the billing for the Dev enviornment will start immediately after Development environment is handed over to department / partner, similarly for any other environment, what ever is handed over, billing will start immediately after that.</t>
  </si>
  <si>
    <t>• The quote is valid for 15 days from the date of submission of offer.</t>
  </si>
  <si>
    <t>• Above best prices are for the minimum commitment of 36 months.</t>
  </si>
  <si>
    <t>• Prices are composite for the total Bill of Material and may vary with change in the Bill of Material due to increase or decrease in quantity/service period at the time of ordering.</t>
  </si>
  <si>
    <t xml:space="preserve">• One time Infra setup cost is for setting up the infra environment for the one time as per final BOM/PO. In case the setup has to be re-done or any setup modifications are required later, it will be charged extra at actuals. </t>
  </si>
  <si>
    <t>Payment Terms:</t>
  </si>
  <si>
    <t xml:space="preserve">• One Time Charges (OTC) for Infra Setup to be paid in advance along with Purchase Order. </t>
  </si>
  <si>
    <t>• Recurring charges (RC) for Infra payable Quarterly in advance. Invoice will be generated and mailed on the 1st of every Quarter.</t>
  </si>
  <si>
    <t>• Payments are due from date of receipt of invoice and payable within Ten (10) days of date of invoice. 
  Notice for overdue invoices will be sent on 10th of the next month of unpaid invoices.</t>
  </si>
  <si>
    <t xml:space="preserve">• In case of delay in payment there will be a late fee @ 2% on invoice due. </t>
  </si>
  <si>
    <t xml:space="preserve">• Post email notice/ notification to pay over due invoices, Client will have 72 working hours time to continue enjoying uninterrupted services. </t>
  </si>
  <si>
    <t xml:space="preserve">• On completion of grace time for overdue invoices, ESDS services will be completely disconnected. </t>
  </si>
  <si>
    <t>• The services will be resume only after clearing on of all over dues as per ESDS Payment Terms and Invoice Policies.</t>
  </si>
  <si>
    <t>• Payment for all the Infrastructure provisioned from day 1 on monthly basis, whatever has been delivered to client/partner, billing would start immediately from same month of provisioning &amp; payment of the same would be due post 10 days of Invoice date. This Infrastructure payment would be applicable irrespective of Application Testing / Development / Go-Live, once the infrastructure is provisioned &amp; delivered to client/partner, monthly billing cycle would start from that day itself.</t>
  </si>
  <si>
    <t>• For Any software or hardware component which is required for this project exclusively, payments for such items would be applicable from the data of delivery of such components and can be along with the Infrastructure Invoice or separate, depending upon the delivery of such item/items.</t>
  </si>
  <si>
    <t>Infra Delivery:</t>
  </si>
  <si>
    <t>• Delivery Period would be minimum 8-10 days for cloud infra from the date of receipt of PO along with agreed payment.</t>
  </si>
  <si>
    <t>Order to be placed on:</t>
  </si>
  <si>
    <t>ESDS Software Solution Ltd.</t>
  </si>
  <si>
    <t xml:space="preserve">1st Floor, No 76, 77 &amp; 78(p), New STPI Building, Cyber Park, Electronic City Phase-1, Hosur Road, Bengaluru </t>
  </si>
  <si>
    <t>Disclaimer:</t>
  </si>
  <si>
    <t>• Any hardware, software &amp; service which is not mentioned in the BoM won't be under ESDS Scope, if client want it to be covered then the charges for the same will be additional mutually agreed by both client and ESDS.</t>
  </si>
  <si>
    <t>• All the Compute, hardware, Network sizing is done based on the inputs received from client/partner.</t>
  </si>
  <si>
    <t>• The data center(s) are selected as per availability of the resources at the respective facilities as on date. ESDS reserves the right to change DC/DR location within India at any point of time subjected to availability of resources, the same shall be compliant to the requirement.</t>
  </si>
  <si>
    <t>• Any technical document submitted before the Bill of Material and commercials finalisation would be null and void and that ESDS will resubmit the technical proposal based on the changes, modifications done in the BoM with respect to technical solution or commercials and client is requested to refer the technical proposal submitted post the BoM and commercials finalisation.</t>
  </si>
  <si>
    <t>• Anything that is not mentioned in the proposal/commercial/BoQ/BoM submitted by ESDS at the time of finalisation of PO, will not be delivered for whatsoever reason</t>
  </si>
  <si>
    <t>• In case client requires any new or additional item/service/license except what is mentioned in the proposal, will be charged at additional prices. Rates/Prices &amp; Scope for all such additional/new requirements over and above the BoM/BoQ/Proposal submitted at the time of finalisation will be additional and such Rates/Prices &amp; Scope will be submitted to client based on the actual requirement.</t>
  </si>
  <si>
    <t>• For any such additional item or service required over and above the the BoM/BoQ/Proposal submitted at the time of finalisation, client will have to either raise PO or Confirm over email with acceptance to the new requirement and its applicable charges submitted by ESDS post receiving the additional requirement.</t>
  </si>
  <si>
    <t>• Payment to all such new requirements to be done by client along with other ongoing invoices. Billing for any such additional requirement will be included either in the upcoming invoices from ESDS or for any item or service if any advance payment is required, then client will have to make the advance payment along with PO or email confirmation for any kind of additional item or service or anything that is required from ESDS as part of the service. </t>
  </si>
  <si>
    <t>• ESDS will provision the items/services/devices based on the available make &amp; model of that particular item at the time of delivery. Client will not stop project Go-Live or Project acceptance or Payments for asking items/products/services of different make &amp; model besides what ESDS has provisioned.</t>
  </si>
  <si>
    <t>• In case of any disputes at the time of PO acceptance or during contract period related to any requirement not covered in the proposal / BoM / BoQ submitted by ESDS, both parties that is Client &amp; ESDS will mutually discuss and check the requirement and come to conclusion to proceed further &amp; how, further to this, in case there is dispute due to any such additional/new/change requirement for which there’s commercial impact, client should not hold the project implementation/completion and payments to ESDS.</t>
  </si>
  <si>
    <t>Sr. No.</t>
  </si>
  <si>
    <t>Qty</t>
  </si>
  <si>
    <t>Unit Rate</t>
  </si>
  <si>
    <t>Total Monthly Service Pay</t>
  </si>
  <si>
    <t>Total one time Service Pay</t>
  </si>
  <si>
    <t>Comments</t>
  </si>
  <si>
    <t>Software &amp; OS</t>
  </si>
  <si>
    <t>Network &amp; Storage Service</t>
  </si>
  <si>
    <t xml:space="preserve">Public IP's </t>
  </si>
  <si>
    <t>Security &amp; Backup Services</t>
  </si>
  <si>
    <t>Hosting Services</t>
  </si>
  <si>
    <t>Storage Mgt as per ESDS' standard SOW</t>
  </si>
  <si>
    <t>Firewall Mgt as per ESDS' standard SOW</t>
  </si>
  <si>
    <t>Basic Infra Monitoring for VMs as per ESDS' standard SOW</t>
  </si>
  <si>
    <t>Total Charges for Hosting Infrastructure (A)</t>
  </si>
  <si>
    <t>Total Charges for Managed Services (B)</t>
  </si>
  <si>
    <t>Total Pay without Taxes (A+B)</t>
  </si>
  <si>
    <t>Activity</t>
  </si>
  <si>
    <t>Client</t>
  </si>
  <si>
    <t xml:space="preserve">ESDS </t>
  </si>
  <si>
    <t>Infrastructure Setup (Virtual Instance/Physical instance) - DC</t>
  </si>
  <si>
    <t>I, C</t>
  </si>
  <si>
    <t>R, A</t>
  </si>
  <si>
    <t>Any Third Party Application/Database Licenses - DC</t>
  </si>
  <si>
    <t>R, A, C</t>
  </si>
  <si>
    <t>I</t>
  </si>
  <si>
    <t>Any Third Party Application/Database Installation, Configuration &amp; Daily Management - DC</t>
  </si>
  <si>
    <t>Any kind of Migration/Application-Database upgrades or data movement and post migration Activities - DC</t>
  </si>
  <si>
    <t>DNS Management - DC</t>
  </si>
  <si>
    <t>For HA for Application/Database level</t>
  </si>
  <si>
    <t>R,A</t>
  </si>
  <si>
    <t>I,C</t>
  </si>
  <si>
    <t>Basic Infra monitoring – covers visibility upto resource used against allocated for VMs (For DC)</t>
  </si>
  <si>
    <t>C, I</t>
  </si>
  <si>
    <t>Upgradation of resources to meet the performance (if required)</t>
  </si>
  <si>
    <t>Note: R -&gt; Responsible; A -&gt; Accountable; C -&gt; Consulted &amp; I -&gt; Informed</t>
  </si>
  <si>
    <t>Assumptions :</t>
  </si>
  <si>
    <t>• The sizing is provided as per Client/Partner's inputs, based on which the commercials are proposed, if in case any additional resources or services are required which are not mentioned in this commercials/BoM and rate card, prices for the same will be shared and such additional resource or service will be charged addition to the mentioned BoM and Prices.</t>
  </si>
  <si>
    <t xml:space="preserve">• For any other additional/optional component/service charge, please refer to the Rate Card </t>
  </si>
  <si>
    <t>• In this commercial proposal, there is no migration/Upgrade scope involved, hence if in case there is any kind of migration/upgrade activity to be undertaken by ESDS team then ESDS would first analyze the scope and then submit the effort estimate and would be charged over and above the prices mentioned in this proposal.</t>
  </si>
  <si>
    <t>• Initially we have proposed minimum Internet bandwidth/IPs/Disk IOPS/DC-DR Replication Link/VPNs. Based on actual requirement, we can upgrade/add additional resources and charges for the same would be additional.</t>
  </si>
  <si>
    <t>• In case client undergoes any audit (like PCI-DSS), there would be additional dedicated resources required to perform the compliances as per the audit policy and need to make changes and submit reports to get compliance done, so the charges for such services will be additional.</t>
  </si>
  <si>
    <t>• We've not included any SSL Certificate in commercials, if required same can be provisioned with additional cost at actual.</t>
  </si>
  <si>
    <t>• We're proposing our Private cloud platform with 2.5/2.6 GHz CPU &amp; Client/Partner needs to size the infra accordingly.</t>
  </si>
  <si>
    <t>• For any customized OS template to be deployed on ESDS Cloud, ESDS will first evaluate the feasibility/security checks &amp; deserves a right to decide whether same can be deployed on cloud or not.</t>
  </si>
  <si>
    <t>vFirewall installation and configuration -DC</t>
  </si>
  <si>
    <t>No GPU is included in this BOM</t>
  </si>
  <si>
    <t xml:space="preserve">Physical </t>
  </si>
  <si>
    <t>Intellect Design Arena</t>
  </si>
  <si>
    <t>NA</t>
  </si>
  <si>
    <t>Rajesh</t>
  </si>
  <si>
    <t>Jeevan</t>
  </si>
  <si>
    <t>Hypervisor, OS, DB, App licenses</t>
  </si>
  <si>
    <t>Client scope</t>
  </si>
  <si>
    <t xml:space="preserve">Volume Based-Internet Bandwidth </t>
  </si>
  <si>
    <t>Cross-connect for existing FW and Servers</t>
  </si>
  <si>
    <t>shared switchports -1Gig</t>
  </si>
  <si>
    <t>shared switchports -10Gig</t>
  </si>
  <si>
    <t>Performance Storage on Cloud (3000 IOPs/TB)</t>
  </si>
  <si>
    <t>Hardware - Capex to Opex</t>
  </si>
  <si>
    <t>contigency buffer</t>
  </si>
  <si>
    <t>ROI</t>
  </si>
  <si>
    <t>Racks</t>
  </si>
  <si>
    <t>Power</t>
  </si>
  <si>
    <t>Margin</t>
  </si>
  <si>
    <t>Technology</t>
  </si>
  <si>
    <t>Description</t>
  </si>
  <si>
    <t>QTY</t>
  </si>
  <si>
    <t>Unit Cost</t>
  </si>
  <si>
    <t>Total Cost in INR</t>
  </si>
  <si>
    <t>COC</t>
  </si>
  <si>
    <t>Rack Space in U</t>
  </si>
  <si>
    <t>Rack Space</t>
  </si>
  <si>
    <t>PSU in Watt</t>
  </si>
  <si>
    <t>Colocation</t>
  </si>
  <si>
    <t>Total Colocation</t>
  </si>
  <si>
    <t>Selling Price/Unit</t>
  </si>
  <si>
    <t>Total Monthly Selling Price</t>
  </si>
  <si>
    <t>Total for contract Terms</t>
  </si>
  <si>
    <t>Physical Server Nodes - DC</t>
  </si>
  <si>
    <t>One Time Infrastructure setup as per ESDS' standard SOW</t>
  </si>
  <si>
    <t>OTC</t>
  </si>
  <si>
    <t>-</t>
  </si>
  <si>
    <t xml:space="preserve"> vFirewall (25 SSLVPN + 2 site to site VPN Tunnel)</t>
  </si>
  <si>
    <t>As per inputs</t>
  </si>
  <si>
    <t>Operating System Administration- DC</t>
  </si>
  <si>
    <t>Dedicated Setup</t>
  </si>
  <si>
    <t>ESDS Dedicated server Hosting</t>
  </si>
  <si>
    <t xml:space="preserve">ESDS' Dedicated Hosting Services -&gt;DC site </t>
  </si>
  <si>
    <t xml:space="preserve">
Processor – Intel Xeon Gold
Core – 20
RAM – 512 GB
Storage – 1800 GB</t>
  </si>
  <si>
    <t xml:space="preserve">ESDS Dedicated Server Hosting &amp; Managed Services </t>
  </si>
  <si>
    <t xml:space="preserve">Total for Dedicated Server Hosting &amp; Managed Services </t>
  </si>
  <si>
    <t>Processor – Intel Xeon Gold
Core – 20
RAM – 512 GB
Storage – 1800 GB</t>
  </si>
  <si>
    <t>RACI Matrix : Dedicated Hosting</t>
  </si>
  <si>
    <t>• DB license &amp; Managmenet will be under clinet scope</t>
  </si>
  <si>
    <t>Tenure</t>
  </si>
  <si>
    <t xml:space="preserve"> Profitability Summary</t>
  </si>
  <si>
    <t>MRC</t>
  </si>
  <si>
    <t>Particulars</t>
  </si>
  <si>
    <t>Amt ( in Rs)</t>
  </si>
  <si>
    <t>%</t>
  </si>
  <si>
    <t>Selling Price</t>
  </si>
  <si>
    <t>OTC - IaaS</t>
  </si>
  <si>
    <t>IaaS</t>
  </si>
  <si>
    <t>Server</t>
  </si>
  <si>
    <t>Storage</t>
  </si>
  <si>
    <t>Network</t>
  </si>
  <si>
    <t>OTC - SaaS</t>
  </si>
  <si>
    <t xml:space="preserve">Software </t>
  </si>
  <si>
    <t>SaaS</t>
  </si>
  <si>
    <t>Security</t>
  </si>
  <si>
    <t>OTC - MS</t>
  </si>
  <si>
    <t>Managed Service</t>
  </si>
  <si>
    <t>MS</t>
  </si>
  <si>
    <t>Total Contract Value</t>
  </si>
  <si>
    <r>
      <t>CPC</t>
    </r>
    <r>
      <rPr>
        <sz val="11"/>
        <color theme="1"/>
        <rFont val="Calibri"/>
        <family val="2"/>
        <scheme val="minor"/>
      </rPr>
      <t xml:space="preserve"> : Not Consider</t>
    </r>
  </si>
  <si>
    <t>Input Cost</t>
  </si>
  <si>
    <t>Direct Overheads -20% of Input cost of Server</t>
  </si>
  <si>
    <t>Direct Overheads -10% of Input cost of Storage</t>
  </si>
  <si>
    <t>CPC</t>
  </si>
  <si>
    <t>Total Input Cost</t>
  </si>
  <si>
    <t>Gross Profit / ( Loss )</t>
  </si>
  <si>
    <t>Less: Cash Overheads</t>
  </si>
  <si>
    <t>EBITDA</t>
  </si>
  <si>
    <t>EBITDA IaaS %</t>
  </si>
  <si>
    <t>EBITDA SaaS %</t>
  </si>
  <si>
    <t>EBITDA MS %</t>
  </si>
  <si>
    <t>Less : Interest (Delay in Payment @12%)</t>
  </si>
  <si>
    <t xml:space="preserve">Finance charge late fee payment </t>
  </si>
  <si>
    <t>Less: 80% Depreciation Server</t>
  </si>
  <si>
    <t>Less 90%  Depreciation   Storage</t>
  </si>
  <si>
    <t>Infrastructure</t>
  </si>
  <si>
    <t xml:space="preserve">storage </t>
  </si>
  <si>
    <t>Total Depreciation</t>
  </si>
  <si>
    <t>Net Profit for Total contract period (1yr)</t>
  </si>
  <si>
    <t>Net Profit per Annum</t>
  </si>
  <si>
    <t>Net Profit</t>
  </si>
  <si>
    <t>Iaas</t>
  </si>
  <si>
    <t>Gross Profit Margin</t>
  </si>
  <si>
    <t>Net Profit Margin</t>
  </si>
  <si>
    <t>Markup Percentage</t>
  </si>
  <si>
    <t>Profit % = (Total Contract Value- Total Input Cost)/ Total Input Cost</t>
  </si>
  <si>
    <t>Margin % =  (Total Contract Value- Total Input Cost)/ Total Contract Value</t>
  </si>
  <si>
    <t>IaaS capex cost shifted to dep</t>
  </si>
  <si>
    <t>Overhead 25% charged on dep also</t>
  </si>
  <si>
    <t>Server and costbackup working required for actual capex and direct overhead charges</t>
  </si>
  <si>
    <t>Interest cost</t>
  </si>
  <si>
    <t>Rent and power</t>
  </si>
  <si>
    <t>Discount %</t>
  </si>
  <si>
    <t>Present Price</t>
  </si>
  <si>
    <t>For 36 Months</t>
  </si>
  <si>
    <t>Cash Flow</t>
  </si>
  <si>
    <t>Total</t>
  </si>
  <si>
    <t>Cash Inflow</t>
  </si>
  <si>
    <t>Revenue - Recurring</t>
  </si>
  <si>
    <t>Revenue - OTC</t>
  </si>
  <si>
    <t>Cash Outflow</t>
  </si>
  <si>
    <t>Initial</t>
  </si>
  <si>
    <t>Recurring</t>
  </si>
  <si>
    <t>Overheads</t>
  </si>
  <si>
    <t>NET INFLOW/OUTFLOW</t>
  </si>
  <si>
    <t>CUMULATIVE CASHFLOW</t>
  </si>
  <si>
    <t>Interest</t>
  </si>
  <si>
    <t>For 24 Months</t>
  </si>
  <si>
    <t>For 12 Months</t>
  </si>
  <si>
    <r>
      <t>Payment Terms:</t>
    </r>
    <r>
      <rPr>
        <sz val="12"/>
        <color theme="1"/>
        <rFont val="Calibri"/>
        <family val="2"/>
        <scheme val="minor"/>
      </rPr>
      <t xml:space="preserve"> monthly advance within 30 days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</si>
</sst>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4" formatCode="_ &quot;₹&quot;\ * #,##0.00_ ;_ &quot;₹&quot;\ * \-#,##0.00_ ;_ &quot;₹&quot;\ * &quot;-&quot;??_ ;_ @_ "/>
    <numFmt numFmtId="43" formatCode="_ * #,##0.00_ ;_ * \-#,##0.00_ ;_ * &quot;-&quot;??_ ;_ @_ "/>
    <numFmt numFmtId="164" formatCode="_(* #,##0.00_);_(* \(#,##0.00\);_(* &quot;-&quot;??_);_(@_)"/>
    <numFmt numFmtId="165" formatCode="[$-409]d\-mmm\-yy;@"/>
    <numFmt numFmtId="166" formatCode="_([$INR]\ * #,##0_);_([$INR]\ * \(#,##0\);_([$INR]\ * &quot;-&quot;??_);_(@_)"/>
    <numFmt numFmtId="167" formatCode="_([$INR]\ * #,##0.00_);_([$INR]\ * \(#,##0.00\);_([$INR]\ * &quot;-&quot;??_);_(@_)"/>
    <numFmt numFmtId="168" formatCode="General\ &quot;No&quot;"/>
    <numFmt numFmtId="169" formatCode="[$₹-4009]\ #,##0.00"/>
    <numFmt numFmtId="170" formatCode="General\ &quot;GB&quot;"/>
    <numFmt numFmtId="171" formatCode="_ * #,##0_ ;_ * \-#,##0_ ;_ * &quot;-&quot;??_ ;_ @_ "/>
    <numFmt numFmtId="172" formatCode="_ [$₹-4009]\ * #,##0_ ;_ [$₹-4009]\ * \-#,##0_ ;_ [$₹-4009]\ * &quot;-&quot;??_ ;_ @_ "/>
    <numFmt numFmtId="173" formatCode="General\ &quot;U&quot;"/>
    <numFmt numFmtId="174" formatCode="General\ &quot;Watt&quot;"/>
    <numFmt numFmtId="175" formatCode="_ [$₹-4009]\ * #,##0.00_ ;_ [$₹-4009]\ * \-#,##0.00_ ;_ [$₹-4009]\ * &quot;-&quot;??_ ;_ @_ "/>
    <numFmt numFmtId="176" formatCode="&quot;₹&quot;\ #,##0"/>
    <numFmt numFmtId="177" formatCode="General\ &quot;Months&quot;"/>
    <numFmt numFmtId="178" formatCode="&quot;₹&quot;\ #,##0.00"/>
    <numFmt numFmtId="179" formatCode="_(* #,##0_);_(* \(#,##0\);_(* &quot;-&quot;??_);_(@_)"/>
    <numFmt numFmtId="180" formatCode="_-* #,##0_-;\-* #,##0_-;_-* &quot;-&quot;??_-;_-@_-"/>
    <numFmt numFmtId="181" formatCode="0.0%"/>
    <numFmt numFmtId="182" formatCode="0.00000"/>
    <numFmt numFmtId="183" formatCode="0.0"/>
  </numFmts>
  <fonts count="45">
    <font>
      <sz val="11"/>
      <color theme="1"/>
      <name val="Calibri"/>
      <family val="2"/>
      <scheme val="minor"/>
    </font>
    <font>
      <sz val="11"/>
      <color theme="1"/>
      <name val="Calibri"/>
      <family val="2"/>
      <scheme val="minor"/>
    </font>
    <font>
      <sz val="10"/>
      <color theme="1"/>
      <name val="Calibri"/>
      <family val="2"/>
      <scheme val="minor"/>
    </font>
    <font>
      <b/>
      <sz val="10"/>
      <color theme="1"/>
      <name val="Arial"/>
      <family val="2"/>
    </font>
    <font>
      <sz val="10"/>
      <color theme="1"/>
      <name val="Arial"/>
      <family val="2"/>
    </font>
    <font>
      <b/>
      <sz val="10"/>
      <color rgb="FF000000"/>
      <name val="Arial"/>
      <family val="2"/>
    </font>
    <font>
      <sz val="10"/>
      <color rgb="FF000000"/>
      <name val="Arial"/>
      <family val="2"/>
    </font>
    <font>
      <sz val="9"/>
      <color theme="1"/>
      <name val="Calibri"/>
      <family val="2"/>
      <scheme val="minor"/>
    </font>
    <font>
      <sz val="12"/>
      <name val="Calibri"/>
      <family val="2"/>
      <scheme val="minor"/>
    </font>
    <font>
      <sz val="12"/>
      <color theme="1"/>
      <name val="Calibri"/>
      <family val="2"/>
      <scheme val="minor"/>
    </font>
    <font>
      <b/>
      <sz val="11"/>
      <color theme="8" tint="-0.499984740745262"/>
      <name val="Calibri"/>
      <family val="2"/>
      <scheme val="minor"/>
    </font>
    <font>
      <b/>
      <sz val="12"/>
      <color rgb="FFFFFF00"/>
      <name val="Calibri"/>
      <family val="2"/>
      <scheme val="minor"/>
    </font>
    <font>
      <b/>
      <sz val="12"/>
      <name val="Calibri"/>
      <family val="2"/>
      <scheme val="minor"/>
    </font>
    <font>
      <b/>
      <sz val="10"/>
      <color theme="8" tint="-0.499984740745262"/>
      <name val="Calibri"/>
      <family val="2"/>
      <scheme val="minor"/>
    </font>
    <font>
      <b/>
      <sz val="11"/>
      <name val="Candara"/>
      <family val="2"/>
    </font>
    <font>
      <i/>
      <sz val="12"/>
      <color rgb="FFC00000"/>
      <name val="Calibri"/>
      <family val="2"/>
      <scheme val="minor"/>
    </font>
    <font>
      <sz val="10"/>
      <color theme="1"/>
      <name val="Californian FB"/>
      <family val="2"/>
    </font>
    <font>
      <sz val="11"/>
      <color theme="1"/>
      <name val="Candara"/>
      <family val="2"/>
    </font>
    <font>
      <b/>
      <u/>
      <sz val="10"/>
      <color indexed="23"/>
      <name val="Bookman Old Style"/>
      <family val="1"/>
    </font>
    <font>
      <sz val="11"/>
      <color theme="1"/>
      <name val="Bookman Old Style"/>
      <family val="1"/>
    </font>
    <font>
      <sz val="10"/>
      <color indexed="30"/>
      <name val="Bookman Old Style"/>
      <family val="1"/>
    </font>
    <font>
      <sz val="10"/>
      <color indexed="23"/>
      <name val="Bookman Old Style"/>
      <family val="1"/>
    </font>
    <font>
      <u/>
      <sz val="10"/>
      <color rgb="FFFF0000"/>
      <name val="Bookman Old Style"/>
      <family val="1"/>
    </font>
    <font>
      <sz val="10"/>
      <color indexed="8"/>
      <name val="Bookman Old Style"/>
      <family val="1"/>
    </font>
    <font>
      <sz val="11"/>
      <color indexed="8"/>
      <name val="Bookman Old Style"/>
      <family val="1"/>
    </font>
    <font>
      <b/>
      <u/>
      <sz val="10"/>
      <color rgb="FF002060"/>
      <name val="Bookman Old Style"/>
      <family val="1"/>
    </font>
    <font>
      <sz val="11"/>
      <color rgb="FF002060"/>
      <name val="Bookman Old Style"/>
      <family val="1"/>
    </font>
    <font>
      <b/>
      <sz val="10"/>
      <color theme="0"/>
      <name val="Calibri"/>
      <family val="2"/>
      <scheme val="minor"/>
    </font>
    <font>
      <b/>
      <sz val="10"/>
      <color theme="1"/>
      <name val="Calibri"/>
      <family val="2"/>
      <scheme val="minor"/>
    </font>
    <font>
      <b/>
      <sz val="11"/>
      <color rgb="FF7030A0"/>
      <name val="Candara"/>
      <family val="2"/>
    </font>
    <font>
      <sz val="10"/>
      <color rgb="FF000000"/>
      <name val="Candara"/>
      <family val="2"/>
    </font>
    <font>
      <sz val="10"/>
      <color rgb="FFFF0000"/>
      <name val="Candara"/>
      <family val="2"/>
    </font>
    <font>
      <b/>
      <sz val="10"/>
      <color rgb="FF1F497D"/>
      <name val="Calibri"/>
      <family val="2"/>
    </font>
    <font>
      <b/>
      <sz val="10"/>
      <color rgb="FFFF0000"/>
      <name val="Calibri"/>
      <family val="2"/>
    </font>
    <font>
      <sz val="10"/>
      <color rgb="FF1F497D"/>
      <name val="Calibri"/>
      <family val="2"/>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4" tint="-0.249977111117893"/>
      <name val="Calibri"/>
      <family val="2"/>
      <scheme val="minor"/>
    </font>
    <font>
      <sz val="10"/>
      <name val="Arial"/>
      <family val="2"/>
    </font>
    <font>
      <sz val="11"/>
      <name val="Calibri"/>
      <family val="2"/>
      <scheme val="minor"/>
    </font>
    <font>
      <b/>
      <sz val="12"/>
      <color theme="1"/>
      <name val="Calibri"/>
      <family val="2"/>
      <scheme val="minor"/>
    </font>
    <font>
      <sz val="11"/>
      <color theme="1"/>
      <name val="Calibri "/>
    </font>
    <font>
      <b/>
      <sz val="11"/>
      <name val="Calibri"/>
      <family val="2"/>
      <scheme val="minor"/>
    </font>
  </fonts>
  <fills count="19">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theme="8" tint="-0.49998474074526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rgb="FFFFC000"/>
        <bgColor indexed="64"/>
      </patternFill>
    </fill>
    <fill>
      <patternFill patternType="solid">
        <fgColor rgb="FF92D050"/>
        <bgColor indexed="64"/>
      </patternFill>
    </fill>
    <fill>
      <patternFill patternType="solid">
        <fgColor rgb="FFFFFFFF"/>
        <bgColor indexed="64"/>
      </patternFill>
    </fill>
    <fill>
      <patternFill patternType="solid">
        <fgColor theme="5" tint="-0.249977111117893"/>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0" tint="-4.9989318521683403E-2"/>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thin">
        <color theme="0" tint="-0.14999847407452621"/>
      </bottom>
      <diagonal/>
    </border>
    <border>
      <left/>
      <right/>
      <top style="medium">
        <color indexed="64"/>
      </top>
      <bottom style="thin">
        <color theme="0" tint="-0.1499984740745262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auto="1"/>
      </top>
      <bottom style="medium">
        <color indexed="64"/>
      </bottom>
      <diagonal/>
    </border>
    <border>
      <left style="medium">
        <color indexed="64"/>
      </left>
      <right/>
      <top style="medium">
        <color indexed="64"/>
      </top>
      <bottom style="medium">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indexed="64"/>
      </right>
      <top style="thin">
        <color indexed="64"/>
      </top>
      <bottom style="thin">
        <color indexed="64"/>
      </bottom>
      <diagonal/>
    </border>
    <border>
      <left style="thin">
        <color theme="0" tint="-0.14999847407452621"/>
      </left>
      <right style="thin">
        <color theme="0" tint="-0.14999847407452621"/>
      </right>
      <top style="medium">
        <color indexed="64"/>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theme="0" tint="-0.14999847407452621"/>
      </right>
      <top style="medium">
        <color indexed="64"/>
      </top>
      <bottom style="thin">
        <color theme="0" tint="-0.14999847407452621"/>
      </bottom>
      <diagonal/>
    </border>
    <border>
      <left style="thin">
        <color theme="0" tint="-0.14999847407452621"/>
      </left>
      <right style="thin">
        <color indexed="64"/>
      </right>
      <top style="medium">
        <color indexed="64"/>
      </top>
      <bottom style="thin">
        <color theme="0" tint="-0.14999847407452621"/>
      </bottom>
      <diagonal/>
    </border>
    <border>
      <left style="thin">
        <color indexed="64"/>
      </left>
      <right style="thin">
        <color theme="0" tint="-0.14999847407452621"/>
      </right>
      <top style="thin">
        <color theme="0" tint="-0.14999847407452621"/>
      </top>
      <bottom style="thin">
        <color theme="0" tint="-0.14999847407452621"/>
      </bottom>
      <diagonal/>
    </border>
    <border>
      <left style="thin">
        <color theme="0" tint="-0.14999847407452621"/>
      </left>
      <right style="thin">
        <color indexed="64"/>
      </right>
      <top/>
      <bottom style="thin">
        <color theme="0" tint="-0.14999847407452621"/>
      </bottom>
      <diagonal/>
    </border>
    <border>
      <left style="thin">
        <color theme="0" tint="-0.14999847407452621"/>
      </left>
      <right style="thin">
        <color indexed="64"/>
      </right>
      <top style="thin">
        <color theme="0" tint="-0.14999847407452621"/>
      </top>
      <bottom style="thin">
        <color theme="0" tint="-0.14999847407452621"/>
      </bottom>
      <diagonal/>
    </border>
    <border>
      <left style="thin">
        <color indexed="64"/>
      </left>
      <right style="thin">
        <color theme="0" tint="-0.14999847407452621"/>
      </right>
      <top style="thin">
        <color theme="0" tint="-0.14999847407452621"/>
      </top>
      <bottom style="thin">
        <color indexed="64"/>
      </bottom>
      <diagonal/>
    </border>
    <border>
      <left style="thin">
        <color theme="0" tint="-0.14999847407452621"/>
      </left>
      <right style="thin">
        <color theme="0" tint="-0.14999847407452621"/>
      </right>
      <top style="thin">
        <color theme="0" tint="-0.14999847407452621"/>
      </top>
      <bottom style="thin">
        <color indexed="64"/>
      </bottom>
      <diagonal/>
    </border>
    <border>
      <left style="thin">
        <color theme="0" tint="-0.14999847407452621"/>
      </left>
      <right style="thin">
        <color indexed="64"/>
      </right>
      <top style="thin">
        <color theme="0" tint="-0.14999847407452621"/>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1">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164" fontId="16"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 fillId="0" borderId="0"/>
    <xf numFmtId="43" fontId="40" fillId="0" borderId="0" applyFont="0" applyFill="0" applyBorder="0" applyAlignment="0" applyProtection="0"/>
    <xf numFmtId="43" fontId="1" fillId="0" borderId="0" applyFont="0" applyFill="0" applyBorder="0" applyAlignment="0" applyProtection="0"/>
  </cellStyleXfs>
  <cellXfs count="296">
    <xf numFmtId="0" fontId="0" fillId="0" borderId="0" xfId="0"/>
    <xf numFmtId="0" fontId="2" fillId="0" borderId="0" xfId="0" applyFont="1"/>
    <xf numFmtId="0" fontId="3" fillId="2" borderId="0" xfId="0" applyFont="1" applyFill="1" applyAlignment="1">
      <alignment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0" fillId="0" borderId="0" xfId="0" applyAlignment="1">
      <alignment vertical="center"/>
    </xf>
    <xf numFmtId="165" fontId="6" fillId="0" borderId="1" xfId="2" applyNumberFormat="1" applyFont="1" applyBorder="1" applyAlignment="1">
      <alignment horizontal="center" vertical="center" wrapText="1"/>
    </xf>
    <xf numFmtId="0" fontId="6" fillId="0" borderId="1" xfId="0" applyFont="1" applyBorder="1" applyAlignment="1">
      <alignment horizontal="center" vertical="center" wrapText="1"/>
    </xf>
    <xf numFmtId="15" fontId="6" fillId="0" borderId="1" xfId="0" applyNumberFormat="1" applyFont="1" applyBorder="1" applyAlignment="1">
      <alignment horizontal="center" vertical="center" wrapText="1"/>
    </xf>
    <xf numFmtId="0" fontId="7" fillId="0" borderId="0" xfId="0" applyFont="1" applyAlignment="1">
      <alignment vertical="center"/>
    </xf>
    <xf numFmtId="0" fontId="8" fillId="3" borderId="0" xfId="0" applyFont="1" applyFill="1" applyAlignment="1">
      <alignment vertical="center"/>
    </xf>
    <xf numFmtId="0" fontId="9" fillId="3" borderId="0" xfId="0" applyFont="1" applyFill="1" applyAlignment="1">
      <alignment vertical="center"/>
    </xf>
    <xf numFmtId="0" fontId="9" fillId="3" borderId="0" xfId="0" applyFont="1" applyFill="1"/>
    <xf numFmtId="0" fontId="3" fillId="2" borderId="0" xfId="0" applyFont="1" applyFill="1" applyAlignment="1">
      <alignment horizontal="left" vertical="center" wrapText="1"/>
    </xf>
    <xf numFmtId="0" fontId="10" fillId="3" borderId="0" xfId="0" applyFont="1" applyFill="1" applyAlignment="1">
      <alignment horizontal="left" vertical="center" wrapText="1"/>
    </xf>
    <xf numFmtId="166" fontId="10" fillId="3" borderId="0" xfId="0" applyNumberFormat="1" applyFont="1" applyFill="1" applyAlignment="1">
      <alignment vertical="center" wrapText="1"/>
    </xf>
    <xf numFmtId="0" fontId="11" fillId="4" borderId="5" xfId="0" applyFont="1" applyFill="1" applyBorder="1" applyAlignment="1">
      <alignment horizontal="center" vertical="center"/>
    </xf>
    <xf numFmtId="0" fontId="12" fillId="5" borderId="6" xfId="0" applyFont="1" applyFill="1" applyBorder="1" applyAlignment="1">
      <alignment horizontal="left" vertical="center"/>
    </xf>
    <xf numFmtId="0" fontId="12" fillId="5" borderId="7" xfId="0" applyFont="1" applyFill="1" applyBorder="1" applyAlignment="1">
      <alignment horizontal="center" vertical="center"/>
    </xf>
    <xf numFmtId="0" fontId="12" fillId="5" borderId="5" xfId="0" applyFont="1" applyFill="1" applyBorder="1" applyAlignment="1">
      <alignment horizontal="center" vertical="center"/>
    </xf>
    <xf numFmtId="166" fontId="13" fillId="0" borderId="5" xfId="0" applyNumberFormat="1" applyFont="1" applyBorder="1" applyAlignment="1">
      <alignment vertical="center" wrapText="1"/>
    </xf>
    <xf numFmtId="166" fontId="10" fillId="6" borderId="5" xfId="0" applyNumberFormat="1" applyFont="1" applyFill="1" applyBorder="1" applyAlignment="1">
      <alignment vertical="center" wrapText="1"/>
    </xf>
    <xf numFmtId="0" fontId="10" fillId="0" borderId="0" xfId="0" applyFont="1" applyAlignment="1">
      <alignment horizontal="left" vertical="center" wrapText="1"/>
    </xf>
    <xf numFmtId="166" fontId="10" fillId="0" borderId="0" xfId="0" applyNumberFormat="1" applyFont="1" applyAlignment="1">
      <alignment vertical="center" wrapText="1"/>
    </xf>
    <xf numFmtId="0" fontId="9" fillId="0" borderId="0" xfId="0" applyFont="1" applyAlignment="1">
      <alignment vertical="center"/>
    </xf>
    <xf numFmtId="0" fontId="9" fillId="0" borderId="0" xfId="0" applyFont="1"/>
    <xf numFmtId="0" fontId="14" fillId="0" borderId="0" xfId="0" applyFont="1"/>
    <xf numFmtId="167" fontId="10" fillId="0" borderId="0" xfId="0" applyNumberFormat="1" applyFont="1" applyAlignment="1">
      <alignment vertical="center" wrapText="1"/>
    </xf>
    <xf numFmtId="166" fontId="9" fillId="3" borderId="0" xfId="0" applyNumberFormat="1" applyFont="1" applyFill="1"/>
    <xf numFmtId="0" fontId="15" fillId="3" borderId="0" xfId="0" applyFont="1" applyFill="1"/>
    <xf numFmtId="0" fontId="18" fillId="0" borderId="0" xfId="3" applyFont="1" applyProtection="1">
      <protection locked="0" hidden="1"/>
    </xf>
    <xf numFmtId="0" fontId="19" fillId="0" borderId="0" xfId="0" applyFont="1" applyProtection="1">
      <protection locked="0" hidden="1"/>
    </xf>
    <xf numFmtId="0" fontId="20" fillId="0" borderId="0" xfId="3" applyFont="1" applyProtection="1">
      <protection locked="0" hidden="1"/>
    </xf>
    <xf numFmtId="0" fontId="21" fillId="0" borderId="0" xfId="3" applyFont="1" applyAlignment="1" applyProtection="1">
      <alignment horizontal="left"/>
      <protection locked="0" hidden="1"/>
    </xf>
    <xf numFmtId="0" fontId="21" fillId="0" borderId="0" xfId="3" applyFont="1" applyAlignment="1" applyProtection="1">
      <alignment horizontal="left" wrapText="1"/>
      <protection locked="0" hidden="1"/>
    </xf>
    <xf numFmtId="0" fontId="21" fillId="0" borderId="0" xfId="3" applyFont="1" applyAlignment="1" applyProtection="1">
      <alignment wrapText="1"/>
      <protection locked="0" hidden="1"/>
    </xf>
    <xf numFmtId="0" fontId="23" fillId="0" borderId="0" xfId="3" applyFont="1" applyProtection="1">
      <protection locked="0" hidden="1"/>
    </xf>
    <xf numFmtId="0" fontId="21" fillId="0" borderId="0" xfId="3" applyFont="1" applyProtection="1">
      <protection locked="0" hidden="1"/>
    </xf>
    <xf numFmtId="0" fontId="24" fillId="0" borderId="0" xfId="3" applyFont="1" applyProtection="1">
      <protection locked="0" hidden="1"/>
    </xf>
    <xf numFmtId="0" fontId="25" fillId="0" borderId="0" xfId="3" applyFont="1" applyProtection="1">
      <protection locked="0" hidden="1"/>
    </xf>
    <xf numFmtId="0" fontId="26" fillId="0" borderId="0" xfId="0" applyFont="1" applyProtection="1">
      <protection locked="0" hidden="1"/>
    </xf>
    <xf numFmtId="0" fontId="27" fillId="3" borderId="0" xfId="0" applyFont="1" applyFill="1" applyAlignment="1" applyProtection="1">
      <alignment horizontal="center" vertical="center" wrapText="1"/>
      <protection hidden="1"/>
    </xf>
    <xf numFmtId="0" fontId="2" fillId="7" borderId="1" xfId="0" applyFont="1" applyFill="1" applyBorder="1" applyAlignment="1" applyProtection="1">
      <alignment horizontal="center" vertical="center"/>
      <protection locked="0" hidden="1"/>
    </xf>
    <xf numFmtId="0" fontId="2" fillId="7" borderId="1" xfId="0" applyFont="1" applyFill="1" applyBorder="1" applyAlignment="1" applyProtection="1">
      <alignment vertical="center"/>
      <protection locked="0" hidden="1"/>
    </xf>
    <xf numFmtId="0" fontId="2" fillId="7" borderId="11" xfId="0" applyFont="1" applyFill="1" applyBorder="1" applyAlignment="1" applyProtection="1">
      <alignment vertical="center"/>
      <protection locked="0" hidden="1"/>
    </xf>
    <xf numFmtId="168" fontId="2" fillId="0" borderId="1" xfId="0" applyNumberFormat="1" applyFont="1" applyBorder="1" applyAlignment="1" applyProtection="1">
      <alignment horizontal="center" vertical="center"/>
      <protection locked="0" hidden="1"/>
    </xf>
    <xf numFmtId="169" fontId="2" fillId="3" borderId="1" xfId="1" applyNumberFormat="1" applyFont="1" applyFill="1" applyBorder="1" applyAlignment="1" applyProtection="1">
      <alignment horizontal="right" vertical="center" wrapText="1"/>
      <protection hidden="1"/>
    </xf>
    <xf numFmtId="0" fontId="2" fillId="7" borderId="1" xfId="0" applyFont="1" applyFill="1" applyBorder="1" applyAlignment="1" applyProtection="1">
      <alignment vertical="center"/>
      <protection hidden="1"/>
    </xf>
    <xf numFmtId="0" fontId="2" fillId="0" borderId="1" xfId="0" applyFont="1" applyBorder="1" applyAlignment="1" applyProtection="1">
      <alignment horizontal="left" vertical="center" wrapText="1"/>
      <protection hidden="1"/>
    </xf>
    <xf numFmtId="0" fontId="2" fillId="3" borderId="0" xfId="0" applyFont="1" applyFill="1" applyAlignment="1" applyProtection="1">
      <alignment vertical="center"/>
      <protection hidden="1"/>
    </xf>
    <xf numFmtId="169" fontId="2" fillId="8" borderId="1" xfId="1" applyNumberFormat="1" applyFont="1" applyFill="1" applyBorder="1" applyAlignment="1" applyProtection="1">
      <alignment horizontal="right" vertical="center" wrapText="1"/>
      <protection hidden="1"/>
    </xf>
    <xf numFmtId="0" fontId="2" fillId="0" borderId="1" xfId="0" applyFont="1" applyBorder="1" applyAlignment="1" applyProtection="1">
      <alignment horizontal="center" vertical="center"/>
      <protection locked="0" hidden="1"/>
    </xf>
    <xf numFmtId="0" fontId="2" fillId="0" borderId="1" xfId="0" applyFont="1" applyBorder="1" applyAlignment="1" applyProtection="1">
      <alignment vertical="center"/>
      <protection locked="0" hidden="1"/>
    </xf>
    <xf numFmtId="0" fontId="2" fillId="0" borderId="11" xfId="0" applyFont="1" applyBorder="1" applyAlignment="1" applyProtection="1">
      <alignment vertical="center"/>
      <protection hidden="1"/>
    </xf>
    <xf numFmtId="0" fontId="2" fillId="0" borderId="0" xfId="0" applyFont="1" applyAlignment="1" applyProtection="1">
      <alignment vertical="center"/>
      <protection hidden="1"/>
    </xf>
    <xf numFmtId="169" fontId="2" fillId="3" borderId="0" xfId="1" applyNumberFormat="1" applyFont="1" applyFill="1" applyBorder="1" applyAlignment="1" applyProtection="1">
      <alignment horizontal="right" vertical="center" wrapText="1"/>
      <protection hidden="1"/>
    </xf>
    <xf numFmtId="0" fontId="2" fillId="0" borderId="1" xfId="0" applyFont="1" applyBorder="1" applyAlignment="1" applyProtection="1">
      <alignment vertical="center" wrapText="1"/>
      <protection locked="0" hidden="1"/>
    </xf>
    <xf numFmtId="0" fontId="28" fillId="6" borderId="1" xfId="0" applyFont="1" applyFill="1" applyBorder="1" applyAlignment="1" applyProtection="1">
      <alignment horizontal="center" vertical="center"/>
      <protection locked="0" hidden="1"/>
    </xf>
    <xf numFmtId="0" fontId="28" fillId="6" borderId="1" xfId="0" applyFont="1" applyFill="1" applyBorder="1" applyAlignment="1" applyProtection="1">
      <alignment vertical="center"/>
      <protection locked="0" hidden="1"/>
    </xf>
    <xf numFmtId="169" fontId="28" fillId="6" borderId="1" xfId="0" applyNumberFormat="1" applyFont="1" applyFill="1" applyBorder="1" applyAlignment="1" applyProtection="1">
      <alignment vertical="center"/>
      <protection hidden="1"/>
    </xf>
    <xf numFmtId="0" fontId="28" fillId="9" borderId="1" xfId="0" applyFont="1" applyFill="1" applyBorder="1" applyAlignment="1" applyProtection="1">
      <alignment horizontal="center" vertical="center"/>
      <protection locked="0" hidden="1"/>
    </xf>
    <xf numFmtId="0" fontId="28" fillId="9" borderId="1" xfId="0" applyFont="1" applyFill="1" applyBorder="1" applyAlignment="1" applyProtection="1">
      <alignment vertical="center"/>
      <protection locked="0" hidden="1"/>
    </xf>
    <xf numFmtId="169" fontId="28" fillId="9" borderId="1" xfId="0" applyNumberFormat="1" applyFont="1" applyFill="1" applyBorder="1" applyAlignment="1" applyProtection="1">
      <alignment vertical="center"/>
      <protection hidden="1"/>
    </xf>
    <xf numFmtId="0" fontId="28" fillId="10" borderId="1" xfId="0" applyFont="1" applyFill="1" applyBorder="1" applyAlignment="1" applyProtection="1">
      <alignment horizontal="center" vertical="center"/>
      <protection locked="0" hidden="1"/>
    </xf>
    <xf numFmtId="0" fontId="28" fillId="10" borderId="1" xfId="0" applyFont="1" applyFill="1" applyBorder="1" applyAlignment="1" applyProtection="1">
      <alignment vertical="center"/>
      <protection locked="0" hidden="1"/>
    </xf>
    <xf numFmtId="169" fontId="28" fillId="10" borderId="1" xfId="0" applyNumberFormat="1" applyFont="1" applyFill="1" applyBorder="1" applyAlignment="1" applyProtection="1">
      <alignment vertical="center"/>
      <protection hidden="1"/>
    </xf>
    <xf numFmtId="169" fontId="28" fillId="3" borderId="0" xfId="0" applyNumberFormat="1" applyFont="1" applyFill="1" applyAlignment="1" applyProtection="1">
      <alignment vertical="center"/>
      <protection hidden="1"/>
    </xf>
    <xf numFmtId="0" fontId="29" fillId="0" borderId="0" xfId="0" applyFont="1" applyAlignment="1">
      <alignment horizontal="left" vertical="center" wrapText="1"/>
    </xf>
    <xf numFmtId="0" fontId="30" fillId="11" borderId="12" xfId="0" applyFont="1" applyFill="1" applyBorder="1" applyAlignment="1">
      <alignment horizontal="center" vertical="center" wrapText="1" readingOrder="1"/>
    </xf>
    <xf numFmtId="0" fontId="30" fillId="11" borderId="0" xfId="0" applyFont="1" applyFill="1" applyAlignment="1">
      <alignment horizontal="center" vertical="center" wrapText="1" readingOrder="1"/>
    </xf>
    <xf numFmtId="0" fontId="30" fillId="11" borderId="10" xfId="0" applyFont="1" applyFill="1" applyBorder="1" applyAlignment="1">
      <alignment horizontal="center" vertical="center" wrapText="1" readingOrder="1"/>
    </xf>
    <xf numFmtId="0" fontId="30" fillId="11" borderId="13" xfId="0" applyFont="1" applyFill="1" applyBorder="1" applyAlignment="1">
      <alignment horizontal="center" vertical="center" wrapText="1" readingOrder="1"/>
    </xf>
    <xf numFmtId="0" fontId="28" fillId="0" borderId="0" xfId="0" applyFont="1"/>
    <xf numFmtId="0" fontId="30" fillId="11" borderId="0" xfId="0" applyFont="1" applyFill="1" applyAlignment="1">
      <alignment horizontal="left" vertical="center" wrapText="1" indent="1" readingOrder="1"/>
    </xf>
    <xf numFmtId="0" fontId="2" fillId="7" borderId="11" xfId="0" applyFont="1" applyFill="1" applyBorder="1" applyAlignment="1" applyProtection="1">
      <alignment vertical="center"/>
      <protection hidden="1"/>
    </xf>
    <xf numFmtId="0" fontId="2" fillId="0" borderId="11" xfId="0" applyFont="1" applyBorder="1"/>
    <xf numFmtId="0" fontId="2" fillId="0" borderId="1" xfId="0" applyFont="1" applyBorder="1" applyAlignment="1">
      <alignment horizontal="center"/>
    </xf>
    <xf numFmtId="0" fontId="2" fillId="3" borderId="0" xfId="0" applyFont="1" applyFill="1"/>
    <xf numFmtId="0" fontId="2" fillId="3" borderId="0" xfId="0" applyFont="1" applyFill="1" applyAlignment="1">
      <alignment wrapText="1"/>
    </xf>
    <xf numFmtId="0" fontId="2" fillId="6" borderId="11" xfId="0" applyFont="1" applyFill="1" applyBorder="1"/>
    <xf numFmtId="0" fontId="2" fillId="9" borderId="11" xfId="0" applyFont="1" applyFill="1" applyBorder="1"/>
    <xf numFmtId="0" fontId="2" fillId="10" borderId="11" xfId="0" applyFont="1" applyFill="1" applyBorder="1"/>
    <xf numFmtId="169" fontId="2" fillId="0" borderId="0" xfId="0" applyNumberFormat="1" applyFont="1"/>
    <xf numFmtId="0" fontId="2" fillId="0" borderId="0" xfId="0" applyFont="1" applyAlignment="1">
      <alignment horizontal="center"/>
    </xf>
    <xf numFmtId="0" fontId="28" fillId="7" borderId="1" xfId="0" applyFont="1" applyFill="1" applyBorder="1" applyAlignment="1" applyProtection="1">
      <alignment vertical="center"/>
      <protection locked="0" hidden="1"/>
    </xf>
    <xf numFmtId="0" fontId="2" fillId="0" borderId="11" xfId="0" applyFont="1" applyBorder="1" applyAlignment="1" applyProtection="1">
      <alignment vertical="center"/>
      <protection locked="0" hidden="1"/>
    </xf>
    <xf numFmtId="169" fontId="2" fillId="3" borderId="11" xfId="1" applyNumberFormat="1" applyFont="1" applyFill="1" applyBorder="1" applyAlignment="1" applyProtection="1">
      <alignment horizontal="right" vertical="center" wrapText="1"/>
      <protection hidden="1"/>
    </xf>
    <xf numFmtId="168" fontId="2" fillId="0" borderId="11" xfId="0" applyNumberFormat="1" applyFont="1" applyBorder="1" applyAlignment="1" applyProtection="1">
      <alignment horizontal="center" vertical="center"/>
      <protection locked="0" hidden="1"/>
    </xf>
    <xf numFmtId="169" fontId="28" fillId="6" borderId="11" xfId="0" applyNumberFormat="1" applyFont="1" applyFill="1" applyBorder="1" applyAlignment="1" applyProtection="1">
      <alignment vertical="center"/>
      <protection hidden="1"/>
    </xf>
    <xf numFmtId="169" fontId="28" fillId="9" borderId="11" xfId="0" applyNumberFormat="1" applyFont="1" applyFill="1" applyBorder="1" applyAlignment="1" applyProtection="1">
      <alignment vertical="center"/>
      <protection hidden="1"/>
    </xf>
    <xf numFmtId="169" fontId="28" fillId="10" borderId="11" xfId="0" applyNumberFormat="1" applyFont="1" applyFill="1" applyBorder="1" applyAlignment="1" applyProtection="1">
      <alignment vertical="center"/>
      <protection hidden="1"/>
    </xf>
    <xf numFmtId="0" fontId="11" fillId="4" borderId="14" xfId="0" applyFont="1" applyFill="1" applyBorder="1" applyAlignment="1">
      <alignment horizontal="center" vertical="center"/>
    </xf>
    <xf numFmtId="0" fontId="11" fillId="4" borderId="15" xfId="0" applyFont="1" applyFill="1" applyBorder="1" applyAlignment="1">
      <alignment horizontal="center" vertical="center" wrapText="1"/>
    </xf>
    <xf numFmtId="0" fontId="11" fillId="4" borderId="16" xfId="0" applyFont="1" applyFill="1" applyBorder="1" applyAlignment="1">
      <alignment horizontal="center" vertical="center"/>
    </xf>
    <xf numFmtId="0" fontId="30" fillId="11" borderId="22" xfId="0" applyFont="1" applyFill="1" applyBorder="1" applyAlignment="1">
      <alignment horizontal="left" vertical="center" wrapText="1" indent="1" readingOrder="1"/>
    </xf>
    <xf numFmtId="0" fontId="30" fillId="11" borderId="23" xfId="0" applyFont="1" applyFill="1" applyBorder="1" applyAlignment="1">
      <alignment horizontal="center" vertical="center" wrapText="1" readingOrder="1"/>
    </xf>
    <xf numFmtId="0" fontId="30" fillId="11" borderId="24" xfId="0" applyFont="1" applyFill="1" applyBorder="1" applyAlignment="1">
      <alignment horizontal="left" vertical="center" wrapText="1" indent="1" readingOrder="1"/>
    </xf>
    <xf numFmtId="0" fontId="30" fillId="11" borderId="25" xfId="0" applyFont="1" applyFill="1" applyBorder="1" applyAlignment="1">
      <alignment horizontal="center" vertical="center" wrapText="1" readingOrder="1"/>
    </xf>
    <xf numFmtId="0" fontId="30" fillId="11" borderId="26" xfId="0" applyFont="1" applyFill="1" applyBorder="1" applyAlignment="1">
      <alignment horizontal="center" vertical="center" wrapText="1" readingOrder="1"/>
    </xf>
    <xf numFmtId="0" fontId="30" fillId="0" borderId="24" xfId="0" applyFont="1" applyBorder="1" applyAlignment="1">
      <alignment horizontal="left" vertical="center" wrapText="1" indent="1" readingOrder="1"/>
    </xf>
    <xf numFmtId="0" fontId="30" fillId="11" borderId="27" xfId="0" applyFont="1" applyFill="1" applyBorder="1" applyAlignment="1">
      <alignment horizontal="left" vertical="center" wrapText="1" indent="1" readingOrder="1"/>
    </xf>
    <xf numFmtId="0" fontId="30" fillId="11" borderId="28" xfId="0" applyFont="1" applyFill="1" applyBorder="1" applyAlignment="1">
      <alignment horizontal="center" vertical="center" wrapText="1" readingOrder="1"/>
    </xf>
    <xf numFmtId="0" fontId="30" fillId="11" borderId="29" xfId="0" applyFont="1" applyFill="1" applyBorder="1" applyAlignment="1">
      <alignment horizontal="center" vertical="center" wrapText="1" readingOrder="1"/>
    </xf>
    <xf numFmtId="0" fontId="27" fillId="12" borderId="1" xfId="0" applyFont="1" applyFill="1" applyBorder="1" applyAlignment="1" applyProtection="1">
      <alignment horizontal="center" vertical="center"/>
      <protection locked="0" hidden="1"/>
    </xf>
    <xf numFmtId="0" fontId="27" fillId="12" borderId="1" xfId="0" applyFont="1" applyFill="1" applyBorder="1" applyAlignment="1" applyProtection="1">
      <alignment horizontal="center" vertical="center" wrapText="1"/>
      <protection hidden="1"/>
    </xf>
    <xf numFmtId="0" fontId="27" fillId="12" borderId="0" xfId="0" applyFont="1" applyFill="1" applyAlignment="1" applyProtection="1">
      <alignment horizontal="center" vertical="center" wrapText="1"/>
      <protection hidden="1"/>
    </xf>
    <xf numFmtId="0" fontId="2" fillId="0" borderId="1" xfId="0" applyFont="1" applyBorder="1" applyAlignment="1" applyProtection="1">
      <alignment vertical="center" wrapText="1"/>
      <protection hidden="1"/>
    </xf>
    <xf numFmtId="0" fontId="0" fillId="0" borderId="1" xfId="0" applyBorder="1" applyAlignment="1">
      <alignment horizontal="center" vertical="center" wrapText="1"/>
    </xf>
    <xf numFmtId="170" fontId="2" fillId="0" borderId="1" xfId="0" applyNumberFormat="1" applyFont="1" applyBorder="1" applyAlignment="1">
      <alignment horizontal="center" vertical="center"/>
    </xf>
    <xf numFmtId="0" fontId="0" fillId="6" borderId="0" xfId="0" applyFill="1"/>
    <xf numFmtId="0" fontId="0" fillId="0" borderId="0" xfId="0" applyAlignment="1">
      <alignment horizontal="center"/>
    </xf>
    <xf numFmtId="0" fontId="0" fillId="0" borderId="0" xfId="0" applyAlignment="1">
      <alignment horizontal="center" wrapText="1"/>
    </xf>
    <xf numFmtId="9" fontId="0" fillId="0" borderId="0" xfId="0" applyNumberFormat="1"/>
    <xf numFmtId="9" fontId="0" fillId="0" borderId="0" xfId="0" applyNumberFormat="1" applyAlignment="1">
      <alignment horizontal="center"/>
    </xf>
    <xf numFmtId="1" fontId="0" fillId="3" borderId="0" xfId="5" applyNumberFormat="1" applyFont="1" applyFill="1" applyAlignment="1">
      <alignment horizontal="center"/>
    </xf>
    <xf numFmtId="0" fontId="0" fillId="3" borderId="0" xfId="0" applyFill="1" applyAlignment="1">
      <alignment horizontal="center"/>
    </xf>
    <xf numFmtId="9" fontId="0" fillId="3" borderId="0" xfId="0" applyNumberFormat="1" applyFill="1" applyAlignment="1">
      <alignment horizontal="center"/>
    </xf>
    <xf numFmtId="0" fontId="32" fillId="0" borderId="1" xfId="0" applyFont="1" applyBorder="1" applyAlignment="1">
      <alignment horizontal="center" vertical="center"/>
    </xf>
    <xf numFmtId="171" fontId="32" fillId="0" borderId="1" xfId="6" applyNumberFormat="1" applyFont="1" applyFill="1" applyBorder="1" applyAlignment="1">
      <alignment horizontal="center" vertical="center"/>
    </xf>
    <xf numFmtId="171" fontId="33" fillId="0" borderId="1" xfId="6" applyNumberFormat="1" applyFont="1" applyFill="1" applyBorder="1" applyAlignment="1">
      <alignment horizontal="center" vertical="center" wrapText="1"/>
    </xf>
    <xf numFmtId="171" fontId="32" fillId="0" borderId="1" xfId="6" applyNumberFormat="1" applyFont="1" applyFill="1" applyBorder="1" applyAlignment="1">
      <alignment horizontal="center" vertical="center" wrapText="1"/>
    </xf>
    <xf numFmtId="0" fontId="34" fillId="0" borderId="1" xfId="0" applyFont="1" applyBorder="1" applyAlignment="1">
      <alignment vertical="center"/>
    </xf>
    <xf numFmtId="0" fontId="34" fillId="0" borderId="1" xfId="0" applyFont="1" applyBorder="1" applyAlignment="1">
      <alignment horizontal="center" vertical="center"/>
    </xf>
    <xf numFmtId="172" fontId="34" fillId="0" borderId="1" xfId="6" applyNumberFormat="1" applyFont="1" applyBorder="1" applyAlignment="1">
      <alignment horizontal="center" vertical="center"/>
    </xf>
    <xf numFmtId="173" fontId="34" fillId="3" borderId="1" xfId="6" applyNumberFormat="1" applyFont="1" applyFill="1" applyBorder="1" applyAlignment="1">
      <alignment horizontal="center" vertical="center"/>
    </xf>
    <xf numFmtId="174" fontId="34" fillId="0" borderId="1" xfId="6" applyNumberFormat="1" applyFont="1" applyBorder="1" applyAlignment="1">
      <alignment horizontal="center" vertical="center"/>
    </xf>
    <xf numFmtId="175" fontId="34" fillId="0" borderId="1" xfId="6" applyNumberFormat="1" applyFont="1" applyBorder="1" applyAlignment="1">
      <alignment horizontal="center" vertical="center"/>
    </xf>
    <xf numFmtId="175" fontId="0" fillId="0" borderId="0" xfId="0" applyNumberFormat="1"/>
    <xf numFmtId="0" fontId="2" fillId="3" borderId="1" xfId="0" applyFont="1" applyFill="1" applyBorder="1" applyAlignment="1" applyProtection="1">
      <alignment horizontal="center" vertical="center"/>
      <protection locked="0" hidden="1"/>
    </xf>
    <xf numFmtId="0" fontId="2" fillId="3" borderId="1" xfId="0" applyFont="1" applyFill="1" applyBorder="1" applyAlignment="1" applyProtection="1">
      <alignment vertical="center"/>
      <protection hidden="1"/>
    </xf>
    <xf numFmtId="0" fontId="2" fillId="3" borderId="11" xfId="0" applyFont="1" applyFill="1" applyBorder="1" applyAlignment="1" applyProtection="1">
      <alignment vertical="center"/>
      <protection hidden="1"/>
    </xf>
    <xf numFmtId="0" fontId="2" fillId="3" borderId="1" xfId="0" applyFont="1" applyFill="1" applyBorder="1" applyAlignment="1" applyProtection="1">
      <alignment vertical="center"/>
      <protection locked="0" hidden="1"/>
    </xf>
    <xf numFmtId="169" fontId="2" fillId="3" borderId="1" xfId="0" applyNumberFormat="1" applyFont="1" applyFill="1" applyBorder="1" applyAlignment="1" applyProtection="1">
      <alignment vertical="center"/>
      <protection hidden="1"/>
    </xf>
    <xf numFmtId="166" fontId="13" fillId="0" borderId="5" xfId="0" applyNumberFormat="1" applyFont="1" applyBorder="1" applyAlignment="1">
      <alignment horizontal="center" vertical="center" wrapText="1"/>
    </xf>
    <xf numFmtId="0" fontId="17" fillId="0" borderId="17" xfId="0" applyFont="1" applyBorder="1" applyAlignment="1">
      <alignment horizontal="left" vertical="center" wrapText="1"/>
    </xf>
    <xf numFmtId="0" fontId="17" fillId="0" borderId="0" xfId="0" applyFont="1" applyAlignment="1">
      <alignment horizontal="left" vertical="center" wrapText="1"/>
    </xf>
    <xf numFmtId="0" fontId="17" fillId="0" borderId="18" xfId="0" applyFont="1" applyBorder="1" applyAlignment="1">
      <alignment horizontal="left" vertical="center" wrapText="1"/>
    </xf>
    <xf numFmtId="2" fontId="2" fillId="0" borderId="0" xfId="0" applyNumberFormat="1" applyFont="1"/>
    <xf numFmtId="0" fontId="0" fillId="0" borderId="0" xfId="0" applyAlignment="1">
      <alignment vertical="center" wrapText="1"/>
    </xf>
    <xf numFmtId="176" fontId="0" fillId="0" borderId="0" xfId="0" applyNumberFormat="1" applyAlignment="1">
      <alignment horizontal="right" vertical="center" wrapText="1"/>
    </xf>
    <xf numFmtId="0" fontId="37" fillId="0" borderId="0" xfId="0" applyFont="1"/>
    <xf numFmtId="177" fontId="37" fillId="0" borderId="1" xfId="8" applyNumberFormat="1" applyFont="1" applyBorder="1" applyAlignment="1">
      <alignment horizontal="center" vertical="center"/>
    </xf>
    <xf numFmtId="0" fontId="0" fillId="13" borderId="1" xfId="0" applyFill="1" applyBorder="1" applyAlignment="1">
      <alignment vertical="center" wrapText="1"/>
    </xf>
    <xf numFmtId="2" fontId="0" fillId="0" borderId="0" xfId="0" applyNumberFormat="1"/>
    <xf numFmtId="2" fontId="0" fillId="0" borderId="0" xfId="0" applyNumberFormat="1" applyAlignment="1">
      <alignment vertical="center" wrapText="1"/>
    </xf>
    <xf numFmtId="176" fontId="0" fillId="0" borderId="0" xfId="0" applyNumberFormat="1"/>
    <xf numFmtId="178" fontId="0" fillId="0" borderId="0" xfId="0" applyNumberFormat="1" applyAlignment="1">
      <alignment vertical="center" wrapText="1"/>
    </xf>
    <xf numFmtId="0" fontId="37" fillId="14" borderId="31" xfId="0" applyFont="1" applyFill="1" applyBorder="1" applyAlignment="1">
      <alignment horizontal="left" vertical="center" wrapText="1"/>
    </xf>
    <xf numFmtId="0" fontId="37" fillId="14" borderId="5" xfId="0" applyFont="1" applyFill="1" applyBorder="1" applyAlignment="1">
      <alignment horizontal="left" vertical="center" wrapText="1"/>
    </xf>
    <xf numFmtId="176" fontId="37" fillId="14" borderId="34" xfId="0" applyNumberFormat="1" applyFont="1" applyFill="1" applyBorder="1" applyAlignment="1">
      <alignment horizontal="right" vertical="center" wrapText="1"/>
    </xf>
    <xf numFmtId="176" fontId="37" fillId="14" borderId="35" xfId="0" applyNumberFormat="1" applyFont="1" applyFill="1" applyBorder="1" applyAlignment="1">
      <alignment horizontal="center" vertical="center" wrapText="1"/>
    </xf>
    <xf numFmtId="176" fontId="37" fillId="14" borderId="5" xfId="0" applyNumberFormat="1" applyFont="1" applyFill="1" applyBorder="1" applyAlignment="1">
      <alignment horizontal="right" vertical="center" wrapText="1"/>
    </xf>
    <xf numFmtId="176" fontId="37" fillId="14" borderId="5" xfId="0" applyNumberFormat="1" applyFont="1" applyFill="1" applyBorder="1" applyAlignment="1">
      <alignment horizontal="center" vertical="center" wrapText="1"/>
    </xf>
    <xf numFmtId="179" fontId="0" fillId="0" borderId="0" xfId="0" applyNumberFormat="1"/>
    <xf numFmtId="0" fontId="37" fillId="0" borderId="36" xfId="0" applyFont="1" applyBorder="1" applyAlignment="1">
      <alignment horizontal="left" vertical="center" wrapText="1"/>
    </xf>
    <xf numFmtId="179" fontId="37" fillId="0" borderId="37" xfId="9" applyNumberFormat="1" applyFont="1" applyFill="1" applyBorder="1" applyAlignment="1">
      <alignment horizontal="right" vertical="center" wrapText="1"/>
    </xf>
    <xf numFmtId="176" fontId="37" fillId="0" borderId="38" xfId="0" applyNumberFormat="1" applyFont="1" applyBorder="1" applyAlignment="1">
      <alignment horizontal="center" vertical="center" wrapText="1"/>
    </xf>
    <xf numFmtId="179" fontId="37" fillId="0" borderId="39" xfId="0" applyNumberFormat="1" applyFont="1" applyBorder="1" applyAlignment="1">
      <alignment horizontal="right" vertical="center" wrapText="1"/>
    </xf>
    <xf numFmtId="176" fontId="37" fillId="0" borderId="40" xfId="0" applyNumberFormat="1" applyFont="1" applyBorder="1" applyAlignment="1">
      <alignment horizontal="center" vertical="center" wrapText="1"/>
    </xf>
    <xf numFmtId="0" fontId="0" fillId="0" borderId="36" xfId="0" applyBorder="1" applyAlignment="1">
      <alignment horizontal="left" vertical="center" wrapText="1"/>
    </xf>
    <xf numFmtId="179" fontId="0" fillId="0" borderId="37" xfId="9" applyNumberFormat="1" applyFont="1" applyFill="1" applyBorder="1" applyAlignment="1">
      <alignment horizontal="right" vertical="center" wrapText="1"/>
    </xf>
    <xf numFmtId="179" fontId="0" fillId="0" borderId="37" xfId="0" applyNumberFormat="1" applyBorder="1" applyAlignment="1">
      <alignment horizontal="right" vertical="center" wrapText="1"/>
    </xf>
    <xf numFmtId="0" fontId="0" fillId="0" borderId="36" xfId="0" applyBorder="1" applyAlignment="1">
      <alignment vertical="center" wrapText="1"/>
    </xf>
    <xf numFmtId="9" fontId="0" fillId="6" borderId="0" xfId="7" applyFont="1" applyFill="1" applyAlignment="1">
      <alignment vertical="center" wrapText="1"/>
    </xf>
    <xf numFmtId="0" fontId="37" fillId="15" borderId="42" xfId="0" applyFont="1" applyFill="1" applyBorder="1" applyAlignment="1">
      <alignment vertical="center" wrapText="1"/>
    </xf>
    <xf numFmtId="179" fontId="37" fillId="15" borderId="43" xfId="9" applyNumberFormat="1" applyFont="1" applyFill="1" applyBorder="1" applyAlignment="1">
      <alignment horizontal="right" vertical="center" wrapText="1"/>
    </xf>
    <xf numFmtId="176" fontId="37" fillId="15" borderId="44" xfId="10" applyNumberFormat="1" applyFont="1" applyFill="1" applyBorder="1" applyAlignment="1">
      <alignment horizontal="right" vertical="center" wrapText="1"/>
    </xf>
    <xf numFmtId="179" fontId="37" fillId="15" borderId="43" xfId="10" applyNumberFormat="1" applyFont="1" applyFill="1" applyBorder="1" applyAlignment="1">
      <alignment horizontal="right" vertical="center" wrapText="1"/>
    </xf>
    <xf numFmtId="0" fontId="37" fillId="0" borderId="0" xfId="0" applyFont="1" applyAlignment="1">
      <alignment vertical="center" wrapText="1"/>
    </xf>
    <xf numFmtId="0" fontId="37" fillId="0" borderId="0" xfId="0" applyFont="1" applyAlignment="1">
      <alignment vertical="center"/>
    </xf>
    <xf numFmtId="176" fontId="37" fillId="0" borderId="38" xfId="0" applyNumberFormat="1" applyFont="1" applyBorder="1" applyAlignment="1">
      <alignment horizontal="right" vertical="center" wrapText="1"/>
    </xf>
    <xf numFmtId="179" fontId="37" fillId="0" borderId="37" xfId="0" applyNumberFormat="1" applyFont="1" applyBorder="1" applyAlignment="1">
      <alignment horizontal="right" vertical="center" wrapText="1"/>
    </xf>
    <xf numFmtId="9" fontId="41" fillId="0" borderId="36" xfId="0" applyNumberFormat="1" applyFont="1" applyBorder="1" applyAlignment="1">
      <alignment horizontal="left" vertical="center" wrapText="1"/>
    </xf>
    <xf numFmtId="179" fontId="41" fillId="0" borderId="37" xfId="9" applyNumberFormat="1" applyFont="1" applyFill="1" applyBorder="1" applyAlignment="1">
      <alignment horizontal="right" vertical="center" wrapText="1"/>
    </xf>
    <xf numFmtId="176" fontId="0" fillId="0" borderId="38" xfId="0" applyNumberFormat="1" applyBorder="1" applyAlignment="1">
      <alignment horizontal="right" vertical="center" wrapText="1"/>
    </xf>
    <xf numFmtId="9" fontId="0" fillId="0" borderId="36" xfId="0" applyNumberFormat="1" applyBorder="1" applyAlignment="1">
      <alignment horizontal="left" vertical="center" wrapText="1"/>
    </xf>
    <xf numFmtId="0" fontId="36" fillId="0" borderId="0" xfId="0" applyFont="1"/>
    <xf numFmtId="180" fontId="38" fillId="3" borderId="0" xfId="0" applyNumberFormat="1" applyFont="1" applyFill="1" applyAlignment="1">
      <alignment vertical="center" wrapText="1"/>
    </xf>
    <xf numFmtId="179" fontId="0" fillId="16" borderId="37" xfId="9" applyNumberFormat="1" applyFont="1" applyFill="1" applyBorder="1" applyAlignment="1">
      <alignment horizontal="right" vertical="center" wrapText="1"/>
    </xf>
    <xf numFmtId="176" fontId="0" fillId="0" borderId="38" xfId="10" applyNumberFormat="1" applyFont="1" applyFill="1" applyBorder="1" applyAlignment="1">
      <alignment horizontal="right" vertical="center" wrapText="1"/>
    </xf>
    <xf numFmtId="179" fontId="0" fillId="0" borderId="37" xfId="10" applyNumberFormat="1" applyFont="1" applyFill="1" applyBorder="1" applyAlignment="1">
      <alignment horizontal="right" vertical="center" wrapText="1"/>
    </xf>
    <xf numFmtId="0" fontId="41" fillId="0" borderId="36" xfId="0" applyFont="1" applyBorder="1" applyAlignment="1">
      <alignment horizontal="left" vertical="center" wrapText="1"/>
    </xf>
    <xf numFmtId="179" fontId="41" fillId="16" borderId="37" xfId="9" applyNumberFormat="1" applyFont="1" applyFill="1" applyBorder="1" applyAlignment="1">
      <alignment horizontal="right" vertical="center" wrapText="1"/>
    </xf>
    <xf numFmtId="43" fontId="0" fillId="0" borderId="0" xfId="0" applyNumberFormat="1"/>
    <xf numFmtId="181" fontId="0" fillId="6" borderId="0" xfId="7" applyNumberFormat="1" applyFont="1" applyFill="1" applyAlignment="1">
      <alignment vertical="center" wrapText="1"/>
    </xf>
    <xf numFmtId="182" fontId="0" fillId="0" borderId="0" xfId="0" applyNumberFormat="1" applyAlignment="1">
      <alignment vertical="center" wrapText="1"/>
    </xf>
    <xf numFmtId="178" fontId="37" fillId="0" borderId="0" xfId="0" applyNumberFormat="1" applyFont="1" applyAlignment="1">
      <alignment vertical="center" wrapText="1"/>
    </xf>
    <xf numFmtId="164" fontId="0" fillId="0" borderId="0" xfId="0" applyNumberFormat="1"/>
    <xf numFmtId="171" fontId="37" fillId="0" borderId="36" xfId="10" applyNumberFormat="1" applyFont="1" applyFill="1" applyBorder="1" applyAlignment="1">
      <alignment vertical="center" wrapText="1"/>
    </xf>
    <xf numFmtId="176" fontId="37" fillId="0" borderId="38" xfId="10" applyNumberFormat="1" applyFont="1" applyFill="1" applyBorder="1" applyAlignment="1">
      <alignment horizontal="right" vertical="center" wrapText="1"/>
    </xf>
    <xf numFmtId="179" fontId="37" fillId="0" borderId="37" xfId="10" applyNumberFormat="1" applyFont="1" applyFill="1" applyBorder="1" applyAlignment="1">
      <alignment horizontal="right" vertical="center" wrapText="1"/>
    </xf>
    <xf numFmtId="0" fontId="36" fillId="0" borderId="0" xfId="0" applyFont="1" applyAlignment="1">
      <alignment vertical="center" wrapText="1"/>
    </xf>
    <xf numFmtId="0" fontId="36" fillId="0" borderId="36" xfId="0" applyFont="1" applyBorder="1" applyAlignment="1">
      <alignment vertical="center" wrapText="1"/>
    </xf>
    <xf numFmtId="179" fontId="36" fillId="0" borderId="37" xfId="9" applyNumberFormat="1" applyFont="1" applyFill="1" applyBorder="1" applyAlignment="1">
      <alignment horizontal="right" vertical="center" wrapText="1"/>
    </xf>
    <xf numFmtId="9" fontId="36" fillId="0" borderId="38" xfId="7" applyFont="1" applyFill="1" applyBorder="1" applyAlignment="1">
      <alignment horizontal="right" vertical="center" wrapText="1"/>
    </xf>
    <xf numFmtId="171" fontId="37" fillId="7" borderId="45" xfId="10" applyNumberFormat="1" applyFont="1" applyFill="1" applyBorder="1" applyAlignment="1">
      <alignment vertical="center" wrapText="1"/>
    </xf>
    <xf numFmtId="179" fontId="37" fillId="7" borderId="46" xfId="9" applyNumberFormat="1" applyFont="1" applyFill="1" applyBorder="1" applyAlignment="1">
      <alignment horizontal="right" vertical="center" wrapText="1"/>
    </xf>
    <xf numFmtId="10" fontId="37" fillId="7" borderId="47" xfId="10" applyNumberFormat="1" applyFont="1" applyFill="1" applyBorder="1" applyAlignment="1">
      <alignment horizontal="right" vertical="center" wrapText="1"/>
    </xf>
    <xf numFmtId="176" fontId="0" fillId="0" borderId="0" xfId="0" applyNumberFormat="1" applyAlignment="1">
      <alignment vertical="center" wrapText="1"/>
    </xf>
    <xf numFmtId="179" fontId="0" fillId="0" borderId="37" xfId="9" applyNumberFormat="1" applyFont="1" applyFill="1" applyBorder="1" applyAlignment="1">
      <alignment vertical="center" wrapText="1"/>
    </xf>
    <xf numFmtId="10" fontId="37" fillId="0" borderId="38" xfId="10" applyNumberFormat="1" applyFont="1" applyFill="1" applyBorder="1" applyAlignment="1">
      <alignment horizontal="right" vertical="center" wrapText="1"/>
    </xf>
    <xf numFmtId="171" fontId="0" fillId="0" borderId="36" xfId="10" applyNumberFormat="1" applyFont="1" applyFill="1" applyBorder="1" applyAlignment="1">
      <alignment vertical="center" wrapText="1"/>
    </xf>
    <xf numFmtId="9" fontId="0" fillId="0" borderId="38" xfId="7" applyFont="1" applyFill="1" applyBorder="1" applyAlignment="1">
      <alignment horizontal="right" vertical="center" wrapText="1"/>
    </xf>
    <xf numFmtId="178" fontId="0" fillId="0" borderId="0" xfId="7" applyNumberFormat="1" applyFont="1" applyAlignment="1">
      <alignment vertical="center" wrapText="1"/>
    </xf>
    <xf numFmtId="180" fontId="36" fillId="3" borderId="0" xfId="0" applyNumberFormat="1" applyFont="1" applyFill="1" applyAlignment="1">
      <alignment vertical="center" wrapText="1"/>
    </xf>
    <xf numFmtId="179" fontId="36" fillId="0" borderId="37" xfId="10" applyNumberFormat="1" applyFont="1" applyFill="1" applyBorder="1" applyAlignment="1">
      <alignment horizontal="right" vertical="center" wrapText="1"/>
    </xf>
    <xf numFmtId="176" fontId="36" fillId="0" borderId="38" xfId="10" applyNumberFormat="1" applyFont="1" applyFill="1" applyBorder="1" applyAlignment="1">
      <alignment horizontal="right" vertical="center" wrapText="1"/>
    </xf>
    <xf numFmtId="0" fontId="42" fillId="0" borderId="0" xfId="0" applyFont="1" applyAlignment="1">
      <alignment vertical="center"/>
    </xf>
    <xf numFmtId="0" fontId="37" fillId="0" borderId="36" xfId="0" applyFont="1" applyBorder="1" applyAlignment="1">
      <alignment vertical="center" wrapText="1"/>
    </xf>
    <xf numFmtId="0" fontId="37" fillId="7" borderId="45" xfId="0" applyFont="1" applyFill="1" applyBorder="1" applyAlignment="1">
      <alignment vertical="center" wrapText="1"/>
    </xf>
    <xf numFmtId="10" fontId="37" fillId="7" borderId="47" xfId="0" applyNumberFormat="1" applyFont="1" applyFill="1" applyBorder="1" applyAlignment="1">
      <alignment horizontal="right" vertical="center" wrapText="1"/>
    </xf>
    <xf numFmtId="179" fontId="37" fillId="7" borderId="46" xfId="10" applyNumberFormat="1" applyFont="1" applyFill="1" applyBorder="1" applyAlignment="1">
      <alignment horizontal="right" vertical="center" wrapText="1"/>
    </xf>
    <xf numFmtId="10" fontId="37" fillId="0" borderId="38" xfId="0" applyNumberFormat="1" applyFont="1" applyBorder="1" applyAlignment="1">
      <alignment horizontal="right" vertical="center" wrapText="1"/>
    </xf>
    <xf numFmtId="0" fontId="0" fillId="3" borderId="36" xfId="0" applyFill="1" applyBorder="1" applyAlignment="1">
      <alignment vertical="center" wrapText="1"/>
    </xf>
    <xf numFmtId="179" fontId="0" fillId="0" borderId="37" xfId="9" applyNumberFormat="1" applyFont="1" applyBorder="1" applyAlignment="1">
      <alignment horizontal="right" vertical="center" wrapText="1"/>
    </xf>
    <xf numFmtId="10" fontId="0" fillId="0" borderId="38" xfId="0" applyNumberFormat="1" applyBorder="1" applyAlignment="1">
      <alignment horizontal="right" vertical="center" wrapText="1"/>
    </xf>
    <xf numFmtId="179" fontId="0" fillId="3" borderId="37" xfId="0" applyNumberFormat="1" applyFill="1" applyBorder="1" applyAlignment="1">
      <alignment vertical="center" wrapText="1"/>
    </xf>
    <xf numFmtId="9" fontId="0" fillId="0" borderId="0" xfId="7" applyFont="1" applyAlignment="1">
      <alignment vertical="center" wrapText="1"/>
    </xf>
    <xf numFmtId="0" fontId="0" fillId="3" borderId="31" xfId="0" applyFill="1" applyBorder="1" applyAlignment="1">
      <alignment vertical="center" wrapText="1"/>
    </xf>
    <xf numFmtId="179" fontId="0" fillId="0" borderId="48" xfId="9" applyNumberFormat="1" applyFont="1" applyFill="1" applyBorder="1" applyAlignment="1">
      <alignment horizontal="right" vertical="center" wrapText="1"/>
    </xf>
    <xf numFmtId="10" fontId="0" fillId="0" borderId="49" xfId="0" applyNumberFormat="1" applyBorder="1" applyAlignment="1">
      <alignment horizontal="right" vertical="center" wrapText="1"/>
    </xf>
    <xf numFmtId="0" fontId="37" fillId="3" borderId="7" xfId="0" applyFont="1" applyFill="1" applyBorder="1" applyAlignment="1">
      <alignment vertical="center" wrapText="1"/>
    </xf>
    <xf numFmtId="179" fontId="37" fillId="0" borderId="7" xfId="9" applyNumberFormat="1" applyFont="1" applyFill="1" applyBorder="1" applyAlignment="1">
      <alignment horizontal="right" vertical="center" wrapText="1"/>
    </xf>
    <xf numFmtId="10" fontId="37" fillId="0" borderId="7" xfId="0" applyNumberFormat="1" applyFont="1" applyBorder="1" applyAlignment="1">
      <alignment horizontal="right" vertical="center" wrapText="1"/>
    </xf>
    <xf numFmtId="2" fontId="37" fillId="0" borderId="7" xfId="0" applyNumberFormat="1" applyFont="1" applyBorder="1" applyAlignment="1">
      <alignment horizontal="right" vertical="center" wrapText="1"/>
    </xf>
    <xf numFmtId="0" fontId="37" fillId="3" borderId="0" xfId="0" applyFont="1" applyFill="1" applyAlignment="1">
      <alignment vertical="center" wrapText="1"/>
    </xf>
    <xf numFmtId="179" fontId="37" fillId="0" borderId="0" xfId="9" applyNumberFormat="1" applyFont="1" applyFill="1" applyBorder="1" applyAlignment="1">
      <alignment horizontal="right" vertical="center" wrapText="1"/>
    </xf>
    <xf numFmtId="10" fontId="37" fillId="0" borderId="0" xfId="0" applyNumberFormat="1" applyFont="1" applyAlignment="1">
      <alignment horizontal="right" vertical="center" wrapText="1"/>
    </xf>
    <xf numFmtId="2" fontId="37" fillId="0" borderId="0" xfId="0" applyNumberFormat="1" applyFont="1" applyAlignment="1">
      <alignment horizontal="right" vertical="center" wrapText="1"/>
    </xf>
    <xf numFmtId="9" fontId="43" fillId="0" borderId="0" xfId="7" applyFont="1" applyAlignment="1">
      <alignment vertical="center" wrapText="1"/>
    </xf>
    <xf numFmtId="0" fontId="37" fillId="6" borderId="0" xfId="0" applyFont="1" applyFill="1"/>
    <xf numFmtId="9" fontId="37" fillId="6" borderId="0" xfId="7" applyFont="1" applyFill="1"/>
    <xf numFmtId="181" fontId="37" fillId="6" borderId="0" xfId="7" applyNumberFormat="1" applyFont="1" applyFill="1"/>
    <xf numFmtId="181" fontId="37" fillId="0" borderId="0" xfId="0" applyNumberFormat="1" applyFont="1" applyAlignment="1">
      <alignment horizontal="right" vertical="center" wrapText="1"/>
    </xf>
    <xf numFmtId="2" fontId="0" fillId="0" borderId="0" xfId="7" applyNumberFormat="1" applyFont="1" applyAlignment="1">
      <alignment vertical="center" wrapText="1"/>
    </xf>
    <xf numFmtId="9" fontId="37" fillId="6" borderId="0" xfId="0" applyNumberFormat="1" applyFont="1" applyFill="1"/>
    <xf numFmtId="9" fontId="37" fillId="0" borderId="0" xfId="7" applyFont="1" applyFill="1" applyBorder="1" applyAlignment="1">
      <alignment horizontal="right" vertical="center" wrapText="1"/>
    </xf>
    <xf numFmtId="0" fontId="37" fillId="3" borderId="50" xfId="0" applyFont="1" applyFill="1" applyBorder="1" applyAlignment="1">
      <alignment vertical="center" wrapText="1"/>
    </xf>
    <xf numFmtId="10" fontId="37" fillId="0" borderId="50" xfId="0" applyNumberFormat="1" applyFont="1" applyBorder="1" applyAlignment="1">
      <alignment horizontal="right" vertical="center" wrapText="1"/>
    </xf>
    <xf numFmtId="0" fontId="37" fillId="0" borderId="51" xfId="0" applyFont="1" applyBorder="1" applyAlignment="1">
      <alignment horizontal="left" vertical="center" wrapText="1"/>
    </xf>
    <xf numFmtId="9" fontId="37" fillId="0" borderId="51" xfId="7" applyFont="1" applyFill="1" applyBorder="1" applyAlignment="1">
      <alignment horizontal="right" vertical="center" wrapText="1"/>
    </xf>
    <xf numFmtId="0" fontId="37" fillId="0" borderId="31" xfId="0" applyFont="1" applyBorder="1" applyAlignment="1">
      <alignment horizontal="left" vertical="center" wrapText="1"/>
    </xf>
    <xf numFmtId="9" fontId="37" fillId="0" borderId="31" xfId="7" applyFont="1" applyFill="1" applyBorder="1" applyAlignment="1">
      <alignment horizontal="right" vertical="center" wrapText="1"/>
    </xf>
    <xf numFmtId="176" fontId="0" fillId="3" borderId="0" xfId="7" applyNumberFormat="1" applyFont="1" applyFill="1" applyAlignment="1">
      <alignment horizontal="right" vertical="center" wrapText="1"/>
    </xf>
    <xf numFmtId="176" fontId="0" fillId="3" borderId="0" xfId="7" applyNumberFormat="1" applyFont="1" applyFill="1" applyBorder="1" applyAlignment="1">
      <alignment horizontal="right" vertical="center" wrapText="1"/>
    </xf>
    <xf numFmtId="176" fontId="0" fillId="0" borderId="0" xfId="7" applyNumberFormat="1" applyFont="1" applyAlignment="1">
      <alignment horizontal="right" vertical="center" wrapText="1"/>
    </xf>
    <xf numFmtId="176" fontId="0" fillId="0" borderId="0" xfId="7" applyNumberFormat="1" applyFont="1" applyBorder="1" applyAlignment="1">
      <alignment horizontal="right" vertical="center" wrapText="1"/>
    </xf>
    <xf numFmtId="176" fontId="37" fillId="0" borderId="0" xfId="0" applyNumberFormat="1" applyFont="1" applyAlignment="1">
      <alignment horizontal="right" vertical="center" wrapText="1"/>
    </xf>
    <xf numFmtId="183" fontId="0" fillId="0" borderId="37" xfId="0" applyNumberFormat="1" applyBorder="1" applyAlignment="1">
      <alignment horizontal="right" vertical="center" wrapText="1"/>
    </xf>
    <xf numFmtId="1" fontId="0" fillId="0" borderId="37" xfId="0" applyNumberFormat="1" applyBorder="1" applyAlignment="1">
      <alignment horizontal="right" vertical="center" wrapText="1"/>
    </xf>
    <xf numFmtId="0" fontId="35" fillId="17" borderId="0" xfId="0" applyFont="1" applyFill="1"/>
    <xf numFmtId="2" fontId="35" fillId="17" borderId="2" xfId="0" applyNumberFormat="1" applyFont="1" applyFill="1" applyBorder="1" applyAlignment="1">
      <alignment horizontal="center"/>
    </xf>
    <xf numFmtId="0" fontId="44" fillId="0" borderId="51" xfId="0" applyFont="1" applyBorder="1"/>
    <xf numFmtId="17" fontId="35" fillId="0" borderId="51" xfId="0" applyNumberFormat="1" applyFont="1" applyBorder="1" applyAlignment="1">
      <alignment horizontal="center"/>
    </xf>
    <xf numFmtId="0" fontId="41" fillId="0" borderId="36" xfId="0" applyFont="1" applyBorder="1"/>
    <xf numFmtId="179" fontId="41" fillId="0" borderId="36" xfId="10" applyNumberFormat="1" applyFont="1" applyBorder="1" applyAlignment="1"/>
    <xf numFmtId="0" fontId="44" fillId="0" borderId="36" xfId="0" applyFont="1" applyBorder="1"/>
    <xf numFmtId="179" fontId="38" fillId="0" borderId="36" xfId="10" applyNumberFormat="1" applyFont="1" applyFill="1" applyBorder="1" applyAlignment="1"/>
    <xf numFmtId="179" fontId="41" fillId="0" borderId="36" xfId="10" applyNumberFormat="1" applyFont="1" applyFill="1" applyBorder="1" applyAlignment="1">
      <alignment horizontal="center"/>
    </xf>
    <xf numFmtId="179" fontId="44" fillId="0" borderId="36" xfId="10" applyNumberFormat="1" applyFont="1" applyFill="1" applyBorder="1" applyAlignment="1">
      <alignment horizontal="center"/>
    </xf>
    <xf numFmtId="0" fontId="41" fillId="3" borderId="31" xfId="0" applyFont="1" applyFill="1" applyBorder="1"/>
    <xf numFmtId="179" fontId="41" fillId="18" borderId="31" xfId="10" applyNumberFormat="1" applyFont="1" applyFill="1" applyBorder="1" applyAlignment="1"/>
    <xf numFmtId="179" fontId="0" fillId="0" borderId="0" xfId="10" applyNumberFormat="1" applyFont="1" applyAlignment="1"/>
    <xf numFmtId="0" fontId="43" fillId="0" borderId="0" xfId="0" applyFont="1"/>
    <xf numFmtId="0" fontId="4" fillId="2" borderId="0" xfId="0" applyFont="1" applyFill="1" applyAlignment="1">
      <alignment horizontal="left" wrapText="1"/>
    </xf>
    <xf numFmtId="165" fontId="4" fillId="2" borderId="0" xfId="0" applyNumberFormat="1" applyFont="1" applyFill="1" applyAlignment="1">
      <alignment horizontal="left" wrapText="1"/>
    </xf>
    <xf numFmtId="0" fontId="11" fillId="4" borderId="3" xfId="0" applyFont="1" applyFill="1" applyBorder="1" applyAlignment="1">
      <alignment horizontal="center" vertical="center"/>
    </xf>
    <xf numFmtId="0" fontId="11" fillId="4" borderId="4" xfId="0" applyFont="1" applyFill="1" applyBorder="1" applyAlignment="1">
      <alignment horizontal="center" vertical="center"/>
    </xf>
    <xf numFmtId="0" fontId="4" fillId="2" borderId="0" xfId="0" applyFont="1" applyFill="1" applyAlignment="1">
      <alignment horizontal="left" vertical="center" wrapText="1"/>
    </xf>
    <xf numFmtId="165" fontId="4" fillId="2" borderId="0" xfId="0" applyNumberFormat="1" applyFont="1" applyFill="1" applyAlignment="1">
      <alignment horizontal="left" vertical="center" wrapText="1"/>
    </xf>
    <xf numFmtId="0" fontId="21" fillId="0" borderId="0" xfId="3" applyFont="1" applyAlignment="1" applyProtection="1">
      <alignment horizontal="left"/>
      <protection locked="0" hidden="1"/>
    </xf>
    <xf numFmtId="0" fontId="13" fillId="0" borderId="9" xfId="0" applyFont="1" applyBorder="1" applyAlignment="1">
      <alignment horizontal="left" vertical="center" wrapText="1"/>
    </xf>
    <xf numFmtId="0" fontId="13" fillId="0" borderId="8" xfId="0" applyFont="1" applyBorder="1" applyAlignment="1">
      <alignment horizontal="left" vertical="center" wrapText="1"/>
    </xf>
    <xf numFmtId="0" fontId="10" fillId="6" borderId="9" xfId="0" applyFont="1" applyFill="1" applyBorder="1" applyAlignment="1">
      <alignment horizontal="left" vertical="center" wrapText="1"/>
    </xf>
    <xf numFmtId="0" fontId="10" fillId="6" borderId="8" xfId="0" applyFont="1" applyFill="1" applyBorder="1" applyAlignment="1">
      <alignment horizontal="left" vertical="center" wrapText="1"/>
    </xf>
    <xf numFmtId="0" fontId="21" fillId="0" borderId="0" xfId="3" applyFont="1" applyAlignment="1" applyProtection="1">
      <alignment horizontal="left" wrapText="1"/>
      <protection locked="0" hidden="1"/>
    </xf>
    <xf numFmtId="9" fontId="0" fillId="0" borderId="38" xfId="7" applyFont="1" applyFill="1" applyBorder="1" applyAlignment="1">
      <alignment horizontal="center" vertical="center" wrapText="1"/>
    </xf>
    <xf numFmtId="9" fontId="0" fillId="0" borderId="41" xfId="7" applyFont="1" applyFill="1" applyBorder="1" applyAlignment="1">
      <alignment horizontal="center" vertical="center" wrapText="1"/>
    </xf>
    <xf numFmtId="176" fontId="37" fillId="13" borderId="30" xfId="0" applyNumberFormat="1" applyFont="1" applyFill="1" applyBorder="1" applyAlignment="1">
      <alignment horizontal="center" vertical="center" wrapText="1"/>
    </xf>
    <xf numFmtId="176" fontId="37" fillId="13" borderId="11" xfId="0" applyNumberFormat="1" applyFont="1" applyFill="1" applyBorder="1" applyAlignment="1">
      <alignment horizontal="center" vertical="center" wrapText="1"/>
    </xf>
    <xf numFmtId="10" fontId="37" fillId="14" borderId="32" xfId="0" applyNumberFormat="1" applyFont="1" applyFill="1" applyBorder="1" applyAlignment="1">
      <alignment horizontal="center" vertical="center" wrapText="1"/>
    </xf>
    <xf numFmtId="10" fontId="37" fillId="14" borderId="33" xfId="0" applyNumberFormat="1" applyFont="1" applyFill="1" applyBorder="1" applyAlignment="1">
      <alignment horizontal="center" vertical="center" wrapText="1"/>
    </xf>
    <xf numFmtId="10" fontId="37" fillId="14" borderId="52" xfId="0" applyNumberFormat="1" applyFont="1" applyFill="1" applyBorder="1" applyAlignment="1">
      <alignment horizontal="center" vertical="center" wrapText="1"/>
    </xf>
    <xf numFmtId="10" fontId="37" fillId="14" borderId="53" xfId="0" applyNumberFormat="1" applyFont="1" applyFill="1" applyBorder="1" applyAlignment="1">
      <alignment horizontal="center" vertical="center" wrapText="1"/>
    </xf>
    <xf numFmtId="0" fontId="39" fillId="3" borderId="0" xfId="0" applyFont="1" applyFill="1" applyAlignment="1">
      <alignment horizontal="center" vertical="center" wrapText="1"/>
    </xf>
    <xf numFmtId="176" fontId="37" fillId="0" borderId="0" xfId="0" applyNumberFormat="1" applyFont="1" applyAlignment="1">
      <alignment horizontal="center" vertical="center" wrapText="1"/>
    </xf>
    <xf numFmtId="0" fontId="17" fillId="0" borderId="17" xfId="0" applyFont="1" applyBorder="1" applyAlignment="1">
      <alignment horizontal="left" vertical="center" wrapText="1"/>
    </xf>
    <xf numFmtId="0" fontId="17" fillId="0" borderId="0" xfId="0" applyFont="1" applyAlignment="1">
      <alignment horizontal="left" vertical="center" wrapText="1"/>
    </xf>
    <xf numFmtId="0" fontId="17" fillId="0" borderId="18" xfId="0" applyFont="1" applyBorder="1" applyAlignment="1">
      <alignment horizontal="left" vertical="center" wrapText="1"/>
    </xf>
    <xf numFmtId="0" fontId="17" fillId="0" borderId="19" xfId="0" applyFont="1" applyBorder="1" applyAlignment="1">
      <alignment horizontal="left" vertical="center" wrapText="1"/>
    </xf>
    <xf numFmtId="0" fontId="17" fillId="0" borderId="20" xfId="0" applyFont="1" applyBorder="1" applyAlignment="1">
      <alignment horizontal="left" vertical="center" wrapText="1"/>
    </xf>
    <xf numFmtId="0" fontId="17" fillId="0" borderId="21" xfId="0" applyFont="1" applyBorder="1" applyAlignment="1">
      <alignment horizontal="left" vertical="center" wrapText="1"/>
    </xf>
    <xf numFmtId="0" fontId="31" fillId="11" borderId="0" xfId="0" applyFont="1" applyFill="1" applyAlignment="1">
      <alignment horizontal="left" vertical="center" wrapText="1" readingOrder="1"/>
    </xf>
    <xf numFmtId="0" fontId="17" fillId="0" borderId="14" xfId="0" applyFont="1" applyBorder="1" applyAlignment="1">
      <alignment horizontal="left" vertical="center" wrapText="1"/>
    </xf>
    <xf numFmtId="0" fontId="17" fillId="0" borderId="15" xfId="0" applyFont="1" applyBorder="1" applyAlignment="1">
      <alignment horizontal="left" vertical="center" wrapText="1"/>
    </xf>
    <xf numFmtId="0" fontId="17" fillId="0" borderId="16" xfId="0" applyFont="1" applyBorder="1" applyAlignment="1">
      <alignment horizontal="left" vertical="center" wrapText="1"/>
    </xf>
  </cellXfs>
  <cellStyles count="11">
    <cellStyle name="Comma" xfId="1" builtinId="3"/>
    <cellStyle name="Comma 3" xfId="9" xr:uid="{D0385B16-2E5D-46B6-98F1-CA23870BEAAF}"/>
    <cellStyle name="Comma 4 2" xfId="6" xr:uid="{8F6CD4E2-53A4-43EB-B8BA-D0E55A9D8501}"/>
    <cellStyle name="Comma 4 2 2" xfId="10" xr:uid="{0982A8AE-BFC1-4843-B60A-EC1C0682AA2A}"/>
    <cellStyle name="Comma 6" xfId="4" xr:uid="{197C6B09-92BC-48BE-9391-99C3727F86AD}"/>
    <cellStyle name="Currency" xfId="2" builtinId="4"/>
    <cellStyle name="Currency 2" xfId="5" xr:uid="{743CEFEB-7353-4A80-AF8F-A99239047854}"/>
    <cellStyle name="Normal" xfId="0" builtinId="0"/>
    <cellStyle name="Normal 2" xfId="3" xr:uid="{27FBB185-6DC0-422F-AAB8-89EFB358D1CA}"/>
    <cellStyle name="Normal 2 2 2 2 2" xfId="8" xr:uid="{92E8D52D-D3FE-483A-99FC-1C75960BAC8D}"/>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https://www.esds.co.in/home-images/logo.png" TargetMode="External"/><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11430</xdr:colOff>
      <xdr:row>0</xdr:row>
      <xdr:rowOff>41910</xdr:rowOff>
    </xdr:from>
    <xdr:to>
      <xdr:col>1</xdr:col>
      <xdr:colOff>1192530</xdr:colOff>
      <xdr:row>4</xdr:row>
      <xdr:rowOff>108637</xdr:rowOff>
    </xdr:to>
    <xdr:pic>
      <xdr:nvPicPr>
        <xdr:cNvPr id="2" name="Picture 1">
          <a:extLst>
            <a:ext uri="{FF2B5EF4-FFF2-40B4-BE49-F238E27FC236}">
              <a16:creationId xmlns:a16="http://schemas.microsoft.com/office/drawing/2014/main" id="{595185F3-A89A-4901-99E4-335607FCF59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030" y="41910"/>
          <a:ext cx="1181100" cy="8287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563212</xdr:colOff>
      <xdr:row>0</xdr:row>
      <xdr:rowOff>0</xdr:rowOff>
    </xdr:from>
    <xdr:to>
      <xdr:col>1</xdr:col>
      <xdr:colOff>1219200</xdr:colOff>
      <xdr:row>6</xdr:row>
      <xdr:rowOff>4762</xdr:rowOff>
    </xdr:to>
    <xdr:pic>
      <xdr:nvPicPr>
        <xdr:cNvPr id="2" name="Picture 1">
          <a:extLst>
            <a:ext uri="{FF2B5EF4-FFF2-40B4-BE49-F238E27FC236}">
              <a16:creationId xmlns:a16="http://schemas.microsoft.com/office/drawing/2014/main" id="{1B682064-A0BF-4348-B7DB-BDB854EB47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837" y="0"/>
          <a:ext cx="1275113" cy="13954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484175</xdr:colOff>
      <xdr:row>2</xdr:row>
      <xdr:rowOff>31714</xdr:rowOff>
    </xdr:from>
    <xdr:to>
      <xdr:col>3</xdr:col>
      <xdr:colOff>927882</xdr:colOff>
      <xdr:row>5</xdr:row>
      <xdr:rowOff>144978</xdr:rowOff>
    </xdr:to>
    <xdr:pic>
      <xdr:nvPicPr>
        <xdr:cNvPr id="2" name="Picture 1">
          <a:extLst>
            <a:ext uri="{FF2B5EF4-FFF2-40B4-BE49-F238E27FC236}">
              <a16:creationId xmlns:a16="http://schemas.microsoft.com/office/drawing/2014/main" id="{B8EE3A8C-2013-4BCE-A602-71B0567EF9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4175" y="397474"/>
          <a:ext cx="4634707" cy="661904"/>
        </a:xfrm>
        <a:prstGeom prst="rect">
          <a:avLst/>
        </a:prstGeom>
      </xdr:spPr>
    </xdr:pic>
    <xdr:clientData/>
  </xdr:twoCellAnchor>
  <xdr:twoCellAnchor>
    <xdr:from>
      <xdr:col>6</xdr:col>
      <xdr:colOff>57150</xdr:colOff>
      <xdr:row>2</xdr:row>
      <xdr:rowOff>31666</xdr:rowOff>
    </xdr:from>
    <xdr:to>
      <xdr:col>8</xdr:col>
      <xdr:colOff>16663</xdr:colOff>
      <xdr:row>5</xdr:row>
      <xdr:rowOff>90312</xdr:rowOff>
    </xdr:to>
    <xdr:pic>
      <xdr:nvPicPr>
        <xdr:cNvPr id="3" name="Picture 2">
          <a:extLst>
            <a:ext uri="{FF2B5EF4-FFF2-40B4-BE49-F238E27FC236}">
              <a16:creationId xmlns:a16="http://schemas.microsoft.com/office/drawing/2014/main" id="{D2B0147E-6F54-401C-AD30-36F664A823FC}"/>
            </a:ext>
          </a:extLst>
        </xdr:cNvPr>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7128510" y="397426"/>
          <a:ext cx="2436013" cy="6072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EBC60-B67A-4372-990D-999A395106DE}">
  <dimension ref="B5:H14"/>
  <sheetViews>
    <sheetView showGridLines="0" workbookViewId="0">
      <selection activeCell="K13" sqref="K13"/>
    </sheetView>
  </sheetViews>
  <sheetFormatPr defaultRowHeight="14.4"/>
  <cols>
    <col min="2" max="3" width="19.77734375" customWidth="1"/>
    <col min="4" max="4" width="20.77734375" customWidth="1"/>
    <col min="5" max="6" width="19.77734375" customWidth="1"/>
  </cols>
  <sheetData>
    <row r="5" spans="2:8">
      <c r="B5" s="1"/>
      <c r="C5" s="1"/>
      <c r="D5" s="1"/>
      <c r="E5" s="1"/>
      <c r="F5" s="1"/>
    </row>
    <row r="6" spans="2:8">
      <c r="B6" s="2" t="s">
        <v>0</v>
      </c>
      <c r="C6" s="264" t="s">
        <v>104</v>
      </c>
      <c r="D6" s="264"/>
      <c r="E6" s="264"/>
      <c r="F6" s="264"/>
    </row>
    <row r="7" spans="2:8">
      <c r="B7" s="2" t="s">
        <v>1</v>
      </c>
      <c r="C7" s="264" t="s">
        <v>105</v>
      </c>
      <c r="D7" s="264"/>
      <c r="E7" s="264"/>
      <c r="F7" s="264"/>
    </row>
    <row r="8" spans="2:8">
      <c r="B8" s="2" t="s">
        <v>2</v>
      </c>
      <c r="C8" s="265">
        <v>45867</v>
      </c>
      <c r="D8" s="265"/>
      <c r="E8" s="265"/>
      <c r="F8" s="265"/>
    </row>
    <row r="9" spans="2:8">
      <c r="B9" s="2" t="s">
        <v>3</v>
      </c>
      <c r="C9" s="264"/>
      <c r="D9" s="264"/>
      <c r="E9" s="264"/>
      <c r="F9" s="264"/>
    </row>
    <row r="10" spans="2:8">
      <c r="B10" s="2" t="s">
        <v>4</v>
      </c>
      <c r="C10" s="264" t="s">
        <v>143</v>
      </c>
      <c r="D10" s="264"/>
      <c r="E10" s="264"/>
      <c r="F10" s="264"/>
    </row>
    <row r="11" spans="2:8">
      <c r="B11" s="2" t="s">
        <v>5</v>
      </c>
      <c r="C11" s="264" t="s">
        <v>6</v>
      </c>
      <c r="D11" s="264"/>
      <c r="E11" s="264"/>
      <c r="F11" s="264"/>
    </row>
    <row r="12" spans="2:8">
      <c r="B12" s="1"/>
      <c r="C12" s="1"/>
      <c r="D12" s="1"/>
      <c r="E12" s="1"/>
      <c r="F12" s="1"/>
    </row>
    <row r="13" spans="2:8">
      <c r="B13" s="3" t="s">
        <v>7</v>
      </c>
      <c r="C13" s="4" t="s">
        <v>8</v>
      </c>
      <c r="D13" s="3" t="s">
        <v>9</v>
      </c>
      <c r="E13" s="3" t="s">
        <v>10</v>
      </c>
      <c r="F13" s="3" t="s">
        <v>11</v>
      </c>
      <c r="G13" s="5"/>
      <c r="H13" s="5"/>
    </row>
    <row r="14" spans="2:8">
      <c r="B14" s="6">
        <v>45867</v>
      </c>
      <c r="C14" s="7" t="s">
        <v>12</v>
      </c>
      <c r="D14" s="8" t="s">
        <v>106</v>
      </c>
      <c r="E14" s="8" t="s">
        <v>107</v>
      </c>
      <c r="F14" s="8"/>
      <c r="G14" s="9"/>
      <c r="H14" s="5"/>
    </row>
  </sheetData>
  <mergeCells count="6">
    <mergeCell ref="C11:F11"/>
    <mergeCell ref="C6:F6"/>
    <mergeCell ref="C7:F7"/>
    <mergeCell ref="C8:F8"/>
    <mergeCell ref="C9:F9"/>
    <mergeCell ref="C10:F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A5CF6-01D9-4D49-813B-7275EB736982}">
  <dimension ref="B1:U55"/>
  <sheetViews>
    <sheetView showGridLines="0" topLeftCell="A4" zoomScale="90" zoomScaleNormal="90" workbookViewId="0">
      <selection activeCell="E10" sqref="E10:F10"/>
    </sheetView>
  </sheetViews>
  <sheetFormatPr defaultColWidth="8.77734375" defaultRowHeight="15.6"/>
  <cols>
    <col min="1" max="1" width="3.44140625" style="12" customWidth="1"/>
    <col min="2" max="2" width="25.77734375" style="12" customWidth="1"/>
    <col min="3" max="3" width="63.21875" style="12" customWidth="1"/>
    <col min="4" max="5" width="23.77734375" style="12" customWidth="1"/>
    <col min="6" max="6" width="19.5546875" style="12" customWidth="1"/>
    <col min="7" max="7" width="21.21875" style="12" customWidth="1"/>
    <col min="8" max="8" width="12.77734375" style="12" bestFit="1" customWidth="1"/>
    <col min="9" max="16384" width="8.77734375" style="12"/>
  </cols>
  <sheetData>
    <row r="1" spans="2:21" ht="25.5" customHeight="1">
      <c r="B1" s="10"/>
      <c r="C1" s="11"/>
      <c r="D1" s="11"/>
      <c r="E1" s="11"/>
      <c r="G1" s="13" t="s">
        <v>0</v>
      </c>
      <c r="H1" s="268" t="s">
        <v>104</v>
      </c>
      <c r="I1" s="268"/>
      <c r="J1" s="268"/>
      <c r="K1" s="268"/>
    </row>
    <row r="2" spans="2:21">
      <c r="B2" s="10"/>
      <c r="C2" s="11"/>
      <c r="D2" s="11"/>
      <c r="E2" s="11"/>
      <c r="F2"/>
      <c r="G2" s="13" t="s">
        <v>1</v>
      </c>
      <c r="H2" s="268" t="s">
        <v>105</v>
      </c>
      <c r="I2" s="268"/>
      <c r="J2" s="268"/>
      <c r="K2" s="268"/>
      <c r="L2" s="11"/>
      <c r="M2" s="11"/>
      <c r="N2" s="11"/>
      <c r="O2" s="11"/>
      <c r="P2" s="11"/>
      <c r="Q2" s="11"/>
      <c r="R2" s="11"/>
      <c r="S2" s="11"/>
      <c r="T2" s="11"/>
      <c r="U2" s="11"/>
    </row>
    <row r="3" spans="2:21">
      <c r="B3" s="10"/>
      <c r="C3" s="11"/>
      <c r="D3" s="11"/>
      <c r="E3" s="11"/>
      <c r="F3"/>
      <c r="G3" s="13" t="s">
        <v>2</v>
      </c>
      <c r="H3" s="269">
        <v>45867</v>
      </c>
      <c r="I3" s="269"/>
      <c r="J3" s="269"/>
      <c r="K3" s="269"/>
      <c r="L3" s="11"/>
      <c r="M3" s="11"/>
      <c r="N3" s="11"/>
      <c r="O3" s="11"/>
      <c r="P3" s="11"/>
      <c r="Q3" s="11"/>
      <c r="R3" s="11"/>
      <c r="S3" s="11"/>
      <c r="T3" s="11"/>
      <c r="U3" s="11"/>
    </row>
    <row r="4" spans="2:21">
      <c r="B4" s="10"/>
      <c r="C4" s="11"/>
      <c r="D4" s="11"/>
      <c r="E4" s="11"/>
      <c r="F4"/>
      <c r="G4" s="13" t="s">
        <v>3</v>
      </c>
      <c r="H4" s="268"/>
      <c r="I4" s="268"/>
      <c r="J4" s="268"/>
      <c r="K4" s="268"/>
      <c r="L4" s="11"/>
      <c r="M4" s="11"/>
      <c r="N4" s="11"/>
      <c r="O4" s="11"/>
      <c r="P4" s="11"/>
      <c r="Q4" s="11"/>
      <c r="R4" s="11"/>
      <c r="S4" s="11"/>
      <c r="T4" s="11"/>
      <c r="U4" s="11"/>
    </row>
    <row r="5" spans="2:21" ht="30.75" customHeight="1" thickBot="1">
      <c r="B5" s="14"/>
      <c r="C5" s="14"/>
      <c r="D5" s="15"/>
      <c r="E5" s="15"/>
      <c r="F5" s="15"/>
      <c r="G5" s="13" t="s">
        <v>5</v>
      </c>
      <c r="H5" s="268" t="s">
        <v>13</v>
      </c>
      <c r="I5" s="268"/>
      <c r="J5" s="268"/>
      <c r="K5" s="268"/>
      <c r="L5" s="11"/>
      <c r="M5" s="11"/>
      <c r="N5" s="11"/>
      <c r="O5" s="11"/>
      <c r="P5" s="11"/>
      <c r="Q5" s="11"/>
      <c r="R5" s="11"/>
      <c r="S5" s="11"/>
      <c r="T5" s="11"/>
      <c r="U5" s="11"/>
    </row>
    <row r="6" spans="2:21" ht="16.5" customHeight="1" thickBot="1">
      <c r="B6" s="266" t="s">
        <v>14</v>
      </c>
      <c r="C6" s="267"/>
      <c r="D6" s="16" t="s">
        <v>15</v>
      </c>
      <c r="E6" s="16" t="s">
        <v>137</v>
      </c>
      <c r="F6" s="16" t="s">
        <v>16</v>
      </c>
      <c r="G6"/>
      <c r="H6" s="11"/>
      <c r="I6" s="11"/>
      <c r="J6" s="11"/>
      <c r="K6" s="11"/>
      <c r="L6" s="11"/>
      <c r="M6" s="11"/>
      <c r="N6" s="11"/>
      <c r="O6" s="11"/>
      <c r="P6" s="11"/>
      <c r="Q6" s="11"/>
      <c r="R6" s="11"/>
      <c r="S6" s="11"/>
      <c r="T6" s="11"/>
      <c r="U6" s="11"/>
    </row>
    <row r="7" spans="2:21" ht="30.75" customHeight="1" thickBot="1">
      <c r="B7" s="17" t="s">
        <v>146</v>
      </c>
      <c r="C7" s="18"/>
      <c r="D7" s="19"/>
      <c r="E7" s="19"/>
      <c r="F7" s="19"/>
      <c r="G7"/>
      <c r="H7" s="11"/>
      <c r="I7" s="11"/>
      <c r="J7" s="11"/>
      <c r="K7" s="11"/>
      <c r="L7" s="11"/>
      <c r="M7" s="11"/>
      <c r="N7" s="11"/>
      <c r="O7" s="11"/>
      <c r="P7" s="11"/>
      <c r="Q7" s="11"/>
      <c r="R7" s="11"/>
      <c r="S7" s="11"/>
      <c r="T7" s="11"/>
      <c r="U7" s="11"/>
    </row>
    <row r="8" spans="2:21" ht="30.75" customHeight="1" thickBot="1">
      <c r="B8" s="271" t="s">
        <v>144</v>
      </c>
      <c r="C8" s="272"/>
      <c r="D8" s="20">
        <f>BoM!F21</f>
        <v>262858.02829307195</v>
      </c>
      <c r="E8" s="20">
        <f>BoM!H23</f>
        <v>157714.81697584316</v>
      </c>
      <c r="F8" s="20">
        <f>D8*12</f>
        <v>3154296.3395168632</v>
      </c>
      <c r="G8"/>
      <c r="H8" s="11"/>
      <c r="I8" s="11"/>
      <c r="J8" s="11"/>
      <c r="K8" s="11"/>
      <c r="L8" s="11"/>
      <c r="M8" s="11"/>
      <c r="N8" s="11"/>
      <c r="O8" s="11"/>
      <c r="P8" s="11"/>
      <c r="Q8" s="11"/>
      <c r="R8" s="11"/>
      <c r="S8" s="11"/>
      <c r="T8" s="11"/>
      <c r="U8" s="11"/>
    </row>
    <row r="9" spans="2:21" ht="30.75" customHeight="1" thickBot="1">
      <c r="B9" s="271" t="s">
        <v>17</v>
      </c>
      <c r="C9" s="272"/>
      <c r="D9" s="20">
        <f>BoM!F22</f>
        <v>19000</v>
      </c>
      <c r="E9" s="133" t="s">
        <v>138</v>
      </c>
      <c r="F9" s="20">
        <f>D9*12</f>
        <v>228000</v>
      </c>
      <c r="G9"/>
      <c r="H9" s="11"/>
      <c r="I9" s="11"/>
      <c r="J9" s="11"/>
      <c r="K9" s="11"/>
      <c r="L9" s="11"/>
      <c r="M9" s="11"/>
      <c r="N9" s="11"/>
      <c r="O9" s="11"/>
      <c r="P9" s="11"/>
      <c r="Q9" s="11"/>
      <c r="R9" s="11"/>
      <c r="S9" s="11"/>
      <c r="T9" s="11"/>
      <c r="U9" s="11"/>
    </row>
    <row r="10" spans="2:21" ht="30.75" customHeight="1" thickBot="1">
      <c r="B10" s="273" t="s">
        <v>147</v>
      </c>
      <c r="C10" s="274"/>
      <c r="D10" s="21">
        <f>SUM(D8:D9)</f>
        <v>281858.02829307195</v>
      </c>
      <c r="E10" s="21" cm="1">
        <f t="array" ref="E10:E11">E8:E9</f>
        <v>157714.81697584316</v>
      </c>
      <c r="F10" s="21">
        <f>SUM(F8:F9)</f>
        <v>3382296.3395168632</v>
      </c>
      <c r="G10"/>
      <c r="H10" s="11"/>
      <c r="I10" s="11"/>
      <c r="J10" s="11"/>
      <c r="K10" s="11"/>
      <c r="L10" s="11"/>
      <c r="M10" s="11"/>
      <c r="N10" s="11"/>
      <c r="O10" s="11"/>
      <c r="P10" s="11"/>
      <c r="Q10" s="11"/>
      <c r="R10" s="11"/>
      <c r="S10" s="11"/>
      <c r="T10" s="11"/>
      <c r="U10" s="11"/>
    </row>
    <row r="11" spans="2:21" s="25" customFormat="1">
      <c r="B11" s="22"/>
      <c r="C11" s="22"/>
      <c r="D11" s="23"/>
      <c r="E11" s="23" t="str">
        <v>-</v>
      </c>
      <c r="F11" s="23"/>
      <c r="G11"/>
      <c r="H11" s="24"/>
      <c r="I11" s="24"/>
      <c r="J11" s="24"/>
      <c r="K11" s="24"/>
      <c r="L11" s="24"/>
      <c r="M11" s="24"/>
      <c r="N11" s="24"/>
      <c r="O11" s="24"/>
      <c r="P11" s="24"/>
      <c r="Q11" s="24"/>
      <c r="R11" s="24"/>
      <c r="S11" s="24"/>
      <c r="T11" s="24"/>
      <c r="U11" s="24"/>
    </row>
    <row r="12" spans="2:21" s="25" customFormat="1">
      <c r="B12" s="22"/>
      <c r="C12" s="22"/>
      <c r="D12" s="23"/>
      <c r="E12" s="23"/>
      <c r="F12" s="23"/>
      <c r="G12"/>
      <c r="H12" s="24"/>
      <c r="I12" s="24"/>
      <c r="J12" s="24"/>
      <c r="K12" s="24"/>
      <c r="L12" s="24"/>
      <c r="M12" s="24"/>
      <c r="N12" s="24"/>
      <c r="O12" s="24"/>
      <c r="P12" s="24"/>
      <c r="Q12" s="24"/>
      <c r="R12" s="24"/>
      <c r="S12" s="24"/>
      <c r="T12" s="24"/>
      <c r="U12" s="24"/>
    </row>
    <row r="13" spans="2:21" customFormat="1" ht="15" customHeight="1">
      <c r="B13" s="26" t="s">
        <v>18</v>
      </c>
      <c r="C13" s="22"/>
      <c r="D13" s="23"/>
      <c r="E13" s="23"/>
      <c r="F13" s="23"/>
    </row>
    <row r="14" spans="2:21" customFormat="1" ht="15.75" customHeight="1">
      <c r="B14" s="26" t="s">
        <v>19</v>
      </c>
      <c r="C14" s="22"/>
      <c r="D14" s="27"/>
      <c r="E14" s="27"/>
      <c r="F14" s="23"/>
    </row>
    <row r="15" spans="2:21" ht="16.5" customHeight="1">
      <c r="B15" s="26" t="s">
        <v>20</v>
      </c>
      <c r="D15" s="28"/>
      <c r="E15" s="28"/>
      <c r="F15" s="28"/>
    </row>
    <row r="16" spans="2:21" ht="16.5" customHeight="1">
      <c r="B16" s="29"/>
      <c r="D16" s="28"/>
      <c r="E16" s="28"/>
      <c r="F16" s="28"/>
    </row>
    <row r="17" spans="2:7">
      <c r="B17" s="30" t="s">
        <v>21</v>
      </c>
      <c r="C17" s="31"/>
      <c r="D17" s="31"/>
      <c r="E17" s="31"/>
      <c r="F17" s="31"/>
    </row>
    <row r="18" spans="2:7">
      <c r="B18" s="32" t="s">
        <v>22</v>
      </c>
      <c r="C18" s="31"/>
      <c r="D18" s="31"/>
      <c r="E18" s="31"/>
      <c r="F18" s="31"/>
    </row>
    <row r="19" spans="2:7">
      <c r="B19" s="270" t="s">
        <v>23</v>
      </c>
      <c r="C19" s="270"/>
      <c r="D19" s="270"/>
      <c r="E19" s="270"/>
      <c r="F19" s="270"/>
    </row>
    <row r="20" spans="2:7">
      <c r="B20" s="270" t="s">
        <v>24</v>
      </c>
      <c r="C20" s="270"/>
      <c r="D20" s="270"/>
      <c r="E20" s="270"/>
      <c r="F20" s="270"/>
    </row>
    <row r="21" spans="2:7" ht="48" customHeight="1">
      <c r="B21" s="275" t="s">
        <v>25</v>
      </c>
      <c r="C21" s="275"/>
      <c r="D21" s="275"/>
      <c r="E21" s="275"/>
      <c r="F21" s="275"/>
    </row>
    <row r="22" spans="2:7">
      <c r="B22" s="270" t="s">
        <v>26</v>
      </c>
      <c r="C22" s="270"/>
      <c r="D22" s="270"/>
      <c r="E22" s="270"/>
      <c r="F22" s="270"/>
    </row>
    <row r="23" spans="2:7">
      <c r="B23" s="270" t="s">
        <v>27</v>
      </c>
      <c r="C23" s="270"/>
      <c r="D23" s="270"/>
      <c r="E23" s="270"/>
      <c r="F23" s="270"/>
    </row>
    <row r="24" spans="2:7">
      <c r="B24" s="33" t="s">
        <v>28</v>
      </c>
      <c r="C24" s="35"/>
      <c r="D24" s="35"/>
      <c r="E24" s="35"/>
      <c r="F24" s="35"/>
    </row>
    <row r="25" spans="2:7" ht="30" customHeight="1">
      <c r="B25" s="275" t="s">
        <v>29</v>
      </c>
      <c r="C25" s="275"/>
      <c r="D25" s="275"/>
      <c r="E25" s="275"/>
      <c r="F25" s="275"/>
      <c r="G25" s="35"/>
    </row>
    <row r="26" spans="2:7">
      <c r="B26" s="36"/>
      <c r="C26" s="31"/>
      <c r="D26" s="31"/>
      <c r="E26" s="31"/>
      <c r="F26" s="31"/>
    </row>
    <row r="27" spans="2:7">
      <c r="B27" s="32" t="s">
        <v>30</v>
      </c>
      <c r="C27" s="31"/>
      <c r="D27" s="31"/>
      <c r="E27" s="31"/>
      <c r="F27" s="31"/>
    </row>
    <row r="28" spans="2:7">
      <c r="B28" s="270" t="s">
        <v>31</v>
      </c>
      <c r="C28" s="270"/>
      <c r="D28" s="270"/>
      <c r="E28" s="270"/>
      <c r="F28" s="270"/>
    </row>
    <row r="29" spans="2:7">
      <c r="B29" s="275" t="s">
        <v>32</v>
      </c>
      <c r="C29" s="275"/>
      <c r="D29" s="275"/>
      <c r="E29" s="275"/>
      <c r="F29" s="275"/>
    </row>
    <row r="30" spans="2:7" ht="30" customHeight="1">
      <c r="B30" s="275" t="s">
        <v>33</v>
      </c>
      <c r="C30" s="275"/>
      <c r="D30" s="275"/>
      <c r="E30" s="275"/>
      <c r="F30" s="275"/>
      <c r="G30" s="275"/>
    </row>
    <row r="31" spans="2:7">
      <c r="B31" s="37" t="s">
        <v>34</v>
      </c>
      <c r="C31" s="31"/>
      <c r="D31" s="31"/>
      <c r="E31" s="31"/>
      <c r="F31" s="31"/>
    </row>
    <row r="32" spans="2:7">
      <c r="B32" s="275" t="s">
        <v>35</v>
      </c>
      <c r="C32" s="275"/>
      <c r="D32" s="275"/>
      <c r="E32" s="275"/>
      <c r="F32" s="275"/>
    </row>
    <row r="33" spans="2:7">
      <c r="B33" s="37" t="s">
        <v>36</v>
      </c>
      <c r="C33" s="31"/>
      <c r="D33" s="31"/>
      <c r="E33" s="31"/>
      <c r="F33" s="31"/>
    </row>
    <row r="34" spans="2:7">
      <c r="B34" s="37" t="s">
        <v>37</v>
      </c>
      <c r="C34" s="31"/>
      <c r="D34" s="31"/>
      <c r="E34" s="31"/>
      <c r="F34" s="31"/>
    </row>
    <row r="35" spans="2:7" ht="45" customHeight="1">
      <c r="B35" s="275" t="s">
        <v>38</v>
      </c>
      <c r="C35" s="275"/>
      <c r="D35" s="275"/>
      <c r="E35" s="275"/>
      <c r="F35" s="275"/>
      <c r="G35" s="35"/>
    </row>
    <row r="36" spans="2:7" ht="30" customHeight="1">
      <c r="B36" s="275" t="s">
        <v>39</v>
      </c>
      <c r="C36" s="275"/>
      <c r="D36" s="275"/>
      <c r="E36" s="275"/>
      <c r="F36" s="275"/>
      <c r="G36" s="34"/>
    </row>
    <row r="37" spans="2:7">
      <c r="B37" s="37"/>
      <c r="C37" s="31"/>
      <c r="D37" s="31"/>
      <c r="E37" s="31"/>
      <c r="F37" s="31"/>
    </row>
    <row r="38" spans="2:7">
      <c r="B38" s="32" t="s">
        <v>40</v>
      </c>
      <c r="C38" s="31"/>
      <c r="D38" s="31"/>
      <c r="E38" s="31"/>
      <c r="F38" s="31"/>
    </row>
    <row r="39" spans="2:7">
      <c r="B39" s="37" t="s">
        <v>41</v>
      </c>
      <c r="C39" s="31"/>
      <c r="D39" s="31"/>
      <c r="E39" s="31"/>
      <c r="F39" s="31"/>
    </row>
    <row r="40" spans="2:7">
      <c r="B40" s="37"/>
      <c r="C40" s="31"/>
      <c r="D40" s="31"/>
      <c r="E40" s="31"/>
      <c r="F40" s="31"/>
    </row>
    <row r="41" spans="2:7">
      <c r="B41" s="32" t="s">
        <v>42</v>
      </c>
      <c r="C41" s="31"/>
      <c r="D41" s="31"/>
      <c r="E41" s="31"/>
      <c r="F41" s="31"/>
    </row>
    <row r="42" spans="2:7" ht="16.5" customHeight="1">
      <c r="B42" s="37" t="s">
        <v>43</v>
      </c>
      <c r="C42" s="37"/>
      <c r="D42" s="37"/>
      <c r="E42" s="37"/>
      <c r="F42" s="31"/>
    </row>
    <row r="43" spans="2:7" ht="16.5" customHeight="1">
      <c r="B43" s="37" t="s">
        <v>44</v>
      </c>
      <c r="C43" s="37"/>
      <c r="D43" s="37"/>
      <c r="E43" s="37"/>
      <c r="F43" s="31"/>
    </row>
    <row r="44" spans="2:7">
      <c r="B44" s="38"/>
      <c r="C44" s="31"/>
      <c r="D44" s="31"/>
      <c r="E44" s="31"/>
      <c r="F44" s="31"/>
    </row>
    <row r="45" spans="2:7">
      <c r="B45" s="39" t="s">
        <v>45</v>
      </c>
      <c r="C45" s="40"/>
      <c r="D45" s="40"/>
      <c r="E45" s="40"/>
      <c r="F45"/>
    </row>
    <row r="46" spans="2:7" ht="33" customHeight="1">
      <c r="B46" s="275" t="s">
        <v>46</v>
      </c>
      <c r="C46" s="275"/>
      <c r="D46" s="275"/>
      <c r="E46" s="275"/>
      <c r="F46" s="275"/>
      <c r="G46" s="34"/>
    </row>
    <row r="47" spans="2:7">
      <c r="B47" s="270" t="s">
        <v>47</v>
      </c>
      <c r="C47" s="270"/>
      <c r="D47" s="270"/>
      <c r="E47" s="270"/>
      <c r="F47" s="270"/>
    </row>
    <row r="48" spans="2:7" ht="30" customHeight="1">
      <c r="B48" s="275" t="s">
        <v>48</v>
      </c>
      <c r="C48" s="275"/>
      <c r="D48" s="275"/>
      <c r="E48" s="275"/>
      <c r="F48" s="275"/>
      <c r="G48" s="34"/>
    </row>
    <row r="49" spans="2:6" ht="46.5" customHeight="1">
      <c r="B49" s="275" t="s">
        <v>49</v>
      </c>
      <c r="C49" s="275"/>
      <c r="D49" s="275"/>
      <c r="E49" s="275"/>
      <c r="F49" s="275"/>
    </row>
    <row r="50" spans="2:6" ht="27.75" customHeight="1">
      <c r="B50" s="275" t="s">
        <v>50</v>
      </c>
      <c r="C50" s="275"/>
      <c r="D50" s="275"/>
      <c r="E50" s="275"/>
      <c r="F50" s="275"/>
    </row>
    <row r="51" spans="2:6" ht="43.5" customHeight="1">
      <c r="B51" s="275" t="s">
        <v>51</v>
      </c>
      <c r="C51" s="275"/>
      <c r="D51" s="275"/>
      <c r="E51" s="275"/>
      <c r="F51" s="275"/>
    </row>
    <row r="52" spans="2:6" ht="52.5" customHeight="1">
      <c r="B52" s="275" t="s">
        <v>52</v>
      </c>
      <c r="C52" s="275"/>
      <c r="D52" s="275"/>
      <c r="E52" s="275"/>
      <c r="F52" s="275"/>
    </row>
    <row r="53" spans="2:6" ht="49.5" customHeight="1">
      <c r="B53" s="275" t="s">
        <v>53</v>
      </c>
      <c r="C53" s="275"/>
      <c r="D53" s="275"/>
      <c r="E53" s="275"/>
      <c r="F53" s="275"/>
    </row>
    <row r="54" spans="2:6" ht="38.25" customHeight="1">
      <c r="B54" s="275" t="s">
        <v>54</v>
      </c>
      <c r="C54" s="275"/>
      <c r="D54" s="275"/>
      <c r="E54" s="275"/>
      <c r="F54" s="275"/>
    </row>
    <row r="55" spans="2:6" ht="59.25" customHeight="1">
      <c r="B55" s="275" t="s">
        <v>55</v>
      </c>
      <c r="C55" s="275"/>
      <c r="D55" s="275"/>
      <c r="E55" s="275"/>
      <c r="F55" s="275"/>
    </row>
  </sheetData>
  <mergeCells count="31">
    <mergeCell ref="B51:F51"/>
    <mergeCell ref="B52:F52"/>
    <mergeCell ref="B53:F53"/>
    <mergeCell ref="B54:F54"/>
    <mergeCell ref="B55:F55"/>
    <mergeCell ref="B50:F50"/>
    <mergeCell ref="B25:F25"/>
    <mergeCell ref="B28:F28"/>
    <mergeCell ref="B29:F29"/>
    <mergeCell ref="B30:G30"/>
    <mergeCell ref="B32:F32"/>
    <mergeCell ref="B35:F35"/>
    <mergeCell ref="B36:F36"/>
    <mergeCell ref="B46:F46"/>
    <mergeCell ref="B47:F47"/>
    <mergeCell ref="B48:F48"/>
    <mergeCell ref="B49:F49"/>
    <mergeCell ref="B23:F23"/>
    <mergeCell ref="B8:C8"/>
    <mergeCell ref="B9:C9"/>
    <mergeCell ref="B10:C10"/>
    <mergeCell ref="B19:F19"/>
    <mergeCell ref="B20:F20"/>
    <mergeCell ref="B21:F21"/>
    <mergeCell ref="B22:F22"/>
    <mergeCell ref="B6:C6"/>
    <mergeCell ref="H1:K1"/>
    <mergeCell ref="H2:K2"/>
    <mergeCell ref="H3:K3"/>
    <mergeCell ref="H4:K4"/>
    <mergeCell ref="H5:K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8D63A-48DC-4548-A47A-0B9EED75AEC0}">
  <dimension ref="B1:L46"/>
  <sheetViews>
    <sheetView showGridLines="0" zoomScale="90" zoomScaleNormal="90" workbookViewId="0">
      <selection activeCell="F18" sqref="F18:F20"/>
    </sheetView>
  </sheetViews>
  <sheetFormatPr defaultColWidth="8.77734375" defaultRowHeight="13.8"/>
  <cols>
    <col min="1" max="1" width="8.77734375" style="1"/>
    <col min="2" max="2" width="18.21875" style="1" customWidth="1"/>
    <col min="3" max="3" width="76.21875" style="1" bestFit="1" customWidth="1"/>
    <col min="4" max="4" width="13" style="1" customWidth="1"/>
    <col min="5" max="5" width="12.77734375" style="1" customWidth="1"/>
    <col min="6" max="6" width="11.77734375" style="1" bestFit="1" customWidth="1"/>
    <col min="7" max="8" width="11.77734375" style="1" customWidth="1"/>
    <col min="9" max="9" width="13.44140625" style="1" customWidth="1"/>
    <col min="10" max="10" width="13.44140625" style="77" customWidth="1"/>
    <col min="11" max="11" width="8.77734375" style="1"/>
    <col min="12" max="12" width="11.88671875" style="1" bestFit="1" customWidth="1"/>
    <col min="13" max="16384" width="8.77734375" style="1"/>
  </cols>
  <sheetData>
    <row r="1" spans="2:12">
      <c r="J1" s="1"/>
    </row>
    <row r="2" spans="2:12" ht="41.4">
      <c r="B2" s="103" t="s">
        <v>56</v>
      </c>
      <c r="C2" s="103"/>
      <c r="D2" s="103" t="s">
        <v>57</v>
      </c>
      <c r="E2" s="104" t="s">
        <v>58</v>
      </c>
      <c r="F2" s="104" t="s">
        <v>59</v>
      </c>
      <c r="G2" s="104"/>
      <c r="H2" s="104" t="s">
        <v>60</v>
      </c>
      <c r="I2" s="105" t="s">
        <v>61</v>
      </c>
      <c r="J2" s="41"/>
    </row>
    <row r="3" spans="2:12">
      <c r="B3" s="42">
        <v>1</v>
      </c>
      <c r="C3" s="84" t="s">
        <v>142</v>
      </c>
      <c r="D3" s="43"/>
      <c r="E3" s="43"/>
      <c r="F3" s="43"/>
      <c r="G3" s="43"/>
      <c r="H3" s="44"/>
      <c r="I3" s="44"/>
      <c r="J3" s="41"/>
    </row>
    <row r="4" spans="2:12" ht="79.2" customHeight="1">
      <c r="B4" s="107" t="s">
        <v>103</v>
      </c>
      <c r="C4" s="106" t="s">
        <v>145</v>
      </c>
      <c r="D4" s="45">
        <v>3</v>
      </c>
      <c r="E4" s="46">
        <f>'CAPEX - OPEX'!N4</f>
        <v>30395.342764357312</v>
      </c>
      <c r="F4" s="46">
        <f>D4*E4</f>
        <v>91186.02829307194</v>
      </c>
      <c r="G4" s="52"/>
      <c r="H4" s="85"/>
      <c r="I4" s="75"/>
      <c r="J4" s="41"/>
      <c r="K4" s="1">
        <f>'CAPEX - OPEX'!G4+'CAPEX - OPEX'!L4</f>
        <v>27601.274211485848</v>
      </c>
      <c r="L4" s="137">
        <f>K4*D4</f>
        <v>82803.822634457552</v>
      </c>
    </row>
    <row r="5" spans="2:12">
      <c r="B5" s="42">
        <v>2</v>
      </c>
      <c r="C5" s="84" t="s">
        <v>62</v>
      </c>
      <c r="D5" s="47"/>
      <c r="E5" s="47"/>
      <c r="F5" s="47"/>
      <c r="G5" s="47"/>
      <c r="H5" s="47"/>
      <c r="I5" s="47"/>
      <c r="J5" s="41"/>
    </row>
    <row r="6" spans="2:12">
      <c r="B6" s="76">
        <v>2.1</v>
      </c>
      <c r="C6" s="48" t="s">
        <v>108</v>
      </c>
      <c r="D6" s="45" t="s">
        <v>109</v>
      </c>
      <c r="E6" s="46">
        <v>0</v>
      </c>
      <c r="F6" s="46">
        <v>0</v>
      </c>
      <c r="G6" s="46"/>
      <c r="H6" s="86"/>
      <c r="I6" s="75"/>
    </row>
    <row r="7" spans="2:12">
      <c r="B7" s="42">
        <v>3</v>
      </c>
      <c r="C7" s="84" t="s">
        <v>63</v>
      </c>
      <c r="D7" s="47"/>
      <c r="E7" s="47"/>
      <c r="F7" s="47"/>
      <c r="G7" s="47"/>
      <c r="H7" s="74"/>
      <c r="I7" s="74"/>
      <c r="J7" s="49"/>
    </row>
    <row r="8" spans="2:12">
      <c r="B8" s="76">
        <v>3.1</v>
      </c>
      <c r="C8" s="56" t="s">
        <v>110</v>
      </c>
      <c r="D8" s="108">
        <v>500</v>
      </c>
      <c r="E8" s="46">
        <v>6</v>
      </c>
      <c r="F8" s="46">
        <f>D8*E8</f>
        <v>3000</v>
      </c>
      <c r="G8" s="46"/>
      <c r="H8" s="86"/>
      <c r="I8" s="75" t="s">
        <v>140</v>
      </c>
      <c r="J8" s="78"/>
      <c r="K8" s="1">
        <v>2</v>
      </c>
      <c r="L8" s="137">
        <f t="shared" ref="L8:L20" si="0">K8*D8</f>
        <v>1000</v>
      </c>
    </row>
    <row r="9" spans="2:12">
      <c r="B9" s="76">
        <v>3.2</v>
      </c>
      <c r="C9" s="56" t="s">
        <v>64</v>
      </c>
      <c r="D9" s="45">
        <v>3</v>
      </c>
      <c r="E9" s="46">
        <v>900</v>
      </c>
      <c r="F9" s="46">
        <f t="shared" ref="F9:F12" si="1">E9*D9</f>
        <v>2700</v>
      </c>
      <c r="G9" s="46"/>
      <c r="H9" s="86"/>
      <c r="I9" s="75" t="s">
        <v>140</v>
      </c>
      <c r="K9" s="1">
        <v>500</v>
      </c>
      <c r="L9" s="137">
        <f t="shared" si="0"/>
        <v>1500</v>
      </c>
    </row>
    <row r="10" spans="2:12">
      <c r="B10" s="76">
        <v>3.3</v>
      </c>
      <c r="C10" s="56" t="s">
        <v>111</v>
      </c>
      <c r="D10" s="45">
        <v>6</v>
      </c>
      <c r="E10" s="46">
        <v>1500</v>
      </c>
      <c r="F10" s="46">
        <f t="shared" si="1"/>
        <v>9000</v>
      </c>
      <c r="G10" s="46"/>
      <c r="H10" s="86"/>
      <c r="I10" s="75"/>
      <c r="K10" s="1">
        <v>500</v>
      </c>
      <c r="L10" s="137">
        <f t="shared" si="0"/>
        <v>3000</v>
      </c>
    </row>
    <row r="11" spans="2:12">
      <c r="B11" s="76">
        <v>3.4</v>
      </c>
      <c r="C11" s="56" t="s">
        <v>112</v>
      </c>
      <c r="D11" s="45">
        <v>3</v>
      </c>
      <c r="E11" s="46">
        <v>2000</v>
      </c>
      <c r="F11" s="46">
        <f t="shared" si="1"/>
        <v>6000</v>
      </c>
      <c r="G11" s="46"/>
      <c r="H11" s="86"/>
      <c r="I11" s="75"/>
      <c r="K11" s="1">
        <v>1000</v>
      </c>
      <c r="L11" s="137">
        <f t="shared" si="0"/>
        <v>3000</v>
      </c>
    </row>
    <row r="12" spans="2:12">
      <c r="B12" s="76">
        <v>3.5</v>
      </c>
      <c r="C12" s="56" t="s">
        <v>113</v>
      </c>
      <c r="D12" s="45">
        <v>6</v>
      </c>
      <c r="E12" s="46">
        <v>3000</v>
      </c>
      <c r="F12" s="46">
        <f t="shared" si="1"/>
        <v>18000</v>
      </c>
      <c r="G12" s="46"/>
      <c r="H12" s="86"/>
      <c r="I12" s="75"/>
      <c r="K12" s="1">
        <v>1500</v>
      </c>
      <c r="L12" s="137">
        <f t="shared" si="0"/>
        <v>9000</v>
      </c>
    </row>
    <row r="13" spans="2:12">
      <c r="B13" s="76">
        <v>3.6</v>
      </c>
      <c r="C13" s="56" t="s">
        <v>114</v>
      </c>
      <c r="D13" s="108">
        <v>13108</v>
      </c>
      <c r="E13" s="46">
        <v>9</v>
      </c>
      <c r="F13" s="46">
        <f>E13*D13</f>
        <v>117972</v>
      </c>
      <c r="G13" s="46"/>
      <c r="H13" s="86"/>
      <c r="I13" s="75" t="s">
        <v>140</v>
      </c>
      <c r="K13" s="1">
        <v>1.9214638179514909</v>
      </c>
      <c r="L13" s="137">
        <f t="shared" si="0"/>
        <v>25186.547725708144</v>
      </c>
    </row>
    <row r="14" spans="2:12">
      <c r="B14" s="42">
        <v>4</v>
      </c>
      <c r="C14" s="84" t="s">
        <v>65</v>
      </c>
      <c r="D14" s="47"/>
      <c r="E14" s="50"/>
      <c r="F14" s="47"/>
      <c r="G14" s="47"/>
      <c r="H14" s="47"/>
      <c r="I14" s="47"/>
      <c r="J14" s="49"/>
    </row>
    <row r="15" spans="2:12">
      <c r="B15" s="51">
        <v>4.0999999999999996</v>
      </c>
      <c r="C15" s="52" t="s">
        <v>139</v>
      </c>
      <c r="D15" s="45">
        <v>1</v>
      </c>
      <c r="E15" s="46">
        <v>15000</v>
      </c>
      <c r="F15" s="46">
        <f>D15*E15</f>
        <v>15000</v>
      </c>
      <c r="G15" s="45"/>
      <c r="H15" s="87"/>
      <c r="I15" s="53"/>
      <c r="J15" s="54"/>
      <c r="K15" s="1">
        <v>5608.6153846153848</v>
      </c>
      <c r="L15" s="137">
        <f t="shared" si="0"/>
        <v>5608.6153846153848</v>
      </c>
    </row>
    <row r="16" spans="2:12">
      <c r="B16" s="42">
        <v>5</v>
      </c>
      <c r="C16" s="84" t="s">
        <v>66</v>
      </c>
      <c r="D16" s="42"/>
      <c r="E16" s="47"/>
      <c r="F16" s="47"/>
      <c r="G16" s="47"/>
      <c r="H16" s="47"/>
      <c r="I16" s="47"/>
      <c r="J16" s="49"/>
    </row>
    <row r="17" spans="2:12">
      <c r="B17" s="128">
        <v>5.0999999999999996</v>
      </c>
      <c r="C17" s="131" t="s">
        <v>136</v>
      </c>
      <c r="D17" s="45">
        <v>1</v>
      </c>
      <c r="E17" s="132">
        <f>SUM(F4:F15)*12*5%</f>
        <v>157714.81697584316</v>
      </c>
      <c r="F17" s="129"/>
      <c r="G17" s="129"/>
      <c r="H17" s="130"/>
      <c r="I17" s="130"/>
      <c r="J17" s="49"/>
      <c r="L17" s="137">
        <f t="shared" si="0"/>
        <v>0</v>
      </c>
    </row>
    <row r="18" spans="2:12">
      <c r="B18" s="51">
        <v>5.2</v>
      </c>
      <c r="C18" s="56" t="s">
        <v>67</v>
      </c>
      <c r="D18" s="45">
        <v>13</v>
      </c>
      <c r="E18" s="46">
        <v>500</v>
      </c>
      <c r="F18" s="46">
        <f t="shared" ref="F18:F20" si="2">E18*D18</f>
        <v>6500</v>
      </c>
      <c r="G18" s="46"/>
      <c r="H18" s="86"/>
      <c r="I18" s="75"/>
      <c r="J18" s="55"/>
      <c r="K18" s="1">
        <v>116.8067862724732</v>
      </c>
      <c r="L18" s="137">
        <f t="shared" si="0"/>
        <v>1518.4882215421517</v>
      </c>
    </row>
    <row r="19" spans="2:12">
      <c r="B19" s="128">
        <v>5.3</v>
      </c>
      <c r="C19" s="56" t="s">
        <v>68</v>
      </c>
      <c r="D19" s="45">
        <v>1</v>
      </c>
      <c r="E19" s="46">
        <v>8500</v>
      </c>
      <c r="F19" s="46">
        <f t="shared" si="2"/>
        <v>8500</v>
      </c>
      <c r="G19" s="46"/>
      <c r="H19" s="86"/>
      <c r="I19" s="75"/>
      <c r="J19" s="55"/>
      <c r="K19" s="1">
        <v>5079.93</v>
      </c>
      <c r="L19" s="137">
        <f t="shared" si="0"/>
        <v>5079.93</v>
      </c>
    </row>
    <row r="20" spans="2:12">
      <c r="B20" s="51">
        <v>5.4</v>
      </c>
      <c r="C20" s="56" t="s">
        <v>69</v>
      </c>
      <c r="D20" s="45">
        <v>4</v>
      </c>
      <c r="E20" s="46">
        <v>1000</v>
      </c>
      <c r="F20" s="46">
        <f t="shared" si="2"/>
        <v>4000</v>
      </c>
      <c r="G20" s="46"/>
      <c r="H20" s="86"/>
      <c r="I20" s="75"/>
      <c r="J20" s="55"/>
      <c r="K20" s="1">
        <v>500</v>
      </c>
      <c r="L20" s="137">
        <f t="shared" si="0"/>
        <v>2000</v>
      </c>
    </row>
    <row r="21" spans="2:12">
      <c r="B21" s="57"/>
      <c r="C21" s="57" t="s">
        <v>70</v>
      </c>
      <c r="D21" s="58"/>
      <c r="E21" s="59"/>
      <c r="F21" s="59">
        <f>SUM(F4:F15)</f>
        <v>262858.02829307195</v>
      </c>
      <c r="G21" s="59"/>
      <c r="H21" s="88"/>
      <c r="I21" s="79"/>
      <c r="J21" s="55"/>
      <c r="L21" s="59">
        <f>SUM(L4:L15)</f>
        <v>131098.98574478106</v>
      </c>
    </row>
    <row r="22" spans="2:12">
      <c r="B22" s="60"/>
      <c r="C22" s="60" t="s">
        <v>71</v>
      </c>
      <c r="D22" s="61"/>
      <c r="E22" s="62"/>
      <c r="F22" s="62">
        <f>SUM(F18:F20)</f>
        <v>19000</v>
      </c>
      <c r="G22" s="62"/>
      <c r="H22" s="89"/>
      <c r="I22" s="80"/>
      <c r="J22" s="55"/>
      <c r="L22" s="62">
        <f>SUM(L18:L20)</f>
        <v>8598.4182215421515</v>
      </c>
    </row>
    <row r="23" spans="2:12">
      <c r="B23" s="63"/>
      <c r="C23" s="63" t="s">
        <v>72</v>
      </c>
      <c r="D23" s="64"/>
      <c r="E23" s="65"/>
      <c r="F23" s="65">
        <f>F22+F21</f>
        <v>281858.02829307195</v>
      </c>
      <c r="G23" s="65"/>
      <c r="H23" s="90">
        <f>E17</f>
        <v>157714.81697584316</v>
      </c>
      <c r="I23" s="81"/>
      <c r="J23" s="66"/>
      <c r="L23" s="65">
        <f>L22+L21</f>
        <v>139697.40396632321</v>
      </c>
    </row>
    <row r="24" spans="2:12">
      <c r="F24" s="82"/>
      <c r="G24" s="82"/>
      <c r="H24" s="82"/>
      <c r="I24" s="55"/>
    </row>
    <row r="25" spans="2:12">
      <c r="B25" s="83"/>
      <c r="F25" s="82"/>
      <c r="G25" s="82"/>
      <c r="H25" s="82"/>
    </row>
    <row r="26" spans="2:12">
      <c r="B26" s="83"/>
    </row>
    <row r="27" spans="2:12">
      <c r="B27" s="83"/>
    </row>
    <row r="28" spans="2:12">
      <c r="B28" s="83"/>
    </row>
    <row r="29" spans="2:12">
      <c r="B29" s="83"/>
    </row>
    <row r="30" spans="2:12">
      <c r="B30" s="83"/>
    </row>
    <row r="31" spans="2:12">
      <c r="B31" s="83"/>
    </row>
    <row r="32" spans="2:12">
      <c r="B32" s="83"/>
    </row>
    <row r="33" spans="2:2">
      <c r="B33" s="83"/>
    </row>
    <row r="34" spans="2:2">
      <c r="B34" s="83"/>
    </row>
    <row r="35" spans="2:2">
      <c r="B35" s="83"/>
    </row>
    <row r="36" spans="2:2">
      <c r="B36" s="83"/>
    </row>
    <row r="37" spans="2:2">
      <c r="B37" s="83"/>
    </row>
    <row r="38" spans="2:2">
      <c r="B38" s="83"/>
    </row>
    <row r="39" spans="2:2">
      <c r="B39" s="83"/>
    </row>
    <row r="40" spans="2:2">
      <c r="B40" s="83"/>
    </row>
    <row r="41" spans="2:2">
      <c r="B41" s="83"/>
    </row>
    <row r="42" spans="2:2">
      <c r="B42" s="83"/>
    </row>
    <row r="43" spans="2:2">
      <c r="B43" s="83"/>
    </row>
    <row r="44" spans="2:2">
      <c r="B44" s="83"/>
    </row>
    <row r="45" spans="2:2">
      <c r="B45" s="83"/>
    </row>
    <row r="46" spans="2:2">
      <c r="B46" s="83"/>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7330A-DA0B-40EA-89EE-62E1F37A21A6}">
  <dimension ref="A1:W80"/>
  <sheetViews>
    <sheetView showGridLines="0" tabSelected="1" workbookViewId="0"/>
  </sheetViews>
  <sheetFormatPr defaultRowHeight="14.4"/>
  <cols>
    <col min="1" max="1" width="9.33203125" bestFit="1" customWidth="1"/>
    <col min="2" max="2" width="23.88671875" customWidth="1"/>
    <col min="3" max="3" width="27.88671875" customWidth="1"/>
    <col min="4" max="5" width="14.6640625" customWidth="1"/>
    <col min="6" max="6" width="12.6640625" customWidth="1"/>
    <col min="7" max="7" width="14.6640625" customWidth="1"/>
    <col min="8" max="8" width="21.44140625" customWidth="1"/>
    <col min="9" max="9" width="12.6640625" bestFit="1" customWidth="1"/>
    <col min="10" max="10" width="19" bestFit="1" customWidth="1"/>
    <col min="11" max="11" width="18.6640625" bestFit="1" customWidth="1"/>
    <col min="12" max="14" width="18.44140625" bestFit="1" customWidth="1"/>
  </cols>
  <sheetData>
    <row r="1" spans="1:23">
      <c r="A1" s="138"/>
      <c r="B1" s="138"/>
      <c r="C1" s="139"/>
      <c r="D1" s="139"/>
      <c r="E1" s="139"/>
      <c r="F1" s="139"/>
      <c r="G1" s="139"/>
      <c r="H1" s="139"/>
      <c r="I1" s="138"/>
    </row>
    <row r="2" spans="1:23">
      <c r="A2" s="138"/>
      <c r="B2" s="138"/>
      <c r="C2" s="139"/>
      <c r="D2" s="139"/>
      <c r="E2" s="139"/>
      <c r="F2" s="139"/>
      <c r="G2" s="139"/>
      <c r="H2" s="139"/>
      <c r="I2" s="138"/>
      <c r="J2" s="140" t="s">
        <v>151</v>
      </c>
      <c r="K2" s="141">
        <v>36</v>
      </c>
    </row>
    <row r="3" spans="1:23">
      <c r="A3" s="138"/>
      <c r="B3" s="138"/>
      <c r="C3" s="139"/>
      <c r="D3" s="139"/>
      <c r="E3" s="139"/>
      <c r="F3" s="139"/>
      <c r="G3" s="139"/>
      <c r="H3" s="139"/>
      <c r="I3" s="138"/>
      <c r="J3" s="140"/>
      <c r="K3" s="141"/>
    </row>
    <row r="4" spans="1:23">
      <c r="A4" s="138"/>
      <c r="B4" s="138"/>
      <c r="C4" s="139"/>
      <c r="D4" s="139"/>
      <c r="E4" s="139"/>
      <c r="F4" s="139"/>
      <c r="G4" s="139"/>
      <c r="H4" s="139"/>
      <c r="I4" s="138"/>
      <c r="W4">
        <v>1.793213057</v>
      </c>
    </row>
    <row r="5" spans="1:23">
      <c r="A5" s="138"/>
      <c r="B5" s="138"/>
      <c r="C5" s="139"/>
      <c r="D5" s="139"/>
      <c r="E5" s="139"/>
      <c r="F5" s="139"/>
      <c r="G5" s="139"/>
      <c r="H5" s="139"/>
      <c r="I5" s="138"/>
    </row>
    <row r="6" spans="1:23">
      <c r="A6" s="138"/>
      <c r="B6" s="138"/>
      <c r="C6" s="139"/>
      <c r="D6" s="139"/>
      <c r="E6" s="139"/>
      <c r="F6" s="139"/>
      <c r="G6" s="139"/>
      <c r="H6" s="139"/>
      <c r="I6" s="138"/>
    </row>
    <row r="7" spans="1:23">
      <c r="A7" s="138"/>
      <c r="B7" s="138"/>
      <c r="C7" s="139"/>
      <c r="D7" s="139"/>
      <c r="E7" s="139"/>
      <c r="F7" s="139"/>
      <c r="G7" s="139"/>
      <c r="H7" s="139"/>
      <c r="I7" s="138"/>
    </row>
    <row r="8" spans="1:23" ht="18">
      <c r="A8" s="138"/>
      <c r="B8" s="284" t="s">
        <v>152</v>
      </c>
      <c r="C8" s="284"/>
      <c r="D8" s="284"/>
      <c r="E8" s="284"/>
      <c r="F8" s="284"/>
      <c r="G8" s="284"/>
      <c r="H8" s="284"/>
      <c r="I8" s="138"/>
    </row>
    <row r="9" spans="1:23" ht="28.5" customHeight="1">
      <c r="A9" s="138"/>
      <c r="B9" s="138"/>
      <c r="C9" s="285"/>
      <c r="D9" s="285"/>
      <c r="E9" s="285"/>
      <c r="F9" s="285"/>
      <c r="G9" s="285"/>
      <c r="H9" s="285"/>
      <c r="J9" s="138"/>
    </row>
    <row r="10" spans="1:23">
      <c r="A10" s="138"/>
      <c r="B10" s="142" t="s">
        <v>153</v>
      </c>
      <c r="C10" s="278">
        <f>(SUM(C16:C23)-C19)/K2</f>
        <v>281858.02829307195</v>
      </c>
      <c r="D10" s="279"/>
      <c r="E10" s="278">
        <f>(SUM(E16:E23)-E19)/K2</f>
        <v>253672.22546376474</v>
      </c>
      <c r="F10" s="279"/>
      <c r="G10" s="278">
        <f>(SUM(G16:G23)-G19)/K2</f>
        <v>239579.32404911114</v>
      </c>
      <c r="H10" s="279"/>
      <c r="I10" s="143"/>
      <c r="J10" s="144"/>
      <c r="K10" s="145"/>
    </row>
    <row r="11" spans="1:23">
      <c r="A11" s="138"/>
      <c r="B11" s="142" t="s">
        <v>137</v>
      </c>
      <c r="C11" s="278">
        <f>(C10-(C23/K2))*12*5%</f>
        <v>157714.81697584316</v>
      </c>
      <c r="D11" s="279"/>
      <c r="E11" s="278">
        <f>(E10-(E23/K2))*12*5%</f>
        <v>141943.33527825886</v>
      </c>
      <c r="F11" s="279"/>
      <c r="G11" s="278">
        <f>(G10-(G23/K2))*12*5%</f>
        <v>134057.5944294667</v>
      </c>
      <c r="H11" s="279"/>
      <c r="J11" s="146"/>
    </row>
    <row r="12" spans="1:23" ht="15" thickBot="1">
      <c r="A12" s="138"/>
      <c r="B12" s="147" t="s">
        <v>204</v>
      </c>
      <c r="C12" s="280" t="s">
        <v>205</v>
      </c>
      <c r="D12" s="281"/>
      <c r="E12" s="282">
        <v>0.1</v>
      </c>
      <c r="F12" s="283"/>
      <c r="G12" s="282">
        <v>0.15</v>
      </c>
      <c r="H12" s="283"/>
      <c r="J12" s="138"/>
    </row>
    <row r="13" spans="1:23" ht="15" thickBot="1">
      <c r="A13" s="138"/>
      <c r="B13" s="148" t="s">
        <v>154</v>
      </c>
      <c r="C13" s="149" t="s">
        <v>155</v>
      </c>
      <c r="D13" s="150" t="s">
        <v>156</v>
      </c>
      <c r="E13" s="151" t="s">
        <v>155</v>
      </c>
      <c r="F13" s="152" t="s">
        <v>156</v>
      </c>
      <c r="G13" s="151" t="s">
        <v>155</v>
      </c>
      <c r="H13" s="152" t="s">
        <v>156</v>
      </c>
      <c r="J13" s="138"/>
      <c r="K13" s="153"/>
    </row>
    <row r="14" spans="1:23">
      <c r="A14" s="138"/>
      <c r="B14" s="154" t="s">
        <v>157</v>
      </c>
      <c r="C14" s="155"/>
      <c r="D14" s="156"/>
      <c r="E14" s="157"/>
      <c r="F14" s="158"/>
      <c r="G14" s="157"/>
      <c r="H14" s="158"/>
      <c r="J14" s="138"/>
    </row>
    <row r="15" spans="1:23">
      <c r="A15" s="138"/>
      <c r="B15" s="159" t="s">
        <v>158</v>
      </c>
      <c r="C15" s="160">
        <f>BoM!E17</f>
        <v>157714.81697584316</v>
      </c>
      <c r="D15" s="276">
        <f>SUM(C15:C18)/C24</f>
        <v>0.88121814098470197</v>
      </c>
      <c r="E15" s="160">
        <f>E11</f>
        <v>141943.33527825886</v>
      </c>
      <c r="F15" s="276">
        <f>SUM(E15:E18)/E24</f>
        <v>0.88121814098470197</v>
      </c>
      <c r="G15" s="160">
        <f>G11</f>
        <v>134057.5944294667</v>
      </c>
      <c r="H15" s="276">
        <f>SUM(G15:G18)/G24</f>
        <v>0.88121814098470197</v>
      </c>
      <c r="I15" s="138" t="s">
        <v>159</v>
      </c>
      <c r="M15" s="153"/>
    </row>
    <row r="16" spans="1:23">
      <c r="A16" s="138"/>
      <c r="B16" s="159" t="s">
        <v>160</v>
      </c>
      <c r="C16" s="160">
        <f>SUM(BoM!F4)*K2</f>
        <v>3282697.0185505897</v>
      </c>
      <c r="D16" s="276"/>
      <c r="E16" s="249">
        <f>C16*(100%-$E$12)</f>
        <v>2954427.3166955309</v>
      </c>
      <c r="F16" s="276"/>
      <c r="G16" s="249">
        <f>C16*(100%-$G$12)</f>
        <v>2790292.465768001</v>
      </c>
      <c r="H16" s="276"/>
      <c r="I16" s="138" t="s">
        <v>159</v>
      </c>
      <c r="J16" s="183"/>
      <c r="K16" s="153"/>
    </row>
    <row r="17" spans="1:14">
      <c r="A17" s="138"/>
      <c r="B17" s="162" t="s">
        <v>161</v>
      </c>
      <c r="C17" s="160">
        <f>SUM(BoM!F13)*K2</f>
        <v>4246992</v>
      </c>
      <c r="D17" s="276"/>
      <c r="E17" s="248">
        <f t="shared" ref="E17:E23" si="0">C17*(100%-$E$12)</f>
        <v>3822292.8000000003</v>
      </c>
      <c r="F17" s="276"/>
      <c r="G17" s="161">
        <f t="shared" ref="G17:G23" si="1">C17*(100%-$G$12)</f>
        <v>3609943.1999999997</v>
      </c>
      <c r="H17" s="276"/>
      <c r="I17" s="138" t="s">
        <v>159</v>
      </c>
    </row>
    <row r="18" spans="1:14">
      <c r="A18" s="138"/>
      <c r="B18" s="159" t="s">
        <v>162</v>
      </c>
      <c r="C18" s="160">
        <f>SUM(BoM!F8:F12)*K2</f>
        <v>1393200</v>
      </c>
      <c r="D18" s="276"/>
      <c r="E18" s="248">
        <f t="shared" si="0"/>
        <v>1253880</v>
      </c>
      <c r="F18" s="276"/>
      <c r="G18" s="161">
        <f t="shared" si="1"/>
        <v>1184220</v>
      </c>
      <c r="H18" s="276"/>
      <c r="I18" s="138" t="s">
        <v>159</v>
      </c>
    </row>
    <row r="19" spans="1:14">
      <c r="A19" s="138"/>
      <c r="B19" s="159" t="s">
        <v>163</v>
      </c>
      <c r="C19" s="160"/>
      <c r="D19" s="276">
        <f>SUM(C19:C21)/C24</f>
        <v>5.2403761330278541E-2</v>
      </c>
      <c r="E19" s="161"/>
      <c r="F19" s="276">
        <f>SUM(E19:E21)/E24</f>
        <v>5.2403761330278534E-2</v>
      </c>
      <c r="G19" s="161">
        <f t="shared" si="1"/>
        <v>0</v>
      </c>
      <c r="H19" s="276">
        <f>SUM(G19:G21)/G24</f>
        <v>5.2403761330278541E-2</v>
      </c>
      <c r="I19" s="138"/>
    </row>
    <row r="20" spans="1:14">
      <c r="A20" s="138"/>
      <c r="B20" s="159" t="s">
        <v>164</v>
      </c>
      <c r="C20" s="160">
        <f>SUM(BoM!F6)</f>
        <v>0</v>
      </c>
      <c r="D20" s="276"/>
      <c r="E20" s="248">
        <f t="shared" si="0"/>
        <v>0</v>
      </c>
      <c r="F20" s="276"/>
      <c r="G20" s="161">
        <f t="shared" si="1"/>
        <v>0</v>
      </c>
      <c r="H20" s="276"/>
      <c r="I20" s="138" t="s">
        <v>165</v>
      </c>
    </row>
    <row r="21" spans="1:14">
      <c r="A21" s="138"/>
      <c r="B21" s="159" t="s">
        <v>166</v>
      </c>
      <c r="C21" s="160">
        <f>SUM(BoM!F15)*K2</f>
        <v>540000</v>
      </c>
      <c r="D21" s="276"/>
      <c r="E21" s="248">
        <f t="shared" si="0"/>
        <v>486000</v>
      </c>
      <c r="F21" s="276"/>
      <c r="G21" s="161">
        <f t="shared" si="1"/>
        <v>459000</v>
      </c>
      <c r="H21" s="276"/>
      <c r="I21" s="138" t="s">
        <v>165</v>
      </c>
      <c r="K21" s="153"/>
    </row>
    <row r="22" spans="1:14">
      <c r="A22" s="138"/>
      <c r="B22" s="159" t="s">
        <v>167</v>
      </c>
      <c r="C22" s="160"/>
      <c r="D22" s="276">
        <f>(C22+C23)/C24</f>
        <v>6.6378097685019483E-2</v>
      </c>
      <c r="E22" s="248">
        <f t="shared" si="0"/>
        <v>0</v>
      </c>
      <c r="F22" s="276">
        <f>(E22+E23)/E24</f>
        <v>6.6378097685019483E-2</v>
      </c>
      <c r="G22" s="161">
        <f t="shared" si="1"/>
        <v>0</v>
      </c>
      <c r="H22" s="276">
        <f>(G22+G23)/G24</f>
        <v>6.6378097685019483E-2</v>
      </c>
      <c r="I22" s="138"/>
    </row>
    <row r="23" spans="1:14">
      <c r="A23" s="138"/>
      <c r="B23" s="159" t="s">
        <v>168</v>
      </c>
      <c r="C23" s="160">
        <f>SUM(BoM!F18:F20)*K2</f>
        <v>684000</v>
      </c>
      <c r="D23" s="277"/>
      <c r="E23" s="248">
        <f t="shared" si="0"/>
        <v>615600</v>
      </c>
      <c r="F23" s="277"/>
      <c r="G23" s="161">
        <f t="shared" si="1"/>
        <v>581400</v>
      </c>
      <c r="H23" s="277"/>
      <c r="I23" s="138" t="s">
        <v>169</v>
      </c>
    </row>
    <row r="24" spans="1:14">
      <c r="A24" s="163">
        <v>0</v>
      </c>
      <c r="B24" s="164" t="s">
        <v>170</v>
      </c>
      <c r="C24" s="165">
        <f>SUM(C15,C19,C22)+(SUM(C16,C17,C18,C20,C21,C23)-(SUM(C16,C17,C18,C20,C21,C23)*A24))</f>
        <v>10304603.835526433</v>
      </c>
      <c r="D24" s="166"/>
      <c r="E24" s="167">
        <f>SUM(E15:E23)</f>
        <v>9274143.4519737903</v>
      </c>
      <c r="F24" s="166"/>
      <c r="G24" s="167">
        <f>SUM(G15:G23)</f>
        <v>8758913.2601974681</v>
      </c>
      <c r="H24" s="166"/>
      <c r="I24" s="168"/>
      <c r="K24" s="169" t="s">
        <v>171</v>
      </c>
    </row>
    <row r="25" spans="1:14">
      <c r="A25" s="138"/>
      <c r="B25" s="154" t="s">
        <v>172</v>
      </c>
      <c r="C25" s="155"/>
      <c r="D25" s="170"/>
      <c r="E25" s="171"/>
      <c r="F25" s="170"/>
      <c r="G25" s="171"/>
      <c r="H25" s="170"/>
      <c r="I25" s="138"/>
    </row>
    <row r="26" spans="1:14" ht="28.8">
      <c r="A26" s="138"/>
      <c r="B26" s="172" t="s">
        <v>173</v>
      </c>
      <c r="C26" s="173">
        <f>C46*20%</f>
        <v>596187.52296809445</v>
      </c>
      <c r="D26" s="174"/>
      <c r="E26" s="160">
        <f>E46*20%</f>
        <v>596187.52296809445</v>
      </c>
      <c r="F26" s="174"/>
      <c r="G26" s="160">
        <f>G46*20%</f>
        <v>596187.52296809445</v>
      </c>
      <c r="H26" s="174"/>
      <c r="I26" s="138"/>
    </row>
    <row r="27" spans="1:14" ht="28.8">
      <c r="A27" s="138"/>
      <c r="B27" s="175" t="s">
        <v>174</v>
      </c>
      <c r="C27" s="160">
        <f>C47*10%</f>
        <v>90671.571812549315</v>
      </c>
      <c r="D27" s="174"/>
      <c r="E27" s="161">
        <f>E47*10%</f>
        <v>90671.571812549315</v>
      </c>
      <c r="F27" s="174"/>
      <c r="G27" s="161">
        <f>G47*10%</f>
        <v>90671.571812549315</v>
      </c>
      <c r="H27" s="174"/>
      <c r="I27" s="138"/>
      <c r="K27" s="176"/>
      <c r="L27" s="176"/>
      <c r="M27" s="176"/>
      <c r="N27" s="176"/>
    </row>
    <row r="28" spans="1:14">
      <c r="A28" s="177"/>
      <c r="B28" s="159" t="s">
        <v>162</v>
      </c>
      <c r="C28" s="178">
        <f>SUM(BoM!L8:L12)*K2</f>
        <v>630000</v>
      </c>
      <c r="D28" s="179"/>
      <c r="E28" s="180">
        <f>C28</f>
        <v>630000</v>
      </c>
      <c r="F28" s="179"/>
      <c r="G28" s="180">
        <f>E28</f>
        <v>630000</v>
      </c>
      <c r="H28" s="179"/>
      <c r="I28" s="138"/>
    </row>
    <row r="29" spans="1:14">
      <c r="A29" s="138"/>
      <c r="B29" s="159" t="s">
        <v>164</v>
      </c>
      <c r="C29" s="178">
        <f>SUM(BoM!L6)*K2</f>
        <v>0</v>
      </c>
      <c r="D29" s="179"/>
      <c r="E29" s="180">
        <f t="shared" ref="E29:E31" si="2">C29</f>
        <v>0</v>
      </c>
      <c r="F29" s="179"/>
      <c r="G29" s="180">
        <f t="shared" ref="G29:G31" si="3">E29</f>
        <v>0</v>
      </c>
      <c r="H29" s="179"/>
      <c r="I29" s="138"/>
    </row>
    <row r="30" spans="1:14">
      <c r="A30" s="138"/>
      <c r="B30" s="181" t="s">
        <v>166</v>
      </c>
      <c r="C30" s="182">
        <f>SUM(BoM!L15)*K2</f>
        <v>201910.15384615384</v>
      </c>
      <c r="D30" s="179"/>
      <c r="E30" s="180">
        <f t="shared" si="2"/>
        <v>201910.15384615384</v>
      </c>
      <c r="F30" s="179"/>
      <c r="G30" s="180">
        <f t="shared" si="3"/>
        <v>201910.15384615384</v>
      </c>
      <c r="H30" s="179"/>
      <c r="I30" s="138"/>
      <c r="J30" s="153">
        <f>SUM(C28:C31,C46:C47)</f>
        <v>5029106.5427876366</v>
      </c>
      <c r="K30" s="183"/>
      <c r="L30" s="153"/>
    </row>
    <row r="31" spans="1:14">
      <c r="A31" s="138"/>
      <c r="B31" s="159" t="s">
        <v>168</v>
      </c>
      <c r="C31" s="178">
        <f>SUM(BoM!L18:L20)*K2</f>
        <v>309543.05597551743</v>
      </c>
      <c r="D31" s="179"/>
      <c r="E31" s="180">
        <f t="shared" si="2"/>
        <v>309543.05597551743</v>
      </c>
      <c r="F31" s="179"/>
      <c r="G31" s="180">
        <f t="shared" si="3"/>
        <v>309543.05597551743</v>
      </c>
      <c r="H31" s="179"/>
      <c r="I31" s="138"/>
    </row>
    <row r="32" spans="1:14">
      <c r="A32" s="184">
        <v>0</v>
      </c>
      <c r="B32" s="162" t="s">
        <v>175</v>
      </c>
      <c r="C32" s="160">
        <f>(C24-C15)*$A$32</f>
        <v>0</v>
      </c>
      <c r="D32" s="179"/>
      <c r="E32" s="160">
        <f>(E24-E15)*$A$32</f>
        <v>0</v>
      </c>
      <c r="F32" s="179"/>
      <c r="G32" s="160">
        <f>(G24-G15)*$A$32</f>
        <v>0</v>
      </c>
      <c r="H32" s="179"/>
      <c r="I32" s="185"/>
    </row>
    <row r="33" spans="1:14">
      <c r="A33" s="168"/>
      <c r="B33" s="164" t="s">
        <v>176</v>
      </c>
      <c r="C33" s="165">
        <f>SUM(C26:C32)</f>
        <v>1828312.304602315</v>
      </c>
      <c r="D33" s="166"/>
      <c r="E33" s="167">
        <f>SUM(E26:E32)</f>
        <v>1828312.304602315</v>
      </c>
      <c r="F33" s="166"/>
      <c r="G33" s="167">
        <f>SUM(G26:G32)</f>
        <v>1828312.304602315</v>
      </c>
      <c r="H33" s="166"/>
      <c r="I33" s="186"/>
      <c r="J33" s="187"/>
    </row>
    <row r="34" spans="1:14">
      <c r="A34" s="138"/>
      <c r="B34" s="188" t="s">
        <v>177</v>
      </c>
      <c r="C34" s="155">
        <f>C24-C33</f>
        <v>8476291.5309241172</v>
      </c>
      <c r="D34" s="189"/>
      <c r="E34" s="190">
        <f>E24-E33</f>
        <v>7445831.1473714756</v>
      </c>
      <c r="F34" s="189"/>
      <c r="G34" s="190">
        <f>G24-G33</f>
        <v>6930600.9555951534</v>
      </c>
      <c r="H34" s="189"/>
      <c r="I34" s="138"/>
    </row>
    <row r="35" spans="1:14" s="176" customFormat="1">
      <c r="A35" s="191"/>
      <c r="B35" s="192" t="s">
        <v>178</v>
      </c>
      <c r="C35" s="193">
        <f>(C33+C44+C45-C32)*D35</f>
        <v>1760187.2899756727</v>
      </c>
      <c r="D35" s="194">
        <v>0.35</v>
      </c>
      <c r="E35" s="193">
        <f>(E33+E44+E45-E32)*F35</f>
        <v>1760187.2899756727</v>
      </c>
      <c r="F35" s="194">
        <v>0.35</v>
      </c>
      <c r="G35" s="193">
        <f>(G33+G44+G45-G32)*H35</f>
        <v>1760187.2899756727</v>
      </c>
      <c r="H35" s="194">
        <v>0.35</v>
      </c>
      <c r="I35" s="191"/>
      <c r="J35" s="187"/>
      <c r="L35"/>
      <c r="M35"/>
      <c r="N35"/>
    </row>
    <row r="36" spans="1:14" ht="15" thickBot="1">
      <c r="A36" s="138"/>
      <c r="B36" s="195" t="s">
        <v>179</v>
      </c>
      <c r="C36" s="196">
        <f>C34-C35</f>
        <v>6716104.2409484442</v>
      </c>
      <c r="D36" s="197">
        <f>C36/C24</f>
        <v>0.65175763650358109</v>
      </c>
      <c r="E36" s="196">
        <f>E34-E35</f>
        <v>5685643.8573958026</v>
      </c>
      <c r="F36" s="197">
        <f>E36/E24</f>
        <v>0.61306404055953467</v>
      </c>
      <c r="G36" s="196">
        <f>G34-G35</f>
        <v>5170413.6656194804</v>
      </c>
      <c r="H36" s="197">
        <f>G36/G24</f>
        <v>0.59030310176891898</v>
      </c>
      <c r="I36" s="198"/>
    </row>
    <row r="37" spans="1:14" ht="15" thickTop="1">
      <c r="A37" s="138"/>
      <c r="B37" s="162"/>
      <c r="C37" s="199"/>
      <c r="D37" s="200"/>
      <c r="E37" s="190"/>
      <c r="F37" s="200"/>
      <c r="G37" s="190"/>
      <c r="H37" s="200"/>
      <c r="I37" s="138"/>
    </row>
    <row r="38" spans="1:14">
      <c r="A38" s="138"/>
      <c r="B38" s="201" t="s">
        <v>180</v>
      </c>
      <c r="C38" s="160">
        <f>(((C16+C17+C15+C18)-(C28+C26+C27)*(1+D35))-(C44+C45)*D35-(C32*(1+D35)*D15))</f>
        <v>6182566.0742077017</v>
      </c>
      <c r="D38" s="202">
        <f>C38/SUM(C15:C18)</f>
        <v>0.68085406941985349</v>
      </c>
      <c r="E38" s="160">
        <f>(((E16+E17+E15+E18)-(E28+E26+E27)*(1+F35))-(E44+E45)*F35-(E32*(1+F35)*F15))</f>
        <v>5274505.6906550573</v>
      </c>
      <c r="F38" s="202">
        <f>E38/SUM(E15:E18)</f>
        <v>0.64539341046650367</v>
      </c>
      <c r="G38" s="160">
        <f>(((G16+G17+G15+G18)-(G28+G26+G27)*(1+H35))-(G44+G45)*H35-(G32*(1+H35)*H15))</f>
        <v>4820475.498878737</v>
      </c>
      <c r="H38" s="202">
        <f>G38/SUM(G15:G18)</f>
        <v>0.62453419931747467</v>
      </c>
      <c r="I38" s="203"/>
    </row>
    <row r="39" spans="1:14">
      <c r="A39" s="138"/>
      <c r="B39" s="201" t="s">
        <v>181</v>
      </c>
      <c r="C39" s="160">
        <f>(((C20+C21)-(C29+C30)*(1+D35)-(C32*(1+D35)*D19)))</f>
        <v>267421.29230769229</v>
      </c>
      <c r="D39" s="202">
        <f>IFERROR(C39/(C20+C21),0)</f>
        <v>0.49522461538461537</v>
      </c>
      <c r="E39" s="160">
        <f>(((E20+E21)-(E29+E30)*(1+F35)-(E32*(1+F35)*F19)))</f>
        <v>213421.29230769229</v>
      </c>
      <c r="F39" s="202">
        <f>IFERROR(E39/(E20+E21),0)</f>
        <v>0.43913846153846148</v>
      </c>
      <c r="G39" s="160">
        <f>(((G20+G21)-(G29+G30)*(1+H35)-(G32*(1+H35)*H19)))</f>
        <v>186421.29230769229</v>
      </c>
      <c r="H39" s="202">
        <f>IFERROR(G39/(G20+G21),0)</f>
        <v>0.40614660633484156</v>
      </c>
      <c r="I39" s="146"/>
    </row>
    <row r="40" spans="1:14">
      <c r="A40" s="138"/>
      <c r="B40" s="201" t="s">
        <v>182</v>
      </c>
      <c r="C40" s="160">
        <f>((C23-C31*(1+D35)-(C32*(1+D35)*D22)))</f>
        <v>266116.87443305145</v>
      </c>
      <c r="D40" s="202">
        <f>C40/C23</f>
        <v>0.38905975794305769</v>
      </c>
      <c r="E40" s="160">
        <f>((E23-E31*(1+F35)-(E32*(1+F35)*F22)))</f>
        <v>197716.87443305145</v>
      </c>
      <c r="F40" s="202">
        <f>E40/E23</f>
        <v>0.32117750882561963</v>
      </c>
      <c r="G40" s="160">
        <f>((G23-G31*(1+H35)-(G32*(1+H35)*H22)))</f>
        <v>163516.87443305145</v>
      </c>
      <c r="H40" s="202">
        <f>G40/G23</f>
        <v>0.28124677405065607</v>
      </c>
      <c r="I40" s="138"/>
    </row>
    <row r="41" spans="1:14">
      <c r="A41" s="138"/>
      <c r="B41" s="188"/>
      <c r="C41" s="155"/>
      <c r="D41" s="200"/>
      <c r="E41" s="190"/>
      <c r="F41" s="200"/>
      <c r="G41" s="190"/>
      <c r="H41" s="200"/>
      <c r="I41" s="138"/>
    </row>
    <row r="42" spans="1:14" ht="28.8">
      <c r="A42" s="204"/>
      <c r="B42" s="192" t="s">
        <v>183</v>
      </c>
      <c r="C42" s="193">
        <f>-IF('Cash Flow'!AM17&lt;0,'Cash Flow'!AM17,0)</f>
        <v>0</v>
      </c>
      <c r="D42" s="179"/>
      <c r="E42" s="205">
        <f>-IF('Cash Flow'!AM34&lt;0,'Cash Flow'!AM34,0)</f>
        <v>69923.995043666728</v>
      </c>
      <c r="F42" s="206"/>
      <c r="G42" s="205">
        <f>-IF('Cash Flow'!AM52&lt;0,'Cash Flow'!AM52,0)</f>
        <v>163782.7184652604</v>
      </c>
      <c r="H42" s="206"/>
      <c r="I42" s="138"/>
    </row>
    <row r="43" spans="1:14" ht="28.8">
      <c r="A43" s="204">
        <v>30</v>
      </c>
      <c r="B43" s="192" t="s">
        <v>184</v>
      </c>
      <c r="C43" s="193">
        <f>(C24-C15-C19-C22)*$A43/365*4%</f>
        <v>33359.635129481394</v>
      </c>
      <c r="D43" s="179"/>
      <c r="E43" s="193">
        <f>(C24-C15-C19-C22)*$A43/365*4%</f>
        <v>33359.635129481394</v>
      </c>
      <c r="F43" s="206"/>
      <c r="G43" s="193">
        <f>(C24-C15-C19-C22)*$A43/365*4%</f>
        <v>33359.635129481394</v>
      </c>
      <c r="H43" s="206"/>
      <c r="I43" s="138"/>
      <c r="K43" s="207" t="s">
        <v>221</v>
      </c>
    </row>
    <row r="44" spans="1:14" ht="28.8">
      <c r="B44" s="162" t="s">
        <v>185</v>
      </c>
      <c r="C44" s="160">
        <f>C46*80%</f>
        <v>2384750.0918723778</v>
      </c>
      <c r="D44" s="179"/>
      <c r="E44" s="180">
        <f>E46*80%</f>
        <v>2384750.0918723778</v>
      </c>
      <c r="F44" s="179"/>
      <c r="G44" s="180">
        <f>G46*80%</f>
        <v>2384750.0918723778</v>
      </c>
      <c r="H44" s="179"/>
      <c r="I44" s="138"/>
    </row>
    <row r="45" spans="1:14" ht="28.8">
      <c r="A45" s="177"/>
      <c r="B45" s="162" t="s">
        <v>186</v>
      </c>
      <c r="C45" s="160">
        <f>C47*90%</f>
        <v>816044.14631294389</v>
      </c>
      <c r="D45" s="179"/>
      <c r="E45" s="180">
        <f>E47*90%</f>
        <v>816044.14631294389</v>
      </c>
      <c r="F45" s="179"/>
      <c r="G45" s="180">
        <f>G47*90%</f>
        <v>816044.14631294389</v>
      </c>
      <c r="H45" s="179"/>
      <c r="I45" s="138"/>
    </row>
    <row r="46" spans="1:14">
      <c r="A46" s="177"/>
      <c r="B46" s="159" t="s">
        <v>187</v>
      </c>
      <c r="C46" s="178">
        <f>SUM(BoM!L4)*K2</f>
        <v>2980937.6148404721</v>
      </c>
      <c r="D46" s="179"/>
      <c r="E46" s="178">
        <f>C46</f>
        <v>2980937.6148404721</v>
      </c>
      <c r="F46" s="179"/>
      <c r="G46" s="178">
        <f>E46</f>
        <v>2980937.6148404721</v>
      </c>
      <c r="H46" s="179"/>
      <c r="I46" s="138"/>
    </row>
    <row r="47" spans="1:14">
      <c r="A47" s="177"/>
      <c r="B47" s="159" t="s">
        <v>188</v>
      </c>
      <c r="C47" s="178">
        <f>SUM(BoM!L13)*K2</f>
        <v>906715.71812549315</v>
      </c>
      <c r="D47" s="179"/>
      <c r="E47" s="178">
        <f t="shared" ref="E47" si="4">C47</f>
        <v>906715.71812549315</v>
      </c>
      <c r="F47" s="179"/>
      <c r="G47" s="178">
        <f t="shared" ref="G47" si="5">E47</f>
        <v>906715.71812549315</v>
      </c>
      <c r="H47" s="179"/>
      <c r="I47" s="138"/>
    </row>
    <row r="48" spans="1:14">
      <c r="A48" s="177"/>
      <c r="B48" s="162" t="s">
        <v>189</v>
      </c>
      <c r="C48" s="160">
        <f>SUM(C44+C45)</f>
        <v>3200794.2381853219</v>
      </c>
      <c r="D48" s="179"/>
      <c r="E48" s="180">
        <f>SUM(E44+E45)</f>
        <v>3200794.2381853219</v>
      </c>
      <c r="F48" s="179"/>
      <c r="G48" s="180">
        <f>SUM(G44+G45)</f>
        <v>3200794.2381853219</v>
      </c>
      <c r="H48" s="179"/>
      <c r="I48" s="138"/>
    </row>
    <row r="49" spans="1:10" ht="28.8">
      <c r="A49" s="138"/>
      <c r="B49" s="208" t="s">
        <v>190</v>
      </c>
      <c r="C49" s="155">
        <f>C36-C42-C44-C45-C43</f>
        <v>3481950.3676336417</v>
      </c>
      <c r="D49" s="189"/>
      <c r="E49" s="155">
        <f>E36-E42-E44-E45-E43</f>
        <v>2381565.9890373321</v>
      </c>
      <c r="F49" s="189"/>
      <c r="G49" s="155">
        <f>G36-G42-G44-G45-G43</f>
        <v>1772477.0738394172</v>
      </c>
      <c r="H49" s="189"/>
      <c r="I49" s="138"/>
    </row>
    <row r="50" spans="1:10" ht="15" thickBot="1">
      <c r="A50" s="138"/>
      <c r="B50" s="209" t="s">
        <v>191</v>
      </c>
      <c r="C50" s="196">
        <f>C49</f>
        <v>3481950.3676336417</v>
      </c>
      <c r="D50" s="210">
        <f>C49/C24</f>
        <v>0.33790240005434996</v>
      </c>
      <c r="E50" s="211">
        <f>E49</f>
        <v>2381565.9890373321</v>
      </c>
      <c r="F50" s="210">
        <f>E49/E24</f>
        <v>0.25679632856341789</v>
      </c>
      <c r="G50" s="211">
        <f>G49</f>
        <v>1772477.0738394172</v>
      </c>
      <c r="H50" s="210">
        <f>G49/G24</f>
        <v>0.20236267002368477</v>
      </c>
      <c r="I50" s="138"/>
      <c r="J50" s="153"/>
    </row>
    <row r="51" spans="1:10" ht="15" thickTop="1">
      <c r="A51" s="138"/>
      <c r="B51" s="208"/>
      <c r="C51" s="155"/>
      <c r="D51" s="212"/>
      <c r="E51" s="171"/>
      <c r="F51" s="212"/>
      <c r="G51" s="171"/>
      <c r="H51" s="212"/>
      <c r="I51" s="138"/>
    </row>
    <row r="52" spans="1:10">
      <c r="A52" s="138"/>
      <c r="B52" s="213" t="s">
        <v>192</v>
      </c>
      <c r="C52" s="214"/>
      <c r="D52" s="215"/>
      <c r="E52" s="216"/>
      <c r="F52" s="215"/>
      <c r="G52" s="216"/>
      <c r="H52" s="215"/>
      <c r="I52" s="138"/>
    </row>
    <row r="53" spans="1:10">
      <c r="A53" s="138"/>
      <c r="B53" s="213" t="s">
        <v>193</v>
      </c>
      <c r="C53" s="160">
        <f>(((((C16+C17+C15+C18)-(C28+C26+C27)*(1+D35))-(C44+C45)*(1+D35))-C42*D15))-C32*135%*D15</f>
        <v>2981771.8360223789</v>
      </c>
      <c r="D53" s="215">
        <f>C53/SUM(C15:C18)</f>
        <v>0.32836713174917576</v>
      </c>
      <c r="E53" s="160">
        <f>(((((E16+E17+E15+E18)-(E28+E26+E27)*(1+F35))-(E44+E45)*(1+F35))-E42*F15))-E32*135%*F15</f>
        <v>2012093.159547131</v>
      </c>
      <c r="F53" s="215">
        <f>E53/SUM(E15:E18)</f>
        <v>0.24620158600211306</v>
      </c>
      <c r="G53" s="160">
        <f>(((((G16+G17+G15+G18)-(G28+G26+G27)*(1+H35))-(G44+G45)*(1+H35))-G42*H15))-G32*135%*H15</f>
        <v>1475352.9580020364</v>
      </c>
      <c r="H53" s="215">
        <f>G53/SUM(G15:G18)</f>
        <v>0.19114470731171504</v>
      </c>
      <c r="I53" s="217"/>
    </row>
    <row r="54" spans="1:10">
      <c r="A54" s="138"/>
      <c r="B54" s="213" t="s">
        <v>165</v>
      </c>
      <c r="C54" s="160">
        <f>(((C20+C21)-(C29+C30)*(1+D35))-C42*D19)-C32*135%*D19</f>
        <v>267421.29230769229</v>
      </c>
      <c r="D54" s="215">
        <f>IFERROR(C54/(C20+C21),0)</f>
        <v>0.49522461538461537</v>
      </c>
      <c r="E54" s="160">
        <f>(((E20+E21)-(E29+E30)*(1+F35))-E42*F19)-E32*135%*F19</f>
        <v>209757.01196016441</v>
      </c>
      <c r="F54" s="215">
        <f>IFERROR(E54/(E20+E21),0)</f>
        <v>0.43159879004149054</v>
      </c>
      <c r="G54" s="160">
        <f>(((G20+G21)-(G29+G30)*(1+H35))-G42*H19)-G32*135%*H19</f>
        <v>177838.46181921457</v>
      </c>
      <c r="H54" s="215">
        <f>IFERROR(G54/(G20+G21),0)</f>
        <v>0.38744762923576159</v>
      </c>
      <c r="I54" s="217"/>
    </row>
    <row r="55" spans="1:10" ht="15" thickBot="1">
      <c r="A55" s="138"/>
      <c r="B55" s="218" t="s">
        <v>169</v>
      </c>
      <c r="C55" s="219">
        <f>(C23-C31*(1+D35)-C42*D22)-C32*135%*D22</f>
        <v>266116.87443305145</v>
      </c>
      <c r="D55" s="220">
        <f>C55/C23</f>
        <v>0.38905975794305769</v>
      </c>
      <c r="E55" s="219">
        <f>(E23-E31*(1+F35)-E42*F22)-E32*135%*F22</f>
        <v>193075.45265951613</v>
      </c>
      <c r="F55" s="220">
        <f>E55/E23</f>
        <v>0.31363783732864869</v>
      </c>
      <c r="G55" s="219">
        <f>(G23-G31*(1+H35)-G42*H22)-G32*135%*H22</f>
        <v>152645.28914764634</v>
      </c>
      <c r="H55" s="220">
        <f>G55/G23</f>
        <v>0.2625477969515761</v>
      </c>
      <c r="I55" s="217"/>
    </row>
    <row r="56" spans="1:10">
      <c r="A56" s="138"/>
      <c r="B56" s="221"/>
      <c r="C56" s="222"/>
      <c r="D56" s="223"/>
      <c r="E56" s="222"/>
      <c r="F56" s="224"/>
      <c r="G56" s="222"/>
      <c r="H56" s="224"/>
      <c r="I56" s="217"/>
    </row>
    <row r="57" spans="1:10">
      <c r="A57" s="138"/>
      <c r="B57" s="225"/>
      <c r="C57" s="226"/>
      <c r="D57" s="227"/>
      <c r="E57" s="226"/>
      <c r="F57" s="228"/>
      <c r="G57" s="226"/>
      <c r="H57" s="228"/>
      <c r="I57" s="229"/>
    </row>
    <row r="58" spans="1:10">
      <c r="A58" s="138"/>
      <c r="B58" s="230" t="s">
        <v>194</v>
      </c>
      <c r="C58" s="231">
        <f>C34/C24</f>
        <v>0.82257325620816435</v>
      </c>
      <c r="D58" s="227"/>
      <c r="E58" s="231">
        <f>E34/E24</f>
        <v>0.8028591735646271</v>
      </c>
      <c r="F58" s="228"/>
      <c r="G58" s="231">
        <f>G34/G24</f>
        <v>0.79126265436254639</v>
      </c>
      <c r="H58" s="228"/>
      <c r="I58" s="217"/>
    </row>
    <row r="59" spans="1:10">
      <c r="A59" s="138"/>
      <c r="B59" s="230" t="s">
        <v>195</v>
      </c>
      <c r="C59" s="232">
        <f>C50/C24</f>
        <v>0.33790240005434996</v>
      </c>
      <c r="D59" s="233"/>
      <c r="E59" s="232">
        <f>E50/E24</f>
        <v>0.25679632856341789</v>
      </c>
      <c r="F59" s="233"/>
      <c r="G59" s="232">
        <f>G50/G24</f>
        <v>0.20236267002368477</v>
      </c>
      <c r="H59" s="228"/>
      <c r="I59" s="234"/>
    </row>
    <row r="60" spans="1:10">
      <c r="A60" s="138"/>
      <c r="B60" s="230" t="s">
        <v>196</v>
      </c>
      <c r="C60" s="235">
        <f>(C24-C33)/C33</f>
        <v>4.6361289094796287</v>
      </c>
      <c r="D60" s="227"/>
      <c r="E60" s="235">
        <f>(E24-E33)/E33</f>
        <v>4.0725160185316671</v>
      </c>
      <c r="F60" s="228"/>
      <c r="G60" s="235">
        <f>(G24-G33)/G33</f>
        <v>3.790709573057685</v>
      </c>
      <c r="H60" s="228"/>
      <c r="I60" s="217"/>
    </row>
    <row r="61" spans="1:10">
      <c r="A61" s="138"/>
      <c r="B61" s="225"/>
      <c r="C61" s="236"/>
      <c r="D61" s="227"/>
      <c r="E61" s="226"/>
      <c r="F61" s="228"/>
      <c r="G61" s="226"/>
      <c r="H61" s="228"/>
      <c r="I61" s="217"/>
    </row>
    <row r="62" spans="1:10">
      <c r="A62" s="138"/>
      <c r="B62" s="225"/>
      <c r="C62" s="236"/>
      <c r="D62" s="227"/>
      <c r="E62" s="226"/>
      <c r="F62" s="228"/>
      <c r="G62" s="226"/>
      <c r="H62" s="228"/>
      <c r="I62" s="217"/>
    </row>
    <row r="63" spans="1:10">
      <c r="A63" s="138"/>
      <c r="B63" s="225"/>
      <c r="C63" s="226"/>
      <c r="D63" s="227"/>
      <c r="E63" s="226"/>
      <c r="F63" s="228"/>
      <c r="G63" s="226"/>
      <c r="H63" s="228"/>
      <c r="I63" s="217"/>
    </row>
    <row r="64" spans="1:10">
      <c r="A64" s="138"/>
      <c r="B64" s="225"/>
      <c r="C64" s="226"/>
      <c r="D64" s="227"/>
      <c r="E64" s="226"/>
      <c r="F64" s="228"/>
      <c r="G64" s="226"/>
      <c r="H64" s="228"/>
      <c r="I64" s="217"/>
    </row>
    <row r="65" spans="1:9" ht="15" thickBot="1">
      <c r="A65" s="138"/>
      <c r="B65" s="237"/>
      <c r="C65" s="238"/>
      <c r="D65" s="238"/>
      <c r="E65" s="238"/>
      <c r="F65" s="238"/>
      <c r="G65" s="238"/>
      <c r="H65" s="238"/>
      <c r="I65" s="138"/>
    </row>
    <row r="66" spans="1:9" ht="43.2">
      <c r="A66" s="138"/>
      <c r="B66" s="239" t="s">
        <v>197</v>
      </c>
      <c r="C66" s="240">
        <f>(C24-C33)/C33</f>
        <v>4.6361289094796287</v>
      </c>
      <c r="D66" s="240"/>
      <c r="E66" s="240">
        <f>(E24-E33)/E33</f>
        <v>4.0725160185316671</v>
      </c>
      <c r="F66" s="240"/>
      <c r="G66" s="240">
        <f>(G24-G33)/G33</f>
        <v>3.790709573057685</v>
      </c>
      <c r="H66" s="240"/>
      <c r="I66" s="138"/>
    </row>
    <row r="67" spans="1:9" ht="58.2" thickBot="1">
      <c r="A67" s="138"/>
      <c r="B67" s="241" t="s">
        <v>198</v>
      </c>
      <c r="C67" s="242">
        <f>(C24-C33)/C24</f>
        <v>0.82257325620816435</v>
      </c>
      <c r="D67" s="242"/>
      <c r="E67" s="242">
        <f>(E24-E33)/E24</f>
        <v>0.8028591735646271</v>
      </c>
      <c r="F67" s="242"/>
      <c r="G67" s="242">
        <f>(G24-G33)/G24</f>
        <v>0.79126265436254639</v>
      </c>
      <c r="H67" s="242"/>
      <c r="I67" s="138"/>
    </row>
    <row r="68" spans="1:9">
      <c r="A68" s="138"/>
      <c r="B68" s="138"/>
      <c r="C68" s="243"/>
      <c r="D68" s="244"/>
      <c r="E68" s="139"/>
      <c r="F68" s="139"/>
      <c r="G68" s="139"/>
      <c r="H68" s="139"/>
      <c r="I68" s="138"/>
    </row>
    <row r="69" spans="1:9">
      <c r="A69" s="138"/>
      <c r="B69" s="138"/>
      <c r="C69" s="243"/>
      <c r="D69" s="244"/>
      <c r="E69" s="139"/>
      <c r="F69" s="139"/>
      <c r="G69" s="139"/>
      <c r="H69" s="139"/>
      <c r="I69" s="138"/>
    </row>
    <row r="70" spans="1:9">
      <c r="A70" s="138"/>
      <c r="B70" s="138"/>
      <c r="C70" s="243"/>
      <c r="D70" s="244"/>
      <c r="E70" s="139"/>
      <c r="F70" s="139"/>
      <c r="G70" s="139"/>
      <c r="H70" s="139"/>
      <c r="I70" s="138"/>
    </row>
    <row r="71" spans="1:9">
      <c r="A71" s="138"/>
      <c r="B71" s="138"/>
      <c r="C71" s="243"/>
      <c r="D71" s="244"/>
      <c r="E71" s="243"/>
      <c r="F71" s="139"/>
      <c r="G71" s="243"/>
      <c r="H71" s="139"/>
      <c r="I71" s="138"/>
    </row>
    <row r="72" spans="1:9">
      <c r="A72" s="138"/>
      <c r="B72" s="138"/>
      <c r="C72" s="243"/>
      <c r="D72" s="244"/>
      <c r="E72" s="139"/>
      <c r="F72" s="139"/>
      <c r="G72" s="139"/>
      <c r="H72" s="139"/>
      <c r="I72" s="138"/>
    </row>
    <row r="73" spans="1:9">
      <c r="A73" s="138"/>
      <c r="B73" s="138"/>
      <c r="C73" s="243"/>
      <c r="D73" s="244"/>
      <c r="E73" s="139"/>
      <c r="F73" s="139"/>
      <c r="G73" s="139"/>
      <c r="H73" s="139"/>
      <c r="I73" s="138"/>
    </row>
    <row r="74" spans="1:9" ht="28.8">
      <c r="A74" s="138"/>
      <c r="B74" s="138" t="s">
        <v>199</v>
      </c>
      <c r="C74" s="245"/>
      <c r="D74" s="246"/>
      <c r="E74" s="139"/>
      <c r="F74" s="139"/>
      <c r="G74" s="139"/>
      <c r="H74" s="139"/>
      <c r="I74" s="138"/>
    </row>
    <row r="75" spans="1:9" ht="28.8">
      <c r="A75" s="138"/>
      <c r="B75" s="138" t="s">
        <v>200</v>
      </c>
      <c r="C75" s="227"/>
      <c r="D75" s="227"/>
      <c r="E75" s="227"/>
      <c r="F75" s="227"/>
      <c r="G75" s="227"/>
      <c r="H75" s="227"/>
      <c r="I75" s="138"/>
    </row>
    <row r="76" spans="1:9" ht="57.6">
      <c r="A76" s="138"/>
      <c r="B76" s="138" t="s">
        <v>201</v>
      </c>
      <c r="C76" s="247"/>
      <c r="D76" s="247"/>
      <c r="E76" s="247"/>
      <c r="F76" s="247"/>
      <c r="G76" s="247"/>
      <c r="H76" s="247"/>
      <c r="I76" s="138"/>
    </row>
    <row r="77" spans="1:9">
      <c r="A77" s="138"/>
      <c r="B77" s="138" t="s">
        <v>202</v>
      </c>
      <c r="C77" s="139"/>
      <c r="D77" s="139"/>
      <c r="E77" s="139"/>
      <c r="F77" s="139"/>
      <c r="G77" s="139"/>
      <c r="H77" s="139"/>
      <c r="I77" s="138"/>
    </row>
    <row r="78" spans="1:9">
      <c r="A78" s="138"/>
      <c r="B78" s="138" t="s">
        <v>203</v>
      </c>
      <c r="C78" s="139"/>
      <c r="D78" s="139"/>
      <c r="E78" s="139"/>
      <c r="F78" s="139"/>
      <c r="G78" s="139"/>
      <c r="H78" s="139"/>
      <c r="I78" s="138"/>
    </row>
    <row r="79" spans="1:9">
      <c r="A79" s="138"/>
      <c r="B79" s="138"/>
      <c r="C79" s="139"/>
      <c r="D79" s="139"/>
      <c r="E79" s="139"/>
      <c r="F79" s="139"/>
      <c r="G79" s="139"/>
      <c r="H79" s="139"/>
      <c r="I79" s="138"/>
    </row>
    <row r="80" spans="1:9">
      <c r="A80" s="138"/>
      <c r="B80" s="138"/>
      <c r="C80" s="139"/>
      <c r="D80" s="139"/>
      <c r="E80" s="139"/>
      <c r="F80" s="139"/>
      <c r="G80" s="139"/>
      <c r="H80" s="139"/>
      <c r="I80" s="138"/>
    </row>
  </sheetData>
  <mergeCells count="22">
    <mergeCell ref="B8:H8"/>
    <mergeCell ref="C9:D9"/>
    <mergeCell ref="E9:F9"/>
    <mergeCell ref="G9:H9"/>
    <mergeCell ref="C10:D10"/>
    <mergeCell ref="E10:F10"/>
    <mergeCell ref="G10:H10"/>
    <mergeCell ref="C11:D11"/>
    <mergeCell ref="E11:F11"/>
    <mergeCell ref="G11:H11"/>
    <mergeCell ref="C12:D12"/>
    <mergeCell ref="E12:F12"/>
    <mergeCell ref="G12:H12"/>
    <mergeCell ref="D22:D23"/>
    <mergeCell ref="F22:F23"/>
    <mergeCell ref="H22:H23"/>
    <mergeCell ref="D15:D18"/>
    <mergeCell ref="F15:F18"/>
    <mergeCell ref="H15:H18"/>
    <mergeCell ref="D19:D21"/>
    <mergeCell ref="F19:F21"/>
    <mergeCell ref="H19:H2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CB239-23FA-4302-8828-42797024E27D}">
  <dimension ref="B3:AN57"/>
  <sheetViews>
    <sheetView topLeftCell="AG29" workbookViewId="0">
      <selection activeCell="AM52" sqref="AM52"/>
    </sheetView>
  </sheetViews>
  <sheetFormatPr defaultRowHeight="14.4"/>
  <cols>
    <col min="2" max="2" width="20.109375" bestFit="1" customWidth="1"/>
    <col min="3" max="3" width="10.5546875" bestFit="1" customWidth="1"/>
    <col min="4" max="6" width="11.33203125" bestFit="1" customWidth="1"/>
    <col min="7" max="38" width="12.109375" bestFit="1" customWidth="1"/>
    <col min="39" max="39" width="13.6640625" bestFit="1" customWidth="1"/>
    <col min="40" max="40" width="11.5546875" bestFit="1" customWidth="1"/>
  </cols>
  <sheetData>
    <row r="3" spans="2:40">
      <c r="B3" t="s">
        <v>206</v>
      </c>
    </row>
    <row r="5" spans="2:40" ht="15" thickBot="1">
      <c r="B5" s="250" t="s">
        <v>207</v>
      </c>
      <c r="C5" s="251">
        <v>1</v>
      </c>
      <c r="D5" s="251">
        <f>C5+1</f>
        <v>2</v>
      </c>
      <c r="E5" s="251">
        <f t="shared" ref="E5:AL5" si="0">D5+1</f>
        <v>3</v>
      </c>
      <c r="F5" s="251">
        <f t="shared" si="0"/>
        <v>4</v>
      </c>
      <c r="G5" s="251">
        <f t="shared" si="0"/>
        <v>5</v>
      </c>
      <c r="H5" s="251">
        <f t="shared" si="0"/>
        <v>6</v>
      </c>
      <c r="I5" s="251">
        <f t="shared" si="0"/>
        <v>7</v>
      </c>
      <c r="J5" s="251">
        <f t="shared" si="0"/>
        <v>8</v>
      </c>
      <c r="K5" s="251">
        <f t="shared" si="0"/>
        <v>9</v>
      </c>
      <c r="L5" s="251">
        <f t="shared" si="0"/>
        <v>10</v>
      </c>
      <c r="M5" s="251">
        <f t="shared" si="0"/>
        <v>11</v>
      </c>
      <c r="N5" s="251">
        <f t="shared" si="0"/>
        <v>12</v>
      </c>
      <c r="O5" s="251">
        <f t="shared" si="0"/>
        <v>13</v>
      </c>
      <c r="P5" s="251">
        <f t="shared" si="0"/>
        <v>14</v>
      </c>
      <c r="Q5" s="251">
        <f t="shared" si="0"/>
        <v>15</v>
      </c>
      <c r="R5" s="251">
        <f t="shared" si="0"/>
        <v>16</v>
      </c>
      <c r="S5" s="251">
        <f t="shared" si="0"/>
        <v>17</v>
      </c>
      <c r="T5" s="251">
        <f t="shared" si="0"/>
        <v>18</v>
      </c>
      <c r="U5" s="251">
        <f t="shared" si="0"/>
        <v>19</v>
      </c>
      <c r="V5" s="251">
        <f t="shared" si="0"/>
        <v>20</v>
      </c>
      <c r="W5" s="251">
        <f t="shared" si="0"/>
        <v>21</v>
      </c>
      <c r="X5" s="251">
        <f t="shared" si="0"/>
        <v>22</v>
      </c>
      <c r="Y5" s="251">
        <f t="shared" si="0"/>
        <v>23</v>
      </c>
      <c r="Z5" s="251">
        <f t="shared" si="0"/>
        <v>24</v>
      </c>
      <c r="AA5" s="251">
        <f t="shared" si="0"/>
        <v>25</v>
      </c>
      <c r="AB5" s="251">
        <f t="shared" si="0"/>
        <v>26</v>
      </c>
      <c r="AC5" s="251">
        <f t="shared" si="0"/>
        <v>27</v>
      </c>
      <c r="AD5" s="251">
        <f t="shared" si="0"/>
        <v>28</v>
      </c>
      <c r="AE5" s="251">
        <f t="shared" si="0"/>
        <v>29</v>
      </c>
      <c r="AF5" s="251">
        <f t="shared" si="0"/>
        <v>30</v>
      </c>
      <c r="AG5" s="251">
        <f t="shared" si="0"/>
        <v>31</v>
      </c>
      <c r="AH5" s="251">
        <f t="shared" si="0"/>
        <v>32</v>
      </c>
      <c r="AI5" s="251">
        <f t="shared" si="0"/>
        <v>33</v>
      </c>
      <c r="AJ5" s="251">
        <f t="shared" si="0"/>
        <v>34</v>
      </c>
      <c r="AK5" s="251">
        <f t="shared" si="0"/>
        <v>35</v>
      </c>
      <c r="AL5" s="251">
        <f t="shared" si="0"/>
        <v>36</v>
      </c>
      <c r="AM5" s="251" t="s">
        <v>208</v>
      </c>
    </row>
    <row r="6" spans="2:40">
      <c r="B6" s="252" t="s">
        <v>209</v>
      </c>
      <c r="C6" s="253"/>
      <c r="D6" s="253"/>
      <c r="E6" s="253"/>
      <c r="F6" s="253"/>
      <c r="G6" s="253"/>
      <c r="H6" s="253"/>
      <c r="I6" s="253"/>
      <c r="J6" s="253"/>
      <c r="K6" s="253"/>
      <c r="L6" s="253"/>
      <c r="M6" s="253"/>
      <c r="N6" s="253"/>
      <c r="O6" s="253"/>
      <c r="P6" s="253"/>
      <c r="Q6" s="253"/>
      <c r="R6" s="253"/>
      <c r="S6" s="253"/>
      <c r="T6" s="253"/>
      <c r="U6" s="253"/>
      <c r="V6" s="253"/>
      <c r="W6" s="253"/>
      <c r="X6" s="253"/>
      <c r="Y6" s="253"/>
      <c r="Z6" s="253"/>
      <c r="AA6" s="253"/>
      <c r="AB6" s="253"/>
      <c r="AC6" s="253"/>
      <c r="AD6" s="253"/>
      <c r="AE6" s="253"/>
      <c r="AF6" s="253"/>
      <c r="AG6" s="253"/>
      <c r="AH6" s="253"/>
      <c r="AI6" s="253"/>
      <c r="AJ6" s="253"/>
      <c r="AK6" s="253"/>
      <c r="AL6" s="253"/>
      <c r="AM6" s="253"/>
    </row>
    <row r="7" spans="2:40">
      <c r="B7" s="254" t="s">
        <v>210</v>
      </c>
      <c r="C7" s="255">
        <f>(Profitability!C24-Profitability!C11)/Profitability!K2</f>
        <v>281858.02829307195</v>
      </c>
      <c r="D7" s="255">
        <f>C7</f>
        <v>281858.02829307195</v>
      </c>
      <c r="E7" s="255">
        <f t="shared" ref="E7:AL7" si="1">D7</f>
        <v>281858.02829307195</v>
      </c>
      <c r="F7" s="255">
        <f t="shared" si="1"/>
        <v>281858.02829307195</v>
      </c>
      <c r="G7" s="255">
        <f t="shared" si="1"/>
        <v>281858.02829307195</v>
      </c>
      <c r="H7" s="255">
        <f t="shared" si="1"/>
        <v>281858.02829307195</v>
      </c>
      <c r="I7" s="255">
        <f t="shared" si="1"/>
        <v>281858.02829307195</v>
      </c>
      <c r="J7" s="255">
        <f t="shared" si="1"/>
        <v>281858.02829307195</v>
      </c>
      <c r="K7" s="255">
        <f t="shared" si="1"/>
        <v>281858.02829307195</v>
      </c>
      <c r="L7" s="255">
        <f t="shared" si="1"/>
        <v>281858.02829307195</v>
      </c>
      <c r="M7" s="255">
        <f t="shared" si="1"/>
        <v>281858.02829307195</v>
      </c>
      <c r="N7" s="255">
        <f t="shared" si="1"/>
        <v>281858.02829307195</v>
      </c>
      <c r="O7" s="255">
        <f t="shared" si="1"/>
        <v>281858.02829307195</v>
      </c>
      <c r="P7" s="255">
        <f t="shared" si="1"/>
        <v>281858.02829307195</v>
      </c>
      <c r="Q7" s="255">
        <f t="shared" si="1"/>
        <v>281858.02829307195</v>
      </c>
      <c r="R7" s="255">
        <f t="shared" si="1"/>
        <v>281858.02829307195</v>
      </c>
      <c r="S7" s="255">
        <f t="shared" si="1"/>
        <v>281858.02829307195</v>
      </c>
      <c r="T7" s="255">
        <f t="shared" si="1"/>
        <v>281858.02829307195</v>
      </c>
      <c r="U7" s="255">
        <f t="shared" si="1"/>
        <v>281858.02829307195</v>
      </c>
      <c r="V7" s="255">
        <f t="shared" si="1"/>
        <v>281858.02829307195</v>
      </c>
      <c r="W7" s="255">
        <f t="shared" si="1"/>
        <v>281858.02829307195</v>
      </c>
      <c r="X7" s="255">
        <f t="shared" si="1"/>
        <v>281858.02829307195</v>
      </c>
      <c r="Y7" s="255">
        <f t="shared" si="1"/>
        <v>281858.02829307195</v>
      </c>
      <c r="Z7" s="255">
        <f t="shared" si="1"/>
        <v>281858.02829307195</v>
      </c>
      <c r="AA7" s="255">
        <f t="shared" si="1"/>
        <v>281858.02829307195</v>
      </c>
      <c r="AB7" s="255">
        <f t="shared" si="1"/>
        <v>281858.02829307195</v>
      </c>
      <c r="AC7" s="255">
        <f t="shared" si="1"/>
        <v>281858.02829307195</v>
      </c>
      <c r="AD7" s="255">
        <f t="shared" si="1"/>
        <v>281858.02829307195</v>
      </c>
      <c r="AE7" s="255">
        <f t="shared" si="1"/>
        <v>281858.02829307195</v>
      </c>
      <c r="AF7" s="255">
        <f t="shared" si="1"/>
        <v>281858.02829307195</v>
      </c>
      <c r="AG7" s="255">
        <f t="shared" si="1"/>
        <v>281858.02829307195</v>
      </c>
      <c r="AH7" s="255">
        <f t="shared" si="1"/>
        <v>281858.02829307195</v>
      </c>
      <c r="AI7" s="255">
        <f t="shared" si="1"/>
        <v>281858.02829307195</v>
      </c>
      <c r="AJ7" s="255">
        <f t="shared" si="1"/>
        <v>281858.02829307195</v>
      </c>
      <c r="AK7" s="255">
        <f t="shared" si="1"/>
        <v>281858.02829307195</v>
      </c>
      <c r="AL7" s="255">
        <f t="shared" si="1"/>
        <v>281858.02829307195</v>
      </c>
      <c r="AM7" s="255">
        <f>SUM(C7:AL7)</f>
        <v>10146889.01855059</v>
      </c>
    </row>
    <row r="8" spans="2:40">
      <c r="B8" s="254" t="s">
        <v>211</v>
      </c>
      <c r="C8" s="255">
        <f>Profitability!C15</f>
        <v>157714.81697584316</v>
      </c>
      <c r="D8" s="255">
        <v>0</v>
      </c>
      <c r="E8" s="255">
        <v>0</v>
      </c>
      <c r="F8" s="255">
        <v>0</v>
      </c>
      <c r="G8" s="255">
        <v>0</v>
      </c>
      <c r="H8" s="255">
        <v>0</v>
      </c>
      <c r="I8" s="255">
        <v>0</v>
      </c>
      <c r="J8" s="255">
        <v>0</v>
      </c>
      <c r="K8" s="255">
        <v>0</v>
      </c>
      <c r="L8" s="255">
        <v>0</v>
      </c>
      <c r="M8" s="255">
        <v>0</v>
      </c>
      <c r="N8" s="255">
        <v>0</v>
      </c>
      <c r="O8" s="255">
        <v>0</v>
      </c>
      <c r="P8" s="255">
        <v>0</v>
      </c>
      <c r="Q8" s="255">
        <v>0</v>
      </c>
      <c r="R8" s="255">
        <v>0</v>
      </c>
      <c r="S8" s="255">
        <v>0</v>
      </c>
      <c r="T8" s="255">
        <v>0</v>
      </c>
      <c r="U8" s="255">
        <v>0</v>
      </c>
      <c r="V8" s="255">
        <v>0</v>
      </c>
      <c r="W8" s="255">
        <v>0</v>
      </c>
      <c r="X8" s="255">
        <v>0</v>
      </c>
      <c r="Y8" s="255">
        <v>0</v>
      </c>
      <c r="Z8" s="255">
        <v>0</v>
      </c>
      <c r="AA8" s="255">
        <v>0</v>
      </c>
      <c r="AB8" s="255">
        <v>0</v>
      </c>
      <c r="AC8" s="255">
        <v>0</v>
      </c>
      <c r="AD8" s="255">
        <v>0</v>
      </c>
      <c r="AE8" s="255">
        <v>0</v>
      </c>
      <c r="AF8" s="255">
        <v>0</v>
      </c>
      <c r="AG8" s="255">
        <v>0</v>
      </c>
      <c r="AH8" s="255">
        <v>0</v>
      </c>
      <c r="AI8" s="255">
        <v>0</v>
      </c>
      <c r="AJ8" s="255">
        <v>0</v>
      </c>
      <c r="AK8" s="255">
        <v>0</v>
      </c>
      <c r="AL8" s="255">
        <v>0</v>
      </c>
      <c r="AM8" s="255">
        <f>SUM(C8:AL8)</f>
        <v>157714.81697584316</v>
      </c>
    </row>
    <row r="9" spans="2:40">
      <c r="B9" s="256" t="s">
        <v>212</v>
      </c>
      <c r="C9" s="257"/>
      <c r="D9" s="257"/>
      <c r="E9" s="257"/>
      <c r="F9" s="257"/>
      <c r="G9" s="257"/>
      <c r="H9" s="257"/>
      <c r="I9" s="257"/>
      <c r="J9" s="257"/>
      <c r="K9" s="257"/>
      <c r="L9" s="257"/>
      <c r="M9" s="257"/>
      <c r="N9" s="257"/>
      <c r="O9" s="257"/>
      <c r="P9" s="257"/>
      <c r="Q9" s="257"/>
      <c r="R9" s="257"/>
      <c r="S9" s="257"/>
      <c r="T9" s="257"/>
      <c r="U9" s="257"/>
      <c r="V9" s="257"/>
      <c r="W9" s="257"/>
      <c r="X9" s="257"/>
      <c r="Y9" s="257"/>
      <c r="Z9" s="257"/>
      <c r="AA9" s="257"/>
      <c r="AB9" s="257"/>
      <c r="AC9" s="257"/>
      <c r="AD9" s="257"/>
      <c r="AE9" s="257"/>
      <c r="AF9" s="257"/>
      <c r="AG9" s="257"/>
      <c r="AH9" s="257"/>
      <c r="AI9" s="257"/>
      <c r="AJ9" s="257"/>
      <c r="AK9" s="257"/>
      <c r="AL9" s="257"/>
      <c r="AM9" s="257"/>
    </row>
    <row r="10" spans="2:40">
      <c r="B10" s="254" t="s">
        <v>213</v>
      </c>
      <c r="C10" s="258">
        <f>-Profitability!C48</f>
        <v>-3200794.2381853219</v>
      </c>
      <c r="D10" s="255">
        <v>0</v>
      </c>
      <c r="E10" s="255">
        <v>0</v>
      </c>
      <c r="F10" s="255">
        <v>0</v>
      </c>
      <c r="G10" s="255">
        <v>0</v>
      </c>
      <c r="H10" s="255">
        <v>0</v>
      </c>
      <c r="I10" s="255">
        <v>0</v>
      </c>
      <c r="J10" s="255">
        <v>0</v>
      </c>
      <c r="K10" s="255">
        <v>0</v>
      </c>
      <c r="L10" s="255">
        <v>0</v>
      </c>
      <c r="M10" s="255">
        <v>0</v>
      </c>
      <c r="N10" s="255">
        <v>0</v>
      </c>
      <c r="O10" s="255">
        <v>0</v>
      </c>
      <c r="P10" s="255">
        <v>0</v>
      </c>
      <c r="Q10" s="255">
        <v>0</v>
      </c>
      <c r="R10" s="255">
        <v>0</v>
      </c>
      <c r="S10" s="255">
        <v>0</v>
      </c>
      <c r="T10" s="255">
        <v>0</v>
      </c>
      <c r="U10" s="255">
        <v>0</v>
      </c>
      <c r="V10" s="255">
        <v>0</v>
      </c>
      <c r="W10" s="255">
        <v>0</v>
      </c>
      <c r="X10" s="255">
        <v>0</v>
      </c>
      <c r="Y10" s="255">
        <v>0</v>
      </c>
      <c r="Z10" s="255">
        <v>0</v>
      </c>
      <c r="AA10" s="255">
        <v>0</v>
      </c>
      <c r="AB10" s="255">
        <v>0</v>
      </c>
      <c r="AC10" s="255">
        <v>0</v>
      </c>
      <c r="AD10" s="255">
        <v>0</v>
      </c>
      <c r="AE10" s="255">
        <v>0</v>
      </c>
      <c r="AF10" s="255">
        <v>0</v>
      </c>
      <c r="AG10" s="255">
        <v>0</v>
      </c>
      <c r="AH10" s="255">
        <v>0</v>
      </c>
      <c r="AI10" s="255">
        <v>0</v>
      </c>
      <c r="AJ10" s="255">
        <v>0</v>
      </c>
      <c r="AK10" s="255">
        <v>0</v>
      </c>
      <c r="AL10" s="255">
        <v>0</v>
      </c>
      <c r="AM10" s="255">
        <f>SUM(C10:AL10)</f>
        <v>-3200794.2381853219</v>
      </c>
    </row>
    <row r="11" spans="2:40">
      <c r="B11" s="254" t="s">
        <v>214</v>
      </c>
      <c r="C11" s="258">
        <f>-Profitability!C33/Profitability!K2</f>
        <v>-50786.452905619859</v>
      </c>
      <c r="D11" s="255">
        <f t="shared" ref="D11:S12" si="2">C11</f>
        <v>-50786.452905619859</v>
      </c>
      <c r="E11" s="255">
        <f t="shared" si="2"/>
        <v>-50786.452905619859</v>
      </c>
      <c r="F11" s="255">
        <f t="shared" si="2"/>
        <v>-50786.452905619859</v>
      </c>
      <c r="G11" s="255">
        <f t="shared" si="2"/>
        <v>-50786.452905619859</v>
      </c>
      <c r="H11" s="255">
        <f t="shared" si="2"/>
        <v>-50786.452905619859</v>
      </c>
      <c r="I11" s="255">
        <f t="shared" si="2"/>
        <v>-50786.452905619859</v>
      </c>
      <c r="J11" s="255">
        <f t="shared" si="2"/>
        <v>-50786.452905619859</v>
      </c>
      <c r="K11" s="255">
        <f t="shared" si="2"/>
        <v>-50786.452905619859</v>
      </c>
      <c r="L11" s="255">
        <f t="shared" si="2"/>
        <v>-50786.452905619859</v>
      </c>
      <c r="M11" s="255">
        <f t="shared" si="2"/>
        <v>-50786.452905619859</v>
      </c>
      <c r="N11" s="255">
        <f t="shared" si="2"/>
        <v>-50786.452905619859</v>
      </c>
      <c r="O11" s="255">
        <f t="shared" si="2"/>
        <v>-50786.452905619859</v>
      </c>
      <c r="P11" s="255">
        <f t="shared" si="2"/>
        <v>-50786.452905619859</v>
      </c>
      <c r="Q11" s="255">
        <f t="shared" si="2"/>
        <v>-50786.452905619859</v>
      </c>
      <c r="R11" s="255">
        <f t="shared" si="2"/>
        <v>-50786.452905619859</v>
      </c>
      <c r="S11" s="255">
        <f t="shared" si="2"/>
        <v>-50786.452905619859</v>
      </c>
      <c r="T11" s="255">
        <f t="shared" ref="T11:AI12" si="3">S11</f>
        <v>-50786.452905619859</v>
      </c>
      <c r="U11" s="255">
        <f t="shared" si="3"/>
        <v>-50786.452905619859</v>
      </c>
      <c r="V11" s="255">
        <f t="shared" si="3"/>
        <v>-50786.452905619859</v>
      </c>
      <c r="W11" s="255">
        <f t="shared" si="3"/>
        <v>-50786.452905619859</v>
      </c>
      <c r="X11" s="255">
        <f t="shared" si="3"/>
        <v>-50786.452905619859</v>
      </c>
      <c r="Y11" s="255">
        <f t="shared" si="3"/>
        <v>-50786.452905619859</v>
      </c>
      <c r="Z11" s="255">
        <f t="shared" si="3"/>
        <v>-50786.452905619859</v>
      </c>
      <c r="AA11" s="255">
        <f t="shared" si="3"/>
        <v>-50786.452905619859</v>
      </c>
      <c r="AB11" s="255">
        <f t="shared" si="3"/>
        <v>-50786.452905619859</v>
      </c>
      <c r="AC11" s="255">
        <f t="shared" si="3"/>
        <v>-50786.452905619859</v>
      </c>
      <c r="AD11" s="255">
        <f t="shared" si="3"/>
        <v>-50786.452905619859</v>
      </c>
      <c r="AE11" s="255">
        <f t="shared" si="3"/>
        <v>-50786.452905619859</v>
      </c>
      <c r="AF11" s="255">
        <f t="shared" si="3"/>
        <v>-50786.452905619859</v>
      </c>
      <c r="AG11" s="255">
        <f t="shared" si="3"/>
        <v>-50786.452905619859</v>
      </c>
      <c r="AH11" s="255">
        <f t="shared" si="3"/>
        <v>-50786.452905619859</v>
      </c>
      <c r="AI11" s="255">
        <f t="shared" si="3"/>
        <v>-50786.452905619859</v>
      </c>
      <c r="AJ11" s="255">
        <f t="shared" ref="AJ11:AL12" si="4">AI11</f>
        <v>-50786.452905619859</v>
      </c>
      <c r="AK11" s="255">
        <f t="shared" si="4"/>
        <v>-50786.452905619859</v>
      </c>
      <c r="AL11" s="255">
        <f t="shared" si="4"/>
        <v>-50786.452905619859</v>
      </c>
      <c r="AM11" s="255">
        <f>SUM(C11:AL11)</f>
        <v>-1828312.3046023133</v>
      </c>
    </row>
    <row r="12" spans="2:40">
      <c r="B12" s="254" t="s">
        <v>215</v>
      </c>
      <c r="C12" s="255">
        <f>-Profitability!C35/Profitability!K2</f>
        <v>-48894.091388213128</v>
      </c>
      <c r="D12" s="255">
        <f t="shared" si="2"/>
        <v>-48894.091388213128</v>
      </c>
      <c r="E12" s="255">
        <f t="shared" si="2"/>
        <v>-48894.091388213128</v>
      </c>
      <c r="F12" s="255">
        <f t="shared" si="2"/>
        <v>-48894.091388213128</v>
      </c>
      <c r="G12" s="255">
        <f t="shared" si="2"/>
        <v>-48894.091388213128</v>
      </c>
      <c r="H12" s="255">
        <f t="shared" si="2"/>
        <v>-48894.091388213128</v>
      </c>
      <c r="I12" s="255">
        <f t="shared" si="2"/>
        <v>-48894.091388213128</v>
      </c>
      <c r="J12" s="255">
        <f t="shared" si="2"/>
        <v>-48894.091388213128</v>
      </c>
      <c r="K12" s="255">
        <f t="shared" si="2"/>
        <v>-48894.091388213128</v>
      </c>
      <c r="L12" s="255">
        <f t="shared" si="2"/>
        <v>-48894.091388213128</v>
      </c>
      <c r="M12" s="255">
        <f t="shared" si="2"/>
        <v>-48894.091388213128</v>
      </c>
      <c r="N12" s="255">
        <f t="shared" si="2"/>
        <v>-48894.091388213128</v>
      </c>
      <c r="O12" s="255">
        <f t="shared" si="2"/>
        <v>-48894.091388213128</v>
      </c>
      <c r="P12" s="255">
        <f t="shared" si="2"/>
        <v>-48894.091388213128</v>
      </c>
      <c r="Q12" s="255">
        <f t="shared" si="2"/>
        <v>-48894.091388213128</v>
      </c>
      <c r="R12" s="255">
        <f t="shared" si="2"/>
        <v>-48894.091388213128</v>
      </c>
      <c r="S12" s="255">
        <f t="shared" si="2"/>
        <v>-48894.091388213128</v>
      </c>
      <c r="T12" s="255">
        <f t="shared" si="3"/>
        <v>-48894.091388213128</v>
      </c>
      <c r="U12" s="255">
        <f t="shared" si="3"/>
        <v>-48894.091388213128</v>
      </c>
      <c r="V12" s="255">
        <f t="shared" si="3"/>
        <v>-48894.091388213128</v>
      </c>
      <c r="W12" s="255">
        <f t="shared" si="3"/>
        <v>-48894.091388213128</v>
      </c>
      <c r="X12" s="255">
        <f t="shared" si="3"/>
        <v>-48894.091388213128</v>
      </c>
      <c r="Y12" s="255">
        <f t="shared" si="3"/>
        <v>-48894.091388213128</v>
      </c>
      <c r="Z12" s="255">
        <f t="shared" si="3"/>
        <v>-48894.091388213128</v>
      </c>
      <c r="AA12" s="255">
        <f t="shared" si="3"/>
        <v>-48894.091388213128</v>
      </c>
      <c r="AB12" s="255">
        <f t="shared" si="3"/>
        <v>-48894.091388213128</v>
      </c>
      <c r="AC12" s="255">
        <f t="shared" si="3"/>
        <v>-48894.091388213128</v>
      </c>
      <c r="AD12" s="255">
        <f t="shared" si="3"/>
        <v>-48894.091388213128</v>
      </c>
      <c r="AE12" s="255">
        <f t="shared" si="3"/>
        <v>-48894.091388213128</v>
      </c>
      <c r="AF12" s="255">
        <f t="shared" si="3"/>
        <v>-48894.091388213128</v>
      </c>
      <c r="AG12" s="255">
        <f t="shared" si="3"/>
        <v>-48894.091388213128</v>
      </c>
      <c r="AH12" s="255">
        <f t="shared" si="3"/>
        <v>-48894.091388213128</v>
      </c>
      <c r="AI12" s="255">
        <f t="shared" si="3"/>
        <v>-48894.091388213128</v>
      </c>
      <c r="AJ12" s="255">
        <f t="shared" si="4"/>
        <v>-48894.091388213128</v>
      </c>
      <c r="AK12" s="255">
        <f t="shared" si="4"/>
        <v>-48894.091388213128</v>
      </c>
      <c r="AL12" s="255">
        <f t="shared" si="4"/>
        <v>-48894.091388213128</v>
      </c>
      <c r="AM12" s="255">
        <f>SUM(C12:AL12)</f>
        <v>-1760187.2899756734</v>
      </c>
      <c r="AN12" s="153"/>
    </row>
    <row r="13" spans="2:40">
      <c r="B13" s="254"/>
      <c r="C13" s="259"/>
      <c r="D13" s="259"/>
      <c r="E13" s="259"/>
      <c r="F13" s="259"/>
      <c r="G13" s="259"/>
      <c r="H13" s="259"/>
      <c r="I13" s="259"/>
      <c r="J13" s="259"/>
      <c r="K13" s="259"/>
      <c r="L13" s="259"/>
      <c r="M13" s="259"/>
      <c r="N13" s="259"/>
      <c r="O13" s="259"/>
      <c r="P13" s="259"/>
      <c r="Q13" s="259"/>
      <c r="R13" s="259"/>
      <c r="S13" s="259"/>
      <c r="T13" s="259"/>
      <c r="U13" s="259"/>
      <c r="V13" s="259"/>
      <c r="W13" s="259"/>
      <c r="X13" s="259"/>
      <c r="Y13" s="259"/>
      <c r="Z13" s="259"/>
      <c r="AA13" s="259"/>
      <c r="AB13" s="259"/>
      <c r="AC13" s="259"/>
      <c r="AD13" s="259"/>
      <c r="AE13" s="259"/>
      <c r="AF13" s="259"/>
      <c r="AG13" s="259"/>
      <c r="AH13" s="259"/>
      <c r="AI13" s="259"/>
      <c r="AJ13" s="259"/>
      <c r="AK13" s="259"/>
      <c r="AL13" s="259"/>
      <c r="AM13" s="259"/>
    </row>
    <row r="14" spans="2:40">
      <c r="B14" s="254" t="s">
        <v>216</v>
      </c>
      <c r="C14" s="255">
        <f t="shared" ref="C14:AL14" si="5">SUM(C7:C8,C10:C13)</f>
        <v>-2860901.9372102399</v>
      </c>
      <c r="D14" s="255">
        <f t="shared" si="5"/>
        <v>182177.48399923896</v>
      </c>
      <c r="E14" s="255">
        <f t="shared" si="5"/>
        <v>182177.48399923896</v>
      </c>
      <c r="F14" s="255">
        <f t="shared" si="5"/>
        <v>182177.48399923896</v>
      </c>
      <c r="G14" s="255">
        <f t="shared" si="5"/>
        <v>182177.48399923896</v>
      </c>
      <c r="H14" s="255">
        <f t="shared" si="5"/>
        <v>182177.48399923896</v>
      </c>
      <c r="I14" s="255">
        <f t="shared" si="5"/>
        <v>182177.48399923896</v>
      </c>
      <c r="J14" s="255">
        <f t="shared" si="5"/>
        <v>182177.48399923896</v>
      </c>
      <c r="K14" s="255">
        <f t="shared" si="5"/>
        <v>182177.48399923896</v>
      </c>
      <c r="L14" s="255">
        <f t="shared" si="5"/>
        <v>182177.48399923896</v>
      </c>
      <c r="M14" s="255">
        <f t="shared" si="5"/>
        <v>182177.48399923896</v>
      </c>
      <c r="N14" s="255">
        <f t="shared" si="5"/>
        <v>182177.48399923896</v>
      </c>
      <c r="O14" s="255">
        <f t="shared" si="5"/>
        <v>182177.48399923896</v>
      </c>
      <c r="P14" s="255">
        <f t="shared" si="5"/>
        <v>182177.48399923896</v>
      </c>
      <c r="Q14" s="255">
        <f t="shared" si="5"/>
        <v>182177.48399923896</v>
      </c>
      <c r="R14" s="255">
        <f t="shared" si="5"/>
        <v>182177.48399923896</v>
      </c>
      <c r="S14" s="255">
        <f t="shared" si="5"/>
        <v>182177.48399923896</v>
      </c>
      <c r="T14" s="255">
        <f t="shared" si="5"/>
        <v>182177.48399923896</v>
      </c>
      <c r="U14" s="255">
        <f t="shared" si="5"/>
        <v>182177.48399923896</v>
      </c>
      <c r="V14" s="255">
        <f t="shared" si="5"/>
        <v>182177.48399923896</v>
      </c>
      <c r="W14" s="255">
        <f t="shared" si="5"/>
        <v>182177.48399923896</v>
      </c>
      <c r="X14" s="255">
        <f t="shared" si="5"/>
        <v>182177.48399923896</v>
      </c>
      <c r="Y14" s="255">
        <f t="shared" si="5"/>
        <v>182177.48399923896</v>
      </c>
      <c r="Z14" s="255">
        <f t="shared" si="5"/>
        <v>182177.48399923896</v>
      </c>
      <c r="AA14" s="255">
        <f t="shared" si="5"/>
        <v>182177.48399923896</v>
      </c>
      <c r="AB14" s="255">
        <f t="shared" si="5"/>
        <v>182177.48399923896</v>
      </c>
      <c r="AC14" s="255">
        <f t="shared" si="5"/>
        <v>182177.48399923896</v>
      </c>
      <c r="AD14" s="255">
        <f t="shared" si="5"/>
        <v>182177.48399923896</v>
      </c>
      <c r="AE14" s="255">
        <f t="shared" si="5"/>
        <v>182177.48399923896</v>
      </c>
      <c r="AF14" s="255">
        <f t="shared" si="5"/>
        <v>182177.48399923896</v>
      </c>
      <c r="AG14" s="255">
        <f t="shared" si="5"/>
        <v>182177.48399923896</v>
      </c>
      <c r="AH14" s="255">
        <f t="shared" si="5"/>
        <v>182177.48399923896</v>
      </c>
      <c r="AI14" s="255">
        <f t="shared" si="5"/>
        <v>182177.48399923896</v>
      </c>
      <c r="AJ14" s="255">
        <f t="shared" si="5"/>
        <v>182177.48399923896</v>
      </c>
      <c r="AK14" s="255">
        <f t="shared" si="5"/>
        <v>182177.48399923896</v>
      </c>
      <c r="AL14" s="255">
        <f t="shared" si="5"/>
        <v>182177.48399923896</v>
      </c>
      <c r="AM14" s="255">
        <f>SUM(C14:AL14)</f>
        <v>3515310.0027631228</v>
      </c>
    </row>
    <row r="15" spans="2:40" ht="15" thickBot="1">
      <c r="B15" s="260" t="s">
        <v>217</v>
      </c>
      <c r="C15" s="261">
        <f>C14</f>
        <v>-2860901.9372102399</v>
      </c>
      <c r="D15" s="261">
        <f>D14+C15</f>
        <v>-2678724.4532110011</v>
      </c>
      <c r="E15" s="261">
        <f t="shared" ref="E15:AL15" si="6">E14+D15</f>
        <v>-2496546.9692117623</v>
      </c>
      <c r="F15" s="261">
        <f t="shared" si="6"/>
        <v>-2314369.4852125235</v>
      </c>
      <c r="G15" s="261">
        <f t="shared" si="6"/>
        <v>-2132192.0012132847</v>
      </c>
      <c r="H15" s="261">
        <f t="shared" si="6"/>
        <v>-1950014.5172140456</v>
      </c>
      <c r="I15" s="261">
        <f t="shared" si="6"/>
        <v>-1767837.0332148066</v>
      </c>
      <c r="J15" s="261">
        <f t="shared" si="6"/>
        <v>-1585659.5492155675</v>
      </c>
      <c r="K15" s="261">
        <f t="shared" si="6"/>
        <v>-1403482.0652163285</v>
      </c>
      <c r="L15" s="261">
        <f t="shared" si="6"/>
        <v>-1221304.5812170894</v>
      </c>
      <c r="M15" s="261">
        <f t="shared" si="6"/>
        <v>-1039127.0972178505</v>
      </c>
      <c r="N15" s="261">
        <f t="shared" si="6"/>
        <v>-856949.61321861157</v>
      </c>
      <c r="O15" s="261">
        <f t="shared" si="6"/>
        <v>-674772.12921937264</v>
      </c>
      <c r="P15" s="261">
        <f t="shared" si="6"/>
        <v>-492594.64522013371</v>
      </c>
      <c r="Q15" s="261">
        <f t="shared" si="6"/>
        <v>-310417.16122089478</v>
      </c>
      <c r="R15" s="261">
        <f t="shared" si="6"/>
        <v>-128239.67722165582</v>
      </c>
      <c r="S15" s="261">
        <f t="shared" si="6"/>
        <v>53937.806777583144</v>
      </c>
      <c r="T15" s="261">
        <f t="shared" si="6"/>
        <v>236115.2907768221</v>
      </c>
      <c r="U15" s="261">
        <f t="shared" si="6"/>
        <v>418292.77477606107</v>
      </c>
      <c r="V15" s="261">
        <f t="shared" si="6"/>
        <v>600470.2587753</v>
      </c>
      <c r="W15" s="261">
        <f t="shared" si="6"/>
        <v>782647.74277453893</v>
      </c>
      <c r="X15" s="261">
        <f t="shared" si="6"/>
        <v>964825.22677377786</v>
      </c>
      <c r="Y15" s="261">
        <f t="shared" si="6"/>
        <v>1147002.7107730168</v>
      </c>
      <c r="Z15" s="261">
        <f t="shared" si="6"/>
        <v>1329180.1947722558</v>
      </c>
      <c r="AA15" s="261">
        <f t="shared" si="6"/>
        <v>1511357.6787714949</v>
      </c>
      <c r="AB15" s="261">
        <f t="shared" si="6"/>
        <v>1693535.1627707339</v>
      </c>
      <c r="AC15" s="261">
        <f t="shared" si="6"/>
        <v>1875712.646769973</v>
      </c>
      <c r="AD15" s="261">
        <f t="shared" si="6"/>
        <v>2057890.130769212</v>
      </c>
      <c r="AE15" s="261">
        <f t="shared" si="6"/>
        <v>2240067.6147684511</v>
      </c>
      <c r="AF15" s="261">
        <f t="shared" si="6"/>
        <v>2422245.0987676899</v>
      </c>
      <c r="AG15" s="261">
        <f t="shared" si="6"/>
        <v>2604422.5827669287</v>
      </c>
      <c r="AH15" s="261">
        <f t="shared" si="6"/>
        <v>2786600.0667661675</v>
      </c>
      <c r="AI15" s="261">
        <f t="shared" si="6"/>
        <v>2968777.5507654063</v>
      </c>
      <c r="AJ15" s="261">
        <f t="shared" si="6"/>
        <v>3150955.0347646452</v>
      </c>
      <c r="AK15" s="261">
        <f t="shared" si="6"/>
        <v>3333132.518763884</v>
      </c>
      <c r="AL15" s="261">
        <f t="shared" si="6"/>
        <v>3515310.0027631228</v>
      </c>
      <c r="AM15" s="261"/>
    </row>
    <row r="17" spans="2:40">
      <c r="B17" t="s">
        <v>218</v>
      </c>
      <c r="C17" s="262">
        <f>C15*1%</f>
        <v>-28609.019372102401</v>
      </c>
      <c r="D17" s="262">
        <f>D15*1%</f>
        <v>-26787.244532110013</v>
      </c>
      <c r="E17" s="262">
        <f>E15*1%</f>
        <v>-24965.469692117622</v>
      </c>
      <c r="F17" s="262">
        <f t="shared" ref="F17:AL17" si="7">F15*1%</f>
        <v>-23143.694852125234</v>
      </c>
      <c r="G17" s="262">
        <f t="shared" si="7"/>
        <v>-21321.920012132847</v>
      </c>
      <c r="H17" s="262">
        <f t="shared" si="7"/>
        <v>-19500.145172140456</v>
      </c>
      <c r="I17" s="262">
        <f t="shared" si="7"/>
        <v>-17678.370332148068</v>
      </c>
      <c r="J17" s="262">
        <f t="shared" si="7"/>
        <v>-15856.595492155675</v>
      </c>
      <c r="K17" s="262">
        <f t="shared" si="7"/>
        <v>-14034.820652163286</v>
      </c>
      <c r="L17" s="262">
        <f t="shared" si="7"/>
        <v>-12213.045812170894</v>
      </c>
      <c r="M17" s="262">
        <f t="shared" si="7"/>
        <v>-10391.270972178505</v>
      </c>
      <c r="N17" s="262">
        <f t="shared" si="7"/>
        <v>-8569.4961321861156</v>
      </c>
      <c r="O17" s="262">
        <f t="shared" si="7"/>
        <v>-6747.7212921937262</v>
      </c>
      <c r="P17" s="262">
        <f t="shared" si="7"/>
        <v>-4925.9464522013368</v>
      </c>
      <c r="Q17" s="262">
        <f t="shared" si="7"/>
        <v>-3104.1716122089479</v>
      </c>
      <c r="R17" s="262">
        <f t="shared" si="7"/>
        <v>-1282.3967722165582</v>
      </c>
      <c r="S17" s="262">
        <f t="shared" si="7"/>
        <v>539.37806777583148</v>
      </c>
      <c r="T17" s="262">
        <f t="shared" si="7"/>
        <v>2361.1529077682212</v>
      </c>
      <c r="U17" s="262">
        <f t="shared" si="7"/>
        <v>4182.9277477606111</v>
      </c>
      <c r="V17" s="262">
        <f t="shared" si="7"/>
        <v>6004.7025877530004</v>
      </c>
      <c r="W17" s="262">
        <f t="shared" si="7"/>
        <v>7826.4774277453898</v>
      </c>
      <c r="X17" s="262">
        <f t="shared" si="7"/>
        <v>9648.2522677377783</v>
      </c>
      <c r="Y17" s="262">
        <f t="shared" si="7"/>
        <v>11470.027107730168</v>
      </c>
      <c r="Z17" s="262">
        <f t="shared" si="7"/>
        <v>13291.801947722559</v>
      </c>
      <c r="AA17" s="262">
        <f t="shared" si="7"/>
        <v>15113.576787714948</v>
      </c>
      <c r="AB17" s="262">
        <f t="shared" si="7"/>
        <v>16935.35162770734</v>
      </c>
      <c r="AC17" s="262">
        <f t="shared" si="7"/>
        <v>18757.126467699731</v>
      </c>
      <c r="AD17" s="262">
        <f t="shared" si="7"/>
        <v>20578.901307692122</v>
      </c>
      <c r="AE17" s="262">
        <f t="shared" si="7"/>
        <v>22400.676147684509</v>
      </c>
      <c r="AF17" s="262">
        <f t="shared" si="7"/>
        <v>24222.450987676901</v>
      </c>
      <c r="AG17" s="262">
        <f t="shared" si="7"/>
        <v>26044.225827669288</v>
      </c>
      <c r="AH17" s="262">
        <f t="shared" si="7"/>
        <v>27866.000667661676</v>
      </c>
      <c r="AI17" s="262">
        <f t="shared" si="7"/>
        <v>29687.775507654063</v>
      </c>
      <c r="AJ17" s="262">
        <f t="shared" si="7"/>
        <v>31509.550347646451</v>
      </c>
      <c r="AK17" s="262">
        <f t="shared" si="7"/>
        <v>33331.325187638839</v>
      </c>
      <c r="AL17" s="262">
        <f t="shared" si="7"/>
        <v>35153.100027631226</v>
      </c>
      <c r="AM17" s="255">
        <f>SUM(C17:AL17)</f>
        <v>117793.45179951897</v>
      </c>
    </row>
    <row r="18" spans="2:40">
      <c r="AM18" s="153"/>
    </row>
    <row r="19" spans="2:40">
      <c r="AM19" s="153">
        <f>AM14-Profitability!C43</f>
        <v>3481950.3676336412</v>
      </c>
    </row>
    <row r="20" spans="2:40">
      <c r="B20" t="s">
        <v>219</v>
      </c>
    </row>
    <row r="22" spans="2:40" ht="15" thickBot="1">
      <c r="B22" s="250" t="s">
        <v>207</v>
      </c>
      <c r="C22" s="251">
        <v>1</v>
      </c>
      <c r="D22" s="251">
        <f>C22+1</f>
        <v>2</v>
      </c>
      <c r="E22" s="251">
        <f t="shared" ref="E22:AL22" si="8">D22+1</f>
        <v>3</v>
      </c>
      <c r="F22" s="251">
        <f t="shared" si="8"/>
        <v>4</v>
      </c>
      <c r="G22" s="251">
        <f t="shared" si="8"/>
        <v>5</v>
      </c>
      <c r="H22" s="251">
        <f t="shared" si="8"/>
        <v>6</v>
      </c>
      <c r="I22" s="251">
        <f t="shared" si="8"/>
        <v>7</v>
      </c>
      <c r="J22" s="251">
        <f t="shared" si="8"/>
        <v>8</v>
      </c>
      <c r="K22" s="251">
        <f t="shared" si="8"/>
        <v>9</v>
      </c>
      <c r="L22" s="251">
        <f t="shared" si="8"/>
        <v>10</v>
      </c>
      <c r="M22" s="251">
        <f t="shared" si="8"/>
        <v>11</v>
      </c>
      <c r="N22" s="251">
        <f t="shared" si="8"/>
        <v>12</v>
      </c>
      <c r="O22" s="251">
        <f t="shared" si="8"/>
        <v>13</v>
      </c>
      <c r="P22" s="251">
        <f t="shared" si="8"/>
        <v>14</v>
      </c>
      <c r="Q22" s="251">
        <f t="shared" si="8"/>
        <v>15</v>
      </c>
      <c r="R22" s="251">
        <f t="shared" si="8"/>
        <v>16</v>
      </c>
      <c r="S22" s="251">
        <f t="shared" si="8"/>
        <v>17</v>
      </c>
      <c r="T22" s="251">
        <f t="shared" si="8"/>
        <v>18</v>
      </c>
      <c r="U22" s="251">
        <f t="shared" si="8"/>
        <v>19</v>
      </c>
      <c r="V22" s="251">
        <f t="shared" si="8"/>
        <v>20</v>
      </c>
      <c r="W22" s="251">
        <f t="shared" si="8"/>
        <v>21</v>
      </c>
      <c r="X22" s="251">
        <f t="shared" si="8"/>
        <v>22</v>
      </c>
      <c r="Y22" s="251">
        <f t="shared" si="8"/>
        <v>23</v>
      </c>
      <c r="Z22" s="251">
        <f t="shared" si="8"/>
        <v>24</v>
      </c>
      <c r="AA22" s="251">
        <f t="shared" si="8"/>
        <v>25</v>
      </c>
      <c r="AB22" s="251">
        <f t="shared" si="8"/>
        <v>26</v>
      </c>
      <c r="AC22" s="251">
        <f t="shared" si="8"/>
        <v>27</v>
      </c>
      <c r="AD22" s="251">
        <f t="shared" si="8"/>
        <v>28</v>
      </c>
      <c r="AE22" s="251">
        <f t="shared" si="8"/>
        <v>29</v>
      </c>
      <c r="AF22" s="251">
        <f t="shared" si="8"/>
        <v>30</v>
      </c>
      <c r="AG22" s="251">
        <f t="shared" si="8"/>
        <v>31</v>
      </c>
      <c r="AH22" s="251">
        <f t="shared" si="8"/>
        <v>32</v>
      </c>
      <c r="AI22" s="251">
        <f t="shared" si="8"/>
        <v>33</v>
      </c>
      <c r="AJ22" s="251">
        <f t="shared" si="8"/>
        <v>34</v>
      </c>
      <c r="AK22" s="251">
        <f t="shared" si="8"/>
        <v>35</v>
      </c>
      <c r="AL22" s="251">
        <f t="shared" si="8"/>
        <v>36</v>
      </c>
      <c r="AM22" s="251" t="s">
        <v>208</v>
      </c>
    </row>
    <row r="23" spans="2:40">
      <c r="B23" s="252" t="s">
        <v>209</v>
      </c>
      <c r="C23" s="253"/>
      <c r="D23" s="253"/>
      <c r="E23" s="253"/>
      <c r="F23" s="253"/>
      <c r="G23" s="253"/>
      <c r="H23" s="253"/>
      <c r="I23" s="253"/>
      <c r="J23" s="253"/>
      <c r="K23" s="253"/>
      <c r="L23" s="253"/>
      <c r="M23" s="253"/>
      <c r="N23" s="253"/>
      <c r="O23" s="253"/>
      <c r="P23" s="253"/>
      <c r="Q23" s="253"/>
      <c r="R23" s="253"/>
      <c r="S23" s="253"/>
      <c r="T23" s="253"/>
      <c r="U23" s="253"/>
      <c r="V23" s="253"/>
      <c r="W23" s="253"/>
      <c r="X23" s="253"/>
      <c r="Y23" s="253"/>
      <c r="Z23" s="253"/>
      <c r="AA23" s="253"/>
      <c r="AB23" s="253"/>
      <c r="AC23" s="253"/>
      <c r="AD23" s="253"/>
      <c r="AE23" s="253"/>
      <c r="AF23" s="253"/>
      <c r="AG23" s="253"/>
      <c r="AH23" s="253"/>
      <c r="AI23" s="253"/>
      <c r="AJ23" s="253"/>
      <c r="AK23" s="253"/>
      <c r="AL23" s="253"/>
      <c r="AM23" s="253"/>
    </row>
    <row r="24" spans="2:40">
      <c r="B24" s="254" t="s">
        <v>210</v>
      </c>
      <c r="C24" s="255">
        <f>(Profitability!E24-Profitability!E11)/Profitability!K2</f>
        <v>253672.22546376474</v>
      </c>
      <c r="D24" s="255">
        <f>C24</f>
        <v>253672.22546376474</v>
      </c>
      <c r="E24" s="255">
        <f t="shared" ref="E24:Z24" si="9">D24</f>
        <v>253672.22546376474</v>
      </c>
      <c r="F24" s="255">
        <f t="shared" si="9"/>
        <v>253672.22546376474</v>
      </c>
      <c r="G24" s="255">
        <f t="shared" si="9"/>
        <v>253672.22546376474</v>
      </c>
      <c r="H24" s="255">
        <f t="shared" si="9"/>
        <v>253672.22546376474</v>
      </c>
      <c r="I24" s="255">
        <f t="shared" si="9"/>
        <v>253672.22546376474</v>
      </c>
      <c r="J24" s="255">
        <f t="shared" si="9"/>
        <v>253672.22546376474</v>
      </c>
      <c r="K24" s="255">
        <f t="shared" si="9"/>
        <v>253672.22546376474</v>
      </c>
      <c r="L24" s="255">
        <f t="shared" si="9"/>
        <v>253672.22546376474</v>
      </c>
      <c r="M24" s="255">
        <f t="shared" si="9"/>
        <v>253672.22546376474</v>
      </c>
      <c r="N24" s="255">
        <f t="shared" si="9"/>
        <v>253672.22546376474</v>
      </c>
      <c r="O24" s="255">
        <f t="shared" si="9"/>
        <v>253672.22546376474</v>
      </c>
      <c r="P24" s="255">
        <f t="shared" si="9"/>
        <v>253672.22546376474</v>
      </c>
      <c r="Q24" s="255">
        <f t="shared" si="9"/>
        <v>253672.22546376474</v>
      </c>
      <c r="R24" s="255">
        <f t="shared" si="9"/>
        <v>253672.22546376474</v>
      </c>
      <c r="S24" s="255">
        <f t="shared" si="9"/>
        <v>253672.22546376474</v>
      </c>
      <c r="T24" s="255">
        <f t="shared" si="9"/>
        <v>253672.22546376474</v>
      </c>
      <c r="U24" s="255">
        <f t="shared" si="9"/>
        <v>253672.22546376474</v>
      </c>
      <c r="V24" s="255">
        <f t="shared" si="9"/>
        <v>253672.22546376474</v>
      </c>
      <c r="W24" s="255">
        <f t="shared" si="9"/>
        <v>253672.22546376474</v>
      </c>
      <c r="X24" s="255">
        <f t="shared" si="9"/>
        <v>253672.22546376474</v>
      </c>
      <c r="Y24" s="255">
        <f t="shared" si="9"/>
        <v>253672.22546376474</v>
      </c>
      <c r="Z24" s="255">
        <f t="shared" si="9"/>
        <v>253672.22546376474</v>
      </c>
      <c r="AA24" s="255">
        <f t="shared" ref="AA24" si="10">Z24</f>
        <v>253672.22546376474</v>
      </c>
      <c r="AB24" s="255">
        <f t="shared" ref="AB24" si="11">AA24</f>
        <v>253672.22546376474</v>
      </c>
      <c r="AC24" s="255">
        <f t="shared" ref="AC24" si="12">AB24</f>
        <v>253672.22546376474</v>
      </c>
      <c r="AD24" s="255">
        <f t="shared" ref="AD24" si="13">AC24</f>
        <v>253672.22546376474</v>
      </c>
      <c r="AE24" s="255">
        <f t="shared" ref="AE24" si="14">AD24</f>
        <v>253672.22546376474</v>
      </c>
      <c r="AF24" s="255">
        <f t="shared" ref="AF24" si="15">AE24</f>
        <v>253672.22546376474</v>
      </c>
      <c r="AG24" s="255">
        <f t="shared" ref="AG24" si="16">AF24</f>
        <v>253672.22546376474</v>
      </c>
      <c r="AH24" s="255">
        <f t="shared" ref="AH24" si="17">AG24</f>
        <v>253672.22546376474</v>
      </c>
      <c r="AI24" s="255">
        <f t="shared" ref="AI24" si="18">AH24</f>
        <v>253672.22546376474</v>
      </c>
      <c r="AJ24" s="255">
        <f t="shared" ref="AJ24" si="19">AI24</f>
        <v>253672.22546376474</v>
      </c>
      <c r="AK24" s="255">
        <f t="shared" ref="AK24" si="20">AJ24</f>
        <v>253672.22546376474</v>
      </c>
      <c r="AL24" s="255">
        <f t="shared" ref="AL24" si="21">AK24</f>
        <v>253672.22546376474</v>
      </c>
      <c r="AM24" s="255">
        <f>SUM(C24:AL24)</f>
        <v>9132200.1166955307</v>
      </c>
    </row>
    <row r="25" spans="2:40">
      <c r="B25" s="254" t="s">
        <v>211</v>
      </c>
      <c r="C25" s="255">
        <f>C8</f>
        <v>157714.81697584316</v>
      </c>
      <c r="D25" s="255">
        <v>0</v>
      </c>
      <c r="E25" s="255">
        <v>0</v>
      </c>
      <c r="F25" s="255">
        <v>0</v>
      </c>
      <c r="G25" s="255">
        <v>0</v>
      </c>
      <c r="H25" s="255">
        <v>0</v>
      </c>
      <c r="I25" s="255">
        <v>0</v>
      </c>
      <c r="J25" s="255">
        <v>0</v>
      </c>
      <c r="K25" s="255">
        <v>0</v>
      </c>
      <c r="L25" s="255">
        <v>0</v>
      </c>
      <c r="M25" s="255">
        <v>0</v>
      </c>
      <c r="N25" s="255">
        <v>0</v>
      </c>
      <c r="O25" s="255">
        <v>0</v>
      </c>
      <c r="P25" s="255">
        <v>0</v>
      </c>
      <c r="Q25" s="255">
        <v>0</v>
      </c>
      <c r="R25" s="255">
        <v>0</v>
      </c>
      <c r="S25" s="255">
        <v>0</v>
      </c>
      <c r="T25" s="255">
        <v>0</v>
      </c>
      <c r="U25" s="255">
        <v>0</v>
      </c>
      <c r="V25" s="255">
        <v>0</v>
      </c>
      <c r="W25" s="255">
        <v>0</v>
      </c>
      <c r="X25" s="255">
        <v>0</v>
      </c>
      <c r="Y25" s="255">
        <v>0</v>
      </c>
      <c r="Z25" s="255">
        <v>0</v>
      </c>
      <c r="AA25" s="255">
        <v>0</v>
      </c>
      <c r="AB25" s="255">
        <v>0</v>
      </c>
      <c r="AC25" s="255">
        <v>0</v>
      </c>
      <c r="AD25" s="255">
        <v>0</v>
      </c>
      <c r="AE25" s="255">
        <v>0</v>
      </c>
      <c r="AF25" s="255">
        <v>0</v>
      </c>
      <c r="AG25" s="255">
        <v>0</v>
      </c>
      <c r="AH25" s="255">
        <v>0</v>
      </c>
      <c r="AI25" s="255">
        <v>0</v>
      </c>
      <c r="AJ25" s="255">
        <v>0</v>
      </c>
      <c r="AK25" s="255">
        <v>0</v>
      </c>
      <c r="AL25" s="255">
        <v>0</v>
      </c>
      <c r="AM25" s="255">
        <f>SUM(C25:AL25)</f>
        <v>157714.81697584316</v>
      </c>
    </row>
    <row r="26" spans="2:40">
      <c r="B26" s="256" t="s">
        <v>212</v>
      </c>
      <c r="C26" s="257"/>
      <c r="D26" s="257"/>
      <c r="E26" s="257"/>
      <c r="F26" s="257"/>
      <c r="G26" s="257"/>
      <c r="H26" s="257"/>
      <c r="I26" s="257"/>
      <c r="J26" s="257"/>
      <c r="K26" s="257"/>
      <c r="L26" s="257"/>
      <c r="M26" s="257"/>
      <c r="N26" s="257"/>
      <c r="O26" s="257"/>
      <c r="P26" s="257"/>
      <c r="Q26" s="257"/>
      <c r="R26" s="257"/>
      <c r="S26" s="257"/>
      <c r="T26" s="257"/>
      <c r="U26" s="257"/>
      <c r="V26" s="257"/>
      <c r="W26" s="257"/>
      <c r="X26" s="257"/>
      <c r="Y26" s="257"/>
      <c r="Z26" s="257"/>
      <c r="AA26" s="257"/>
      <c r="AB26" s="257"/>
      <c r="AC26" s="257"/>
      <c r="AD26" s="257"/>
      <c r="AE26" s="257"/>
      <c r="AF26" s="257"/>
      <c r="AG26" s="257"/>
      <c r="AH26" s="257"/>
      <c r="AI26" s="257"/>
      <c r="AJ26" s="257"/>
      <c r="AK26" s="257"/>
      <c r="AL26" s="257"/>
      <c r="AM26" s="257"/>
    </row>
    <row r="27" spans="2:40">
      <c r="B27" s="254" t="s">
        <v>213</v>
      </c>
      <c r="C27" s="258">
        <f>-Profitability!E48</f>
        <v>-3200794.2381853219</v>
      </c>
      <c r="D27" s="255">
        <v>0</v>
      </c>
      <c r="E27" s="255">
        <v>0</v>
      </c>
      <c r="F27" s="255">
        <v>0</v>
      </c>
      <c r="G27" s="255">
        <v>0</v>
      </c>
      <c r="H27" s="255">
        <v>0</v>
      </c>
      <c r="I27" s="255">
        <v>0</v>
      </c>
      <c r="J27" s="255">
        <v>0</v>
      </c>
      <c r="K27" s="255">
        <v>0</v>
      </c>
      <c r="L27" s="255">
        <v>0</v>
      </c>
      <c r="M27" s="255">
        <v>0</v>
      </c>
      <c r="N27" s="255">
        <v>0</v>
      </c>
      <c r="O27" s="255">
        <v>0</v>
      </c>
      <c r="P27" s="255">
        <v>0</v>
      </c>
      <c r="Q27" s="255">
        <v>0</v>
      </c>
      <c r="R27" s="255">
        <v>0</v>
      </c>
      <c r="S27" s="255">
        <v>0</v>
      </c>
      <c r="T27" s="255">
        <v>0</v>
      </c>
      <c r="U27" s="255">
        <v>0</v>
      </c>
      <c r="V27" s="255">
        <v>0</v>
      </c>
      <c r="W27" s="255">
        <v>0</v>
      </c>
      <c r="X27" s="255">
        <v>0</v>
      </c>
      <c r="Y27" s="255">
        <v>0</v>
      </c>
      <c r="Z27" s="255">
        <v>0</v>
      </c>
      <c r="AA27" s="255">
        <v>0</v>
      </c>
      <c r="AB27" s="255">
        <v>0</v>
      </c>
      <c r="AC27" s="255">
        <v>0</v>
      </c>
      <c r="AD27" s="255">
        <v>0</v>
      </c>
      <c r="AE27" s="255">
        <v>0</v>
      </c>
      <c r="AF27" s="255">
        <v>0</v>
      </c>
      <c r="AG27" s="255">
        <v>0</v>
      </c>
      <c r="AH27" s="255">
        <v>0</v>
      </c>
      <c r="AI27" s="255">
        <v>0</v>
      </c>
      <c r="AJ27" s="255">
        <v>0</v>
      </c>
      <c r="AK27" s="255">
        <v>0</v>
      </c>
      <c r="AL27" s="255">
        <v>0</v>
      </c>
      <c r="AM27" s="255">
        <f>SUM(C27:AL27)</f>
        <v>-3200794.2381853219</v>
      </c>
    </row>
    <row r="28" spans="2:40">
      <c r="B28" s="254" t="s">
        <v>214</v>
      </c>
      <c r="C28" s="258">
        <f>-Profitability!E33/Profitability!K2</f>
        <v>-50786.452905619859</v>
      </c>
      <c r="D28" s="255">
        <f t="shared" ref="D28:S29" si="22">C28</f>
        <v>-50786.452905619859</v>
      </c>
      <c r="E28" s="255">
        <f t="shared" si="22"/>
        <v>-50786.452905619859</v>
      </c>
      <c r="F28" s="255">
        <f t="shared" si="22"/>
        <v>-50786.452905619859</v>
      </c>
      <c r="G28" s="255">
        <f t="shared" si="22"/>
        <v>-50786.452905619859</v>
      </c>
      <c r="H28" s="255">
        <f t="shared" si="22"/>
        <v>-50786.452905619859</v>
      </c>
      <c r="I28" s="255">
        <f t="shared" si="22"/>
        <v>-50786.452905619859</v>
      </c>
      <c r="J28" s="255">
        <f t="shared" si="22"/>
        <v>-50786.452905619859</v>
      </c>
      <c r="K28" s="255">
        <f t="shared" si="22"/>
        <v>-50786.452905619859</v>
      </c>
      <c r="L28" s="255">
        <f t="shared" si="22"/>
        <v>-50786.452905619859</v>
      </c>
      <c r="M28" s="255">
        <f t="shared" si="22"/>
        <v>-50786.452905619859</v>
      </c>
      <c r="N28" s="255">
        <f t="shared" si="22"/>
        <v>-50786.452905619859</v>
      </c>
      <c r="O28" s="255">
        <f t="shared" si="22"/>
        <v>-50786.452905619859</v>
      </c>
      <c r="P28" s="255">
        <f t="shared" si="22"/>
        <v>-50786.452905619859</v>
      </c>
      <c r="Q28" s="255">
        <f t="shared" si="22"/>
        <v>-50786.452905619859</v>
      </c>
      <c r="R28" s="255">
        <f t="shared" si="22"/>
        <v>-50786.452905619859</v>
      </c>
      <c r="S28" s="255">
        <f t="shared" si="22"/>
        <v>-50786.452905619859</v>
      </c>
      <c r="T28" s="255">
        <f t="shared" ref="T28:Z29" si="23">S28</f>
        <v>-50786.452905619859</v>
      </c>
      <c r="U28" s="255">
        <f t="shared" si="23"/>
        <v>-50786.452905619859</v>
      </c>
      <c r="V28" s="255">
        <f t="shared" si="23"/>
        <v>-50786.452905619859</v>
      </c>
      <c r="W28" s="255">
        <f t="shared" si="23"/>
        <v>-50786.452905619859</v>
      </c>
      <c r="X28" s="255">
        <f t="shared" si="23"/>
        <v>-50786.452905619859</v>
      </c>
      <c r="Y28" s="255">
        <f t="shared" si="23"/>
        <v>-50786.452905619859</v>
      </c>
      <c r="Z28" s="255">
        <f t="shared" si="23"/>
        <v>-50786.452905619859</v>
      </c>
      <c r="AA28" s="255">
        <f t="shared" ref="AA28:AA29" si="24">Z28</f>
        <v>-50786.452905619859</v>
      </c>
      <c r="AB28" s="255">
        <f t="shared" ref="AB28:AB29" si="25">AA28</f>
        <v>-50786.452905619859</v>
      </c>
      <c r="AC28" s="255">
        <f t="shared" ref="AC28:AC29" si="26">AB28</f>
        <v>-50786.452905619859</v>
      </c>
      <c r="AD28" s="255">
        <f t="shared" ref="AD28:AD29" si="27">AC28</f>
        <v>-50786.452905619859</v>
      </c>
      <c r="AE28" s="255">
        <f t="shared" ref="AE28:AE29" si="28">AD28</f>
        <v>-50786.452905619859</v>
      </c>
      <c r="AF28" s="255">
        <f t="shared" ref="AF28:AF29" si="29">AE28</f>
        <v>-50786.452905619859</v>
      </c>
      <c r="AG28" s="255">
        <f t="shared" ref="AG28:AG29" si="30">AF28</f>
        <v>-50786.452905619859</v>
      </c>
      <c r="AH28" s="255">
        <f t="shared" ref="AH28:AH29" si="31">AG28</f>
        <v>-50786.452905619859</v>
      </c>
      <c r="AI28" s="255">
        <f t="shared" ref="AI28:AI29" si="32">AH28</f>
        <v>-50786.452905619859</v>
      </c>
      <c r="AJ28" s="255">
        <f t="shared" ref="AJ28:AJ29" si="33">AI28</f>
        <v>-50786.452905619859</v>
      </c>
      <c r="AK28" s="255">
        <f t="shared" ref="AK28:AK29" si="34">AJ28</f>
        <v>-50786.452905619859</v>
      </c>
      <c r="AL28" s="255">
        <f t="shared" ref="AL28:AL29" si="35">AK28</f>
        <v>-50786.452905619859</v>
      </c>
      <c r="AM28" s="255">
        <f>SUM(C28:AL28)</f>
        <v>-1828312.3046023133</v>
      </c>
    </row>
    <row r="29" spans="2:40">
      <c r="B29" s="254" t="s">
        <v>215</v>
      </c>
      <c r="C29" s="255">
        <f>-Profitability!E35/Profitability!K2</f>
        <v>-48894.091388213128</v>
      </c>
      <c r="D29" s="255">
        <f t="shared" si="22"/>
        <v>-48894.091388213128</v>
      </c>
      <c r="E29" s="255">
        <f t="shared" si="22"/>
        <v>-48894.091388213128</v>
      </c>
      <c r="F29" s="255">
        <f t="shared" si="22"/>
        <v>-48894.091388213128</v>
      </c>
      <c r="G29" s="255">
        <f t="shared" si="22"/>
        <v>-48894.091388213128</v>
      </c>
      <c r="H29" s="255">
        <f t="shared" si="22"/>
        <v>-48894.091388213128</v>
      </c>
      <c r="I29" s="255">
        <f t="shared" si="22"/>
        <v>-48894.091388213128</v>
      </c>
      <c r="J29" s="255">
        <f t="shared" si="22"/>
        <v>-48894.091388213128</v>
      </c>
      <c r="K29" s="255">
        <f t="shared" si="22"/>
        <v>-48894.091388213128</v>
      </c>
      <c r="L29" s="255">
        <f t="shared" si="22"/>
        <v>-48894.091388213128</v>
      </c>
      <c r="M29" s="255">
        <f t="shared" si="22"/>
        <v>-48894.091388213128</v>
      </c>
      <c r="N29" s="255">
        <f t="shared" si="22"/>
        <v>-48894.091388213128</v>
      </c>
      <c r="O29" s="255">
        <f t="shared" si="22"/>
        <v>-48894.091388213128</v>
      </c>
      <c r="P29" s="255">
        <f t="shared" si="22"/>
        <v>-48894.091388213128</v>
      </c>
      <c r="Q29" s="255">
        <f t="shared" si="22"/>
        <v>-48894.091388213128</v>
      </c>
      <c r="R29" s="255">
        <f t="shared" si="22"/>
        <v>-48894.091388213128</v>
      </c>
      <c r="S29" s="255">
        <f t="shared" si="22"/>
        <v>-48894.091388213128</v>
      </c>
      <c r="T29" s="255">
        <f t="shared" si="23"/>
        <v>-48894.091388213128</v>
      </c>
      <c r="U29" s="255">
        <f t="shared" si="23"/>
        <v>-48894.091388213128</v>
      </c>
      <c r="V29" s="255">
        <f t="shared" si="23"/>
        <v>-48894.091388213128</v>
      </c>
      <c r="W29" s="255">
        <f t="shared" si="23"/>
        <v>-48894.091388213128</v>
      </c>
      <c r="X29" s="255">
        <f t="shared" si="23"/>
        <v>-48894.091388213128</v>
      </c>
      <c r="Y29" s="255">
        <f t="shared" si="23"/>
        <v>-48894.091388213128</v>
      </c>
      <c r="Z29" s="255">
        <f t="shared" si="23"/>
        <v>-48894.091388213128</v>
      </c>
      <c r="AA29" s="255">
        <f t="shared" si="24"/>
        <v>-48894.091388213128</v>
      </c>
      <c r="AB29" s="255">
        <f t="shared" si="25"/>
        <v>-48894.091388213128</v>
      </c>
      <c r="AC29" s="255">
        <f t="shared" si="26"/>
        <v>-48894.091388213128</v>
      </c>
      <c r="AD29" s="255">
        <f t="shared" si="27"/>
        <v>-48894.091388213128</v>
      </c>
      <c r="AE29" s="255">
        <f t="shared" si="28"/>
        <v>-48894.091388213128</v>
      </c>
      <c r="AF29" s="255">
        <f t="shared" si="29"/>
        <v>-48894.091388213128</v>
      </c>
      <c r="AG29" s="255">
        <f t="shared" si="30"/>
        <v>-48894.091388213128</v>
      </c>
      <c r="AH29" s="255">
        <f t="shared" si="31"/>
        <v>-48894.091388213128</v>
      </c>
      <c r="AI29" s="255">
        <f t="shared" si="32"/>
        <v>-48894.091388213128</v>
      </c>
      <c r="AJ29" s="255">
        <f t="shared" si="33"/>
        <v>-48894.091388213128</v>
      </c>
      <c r="AK29" s="255">
        <f t="shared" si="34"/>
        <v>-48894.091388213128</v>
      </c>
      <c r="AL29" s="255">
        <f t="shared" si="35"/>
        <v>-48894.091388213128</v>
      </c>
      <c r="AM29" s="255">
        <f>SUM(C29:AL29)</f>
        <v>-1760187.2899756734</v>
      </c>
      <c r="AN29" s="153"/>
    </row>
    <row r="30" spans="2:40">
      <c r="B30" s="254"/>
      <c r="C30" s="259"/>
      <c r="D30" s="259"/>
      <c r="E30" s="259"/>
      <c r="F30" s="259"/>
      <c r="G30" s="259"/>
      <c r="H30" s="259"/>
      <c r="I30" s="259"/>
      <c r="J30" s="259"/>
      <c r="K30" s="259"/>
      <c r="L30" s="259"/>
      <c r="M30" s="259"/>
      <c r="N30" s="259"/>
      <c r="O30" s="259"/>
      <c r="P30" s="259"/>
      <c r="Q30" s="259"/>
      <c r="R30" s="259"/>
      <c r="S30" s="259"/>
      <c r="T30" s="259"/>
      <c r="U30" s="259"/>
      <c r="V30" s="259"/>
      <c r="W30" s="259"/>
      <c r="X30" s="259"/>
      <c r="Y30" s="259"/>
      <c r="Z30" s="259"/>
      <c r="AA30" s="259"/>
      <c r="AB30" s="259"/>
      <c r="AC30" s="259"/>
      <c r="AD30" s="259"/>
      <c r="AE30" s="259"/>
      <c r="AF30" s="259"/>
      <c r="AG30" s="259"/>
      <c r="AH30" s="259"/>
      <c r="AI30" s="259"/>
      <c r="AJ30" s="259"/>
      <c r="AK30" s="259"/>
      <c r="AL30" s="259"/>
      <c r="AM30" s="259"/>
    </row>
    <row r="31" spans="2:40">
      <c r="B31" s="254" t="s">
        <v>216</v>
      </c>
      <c r="C31" s="255">
        <f t="shared" ref="C31:Z31" si="36">SUM(C24:C25,C27:C30)</f>
        <v>-2889087.740039547</v>
      </c>
      <c r="D31" s="255">
        <f t="shared" si="36"/>
        <v>153991.68116993175</v>
      </c>
      <c r="E31" s="255">
        <f t="shared" si="36"/>
        <v>153991.68116993175</v>
      </c>
      <c r="F31" s="255">
        <f t="shared" si="36"/>
        <v>153991.68116993175</v>
      </c>
      <c r="G31" s="255">
        <f t="shared" si="36"/>
        <v>153991.68116993175</v>
      </c>
      <c r="H31" s="255">
        <f t="shared" si="36"/>
        <v>153991.68116993175</v>
      </c>
      <c r="I31" s="255">
        <f t="shared" si="36"/>
        <v>153991.68116993175</v>
      </c>
      <c r="J31" s="255">
        <f t="shared" si="36"/>
        <v>153991.68116993175</v>
      </c>
      <c r="K31" s="255">
        <f t="shared" si="36"/>
        <v>153991.68116993175</v>
      </c>
      <c r="L31" s="255">
        <f t="shared" si="36"/>
        <v>153991.68116993175</v>
      </c>
      <c r="M31" s="255">
        <f t="shared" si="36"/>
        <v>153991.68116993175</v>
      </c>
      <c r="N31" s="255">
        <f t="shared" si="36"/>
        <v>153991.68116993175</v>
      </c>
      <c r="O31" s="255">
        <f t="shared" si="36"/>
        <v>153991.68116993175</v>
      </c>
      <c r="P31" s="255">
        <f t="shared" si="36"/>
        <v>153991.68116993175</v>
      </c>
      <c r="Q31" s="255">
        <f t="shared" si="36"/>
        <v>153991.68116993175</v>
      </c>
      <c r="R31" s="255">
        <f t="shared" si="36"/>
        <v>153991.68116993175</v>
      </c>
      <c r="S31" s="255">
        <f t="shared" si="36"/>
        <v>153991.68116993175</v>
      </c>
      <c r="T31" s="255">
        <f t="shared" si="36"/>
        <v>153991.68116993175</v>
      </c>
      <c r="U31" s="255">
        <f t="shared" si="36"/>
        <v>153991.68116993175</v>
      </c>
      <c r="V31" s="255">
        <f t="shared" si="36"/>
        <v>153991.68116993175</v>
      </c>
      <c r="W31" s="255">
        <f t="shared" si="36"/>
        <v>153991.68116993175</v>
      </c>
      <c r="X31" s="255">
        <f t="shared" si="36"/>
        <v>153991.68116993175</v>
      </c>
      <c r="Y31" s="255">
        <f t="shared" si="36"/>
        <v>153991.68116993175</v>
      </c>
      <c r="Z31" s="255">
        <f t="shared" si="36"/>
        <v>153991.68116993175</v>
      </c>
      <c r="AA31" s="255">
        <f t="shared" ref="AA31:AL31" si="37">SUM(AA24:AA25,AA27:AA30)</f>
        <v>153991.68116993175</v>
      </c>
      <c r="AB31" s="255">
        <f t="shared" si="37"/>
        <v>153991.68116993175</v>
      </c>
      <c r="AC31" s="255">
        <f t="shared" si="37"/>
        <v>153991.68116993175</v>
      </c>
      <c r="AD31" s="255">
        <f t="shared" si="37"/>
        <v>153991.68116993175</v>
      </c>
      <c r="AE31" s="255">
        <f t="shared" si="37"/>
        <v>153991.68116993175</v>
      </c>
      <c r="AF31" s="255">
        <f t="shared" si="37"/>
        <v>153991.68116993175</v>
      </c>
      <c r="AG31" s="255">
        <f t="shared" si="37"/>
        <v>153991.68116993175</v>
      </c>
      <c r="AH31" s="255">
        <f t="shared" si="37"/>
        <v>153991.68116993175</v>
      </c>
      <c r="AI31" s="255">
        <f t="shared" si="37"/>
        <v>153991.68116993175</v>
      </c>
      <c r="AJ31" s="255">
        <f t="shared" si="37"/>
        <v>153991.68116993175</v>
      </c>
      <c r="AK31" s="255">
        <f t="shared" si="37"/>
        <v>153991.68116993175</v>
      </c>
      <c r="AL31" s="255">
        <f t="shared" si="37"/>
        <v>153991.68116993175</v>
      </c>
      <c r="AM31" s="255">
        <f>SUM(C31:AL31)</f>
        <v>2500621.1009080647</v>
      </c>
    </row>
    <row r="32" spans="2:40" ht="15" thickBot="1">
      <c r="B32" s="260" t="s">
        <v>217</v>
      </c>
      <c r="C32" s="261">
        <f>C31</f>
        <v>-2889087.740039547</v>
      </c>
      <c r="D32" s="261">
        <f>D31+C32</f>
        <v>-2735096.0588696152</v>
      </c>
      <c r="E32" s="261">
        <f t="shared" ref="E32:Z32" si="38">E31+D32</f>
        <v>-2581104.3776996834</v>
      </c>
      <c r="F32" s="261">
        <f t="shared" si="38"/>
        <v>-2427112.6965297516</v>
      </c>
      <c r="G32" s="261">
        <f t="shared" si="38"/>
        <v>-2273121.0153598199</v>
      </c>
      <c r="H32" s="261">
        <f t="shared" si="38"/>
        <v>-2119129.3341898881</v>
      </c>
      <c r="I32" s="261">
        <f t="shared" si="38"/>
        <v>-1965137.6530199563</v>
      </c>
      <c r="J32" s="261">
        <f t="shared" si="38"/>
        <v>-1811145.9718500245</v>
      </c>
      <c r="K32" s="261">
        <f t="shared" si="38"/>
        <v>-1657154.2906800928</v>
      </c>
      <c r="L32" s="261">
        <f t="shared" si="38"/>
        <v>-1503162.609510161</v>
      </c>
      <c r="M32" s="261">
        <f t="shared" si="38"/>
        <v>-1349170.9283402292</v>
      </c>
      <c r="N32" s="261">
        <f t="shared" si="38"/>
        <v>-1195179.2471702974</v>
      </c>
      <c r="O32" s="261">
        <f t="shared" si="38"/>
        <v>-1041187.5660003657</v>
      </c>
      <c r="P32" s="261">
        <f t="shared" si="38"/>
        <v>-887195.88483043388</v>
      </c>
      <c r="Q32" s="261">
        <f t="shared" si="38"/>
        <v>-733204.2036605021</v>
      </c>
      <c r="R32" s="261">
        <f t="shared" si="38"/>
        <v>-579212.52249057032</v>
      </c>
      <c r="S32" s="261">
        <f t="shared" si="38"/>
        <v>-425220.84132063854</v>
      </c>
      <c r="T32" s="261">
        <f t="shared" si="38"/>
        <v>-271229.16015070677</v>
      </c>
      <c r="U32" s="261">
        <f t="shared" si="38"/>
        <v>-117237.47898077502</v>
      </c>
      <c r="V32" s="261">
        <f t="shared" si="38"/>
        <v>36754.202189156727</v>
      </c>
      <c r="W32" s="261">
        <f t="shared" si="38"/>
        <v>190745.88335908848</v>
      </c>
      <c r="X32" s="261">
        <f t="shared" si="38"/>
        <v>344737.56452902022</v>
      </c>
      <c r="Y32" s="261">
        <f t="shared" si="38"/>
        <v>498729.245698952</v>
      </c>
      <c r="Z32" s="261">
        <f t="shared" si="38"/>
        <v>652720.92686888378</v>
      </c>
      <c r="AA32" s="261">
        <f t="shared" ref="AA32" si="39">AA31+Z32</f>
        <v>806712.60803881555</v>
      </c>
      <c r="AB32" s="261">
        <f t="shared" ref="AB32" si="40">AB31+AA32</f>
        <v>960704.28920874733</v>
      </c>
      <c r="AC32" s="261">
        <f t="shared" ref="AC32" si="41">AC31+AB32</f>
        <v>1114695.970378679</v>
      </c>
      <c r="AD32" s="261">
        <f t="shared" ref="AD32" si="42">AD31+AC32</f>
        <v>1268687.6515486108</v>
      </c>
      <c r="AE32" s="261">
        <f t="shared" ref="AE32" si="43">AE31+AD32</f>
        <v>1422679.3327185425</v>
      </c>
      <c r="AF32" s="261">
        <f t="shared" ref="AF32" si="44">AF31+AE32</f>
        <v>1576671.0138884743</v>
      </c>
      <c r="AG32" s="261">
        <f t="shared" ref="AG32" si="45">AG31+AF32</f>
        <v>1730662.6950584061</v>
      </c>
      <c r="AH32" s="261">
        <f t="shared" ref="AH32" si="46">AH31+AG32</f>
        <v>1884654.3762283379</v>
      </c>
      <c r="AI32" s="261">
        <f t="shared" ref="AI32" si="47">AI31+AH32</f>
        <v>2038646.0573982697</v>
      </c>
      <c r="AJ32" s="261">
        <f t="shared" ref="AJ32" si="48">AJ31+AI32</f>
        <v>2192637.7385682012</v>
      </c>
      <c r="AK32" s="261">
        <f t="shared" ref="AK32" si="49">AK31+AJ32</f>
        <v>2346629.419738133</v>
      </c>
      <c r="AL32" s="261">
        <f t="shared" ref="AL32" si="50">AL31+AK32</f>
        <v>2500621.1009080647</v>
      </c>
      <c r="AM32" s="261"/>
    </row>
    <row r="34" spans="2:40">
      <c r="B34" t="s">
        <v>218</v>
      </c>
      <c r="C34" s="262">
        <f>C32*1%</f>
        <v>-28890.877400395471</v>
      </c>
      <c r="D34" s="262">
        <f>D32*1%</f>
        <v>-27350.960588696151</v>
      </c>
      <c r="E34" s="262">
        <f>E32*1%</f>
        <v>-25811.043776996834</v>
      </c>
      <c r="F34" s="262">
        <f t="shared" ref="F34:Z34" si="51">F32*1%</f>
        <v>-24271.126965297517</v>
      </c>
      <c r="G34" s="262">
        <f t="shared" si="51"/>
        <v>-22731.2101535982</v>
      </c>
      <c r="H34" s="262">
        <f t="shared" si="51"/>
        <v>-21191.29334189888</v>
      </c>
      <c r="I34" s="262">
        <f t="shared" si="51"/>
        <v>-19651.376530199563</v>
      </c>
      <c r="J34" s="262">
        <f t="shared" si="51"/>
        <v>-18111.459718500246</v>
      </c>
      <c r="K34" s="262">
        <f t="shared" si="51"/>
        <v>-16571.542906800929</v>
      </c>
      <c r="L34" s="262">
        <f t="shared" si="51"/>
        <v>-15031.62609510161</v>
      </c>
      <c r="M34" s="262">
        <f t="shared" si="51"/>
        <v>-13491.709283402291</v>
      </c>
      <c r="N34" s="262">
        <f t="shared" si="51"/>
        <v>-11951.792471702975</v>
      </c>
      <c r="O34" s="262">
        <f t="shared" si="51"/>
        <v>-10411.875660003656</v>
      </c>
      <c r="P34" s="262">
        <f t="shared" si="51"/>
        <v>-8871.958848304339</v>
      </c>
      <c r="Q34" s="262">
        <f t="shared" si="51"/>
        <v>-7332.0420366050212</v>
      </c>
      <c r="R34" s="262">
        <f t="shared" si="51"/>
        <v>-5792.1252249057034</v>
      </c>
      <c r="S34" s="262">
        <f t="shared" si="51"/>
        <v>-4252.2084132063856</v>
      </c>
      <c r="T34" s="262">
        <f t="shared" si="51"/>
        <v>-2712.2916015070678</v>
      </c>
      <c r="U34" s="262">
        <f t="shared" si="51"/>
        <v>-1172.3747898077502</v>
      </c>
      <c r="V34" s="262">
        <f t="shared" si="51"/>
        <v>367.54202189156729</v>
      </c>
      <c r="W34" s="262">
        <f t="shared" si="51"/>
        <v>1907.4588335908848</v>
      </c>
      <c r="X34" s="262">
        <f t="shared" si="51"/>
        <v>3447.3756452902021</v>
      </c>
      <c r="Y34" s="262">
        <f t="shared" si="51"/>
        <v>4987.2924569895204</v>
      </c>
      <c r="Z34" s="262">
        <f t="shared" si="51"/>
        <v>6527.2092686888382</v>
      </c>
      <c r="AA34" s="262">
        <f t="shared" ref="AA34:AL34" si="52">AA32*1%</f>
        <v>8067.126080388156</v>
      </c>
      <c r="AB34" s="262">
        <f t="shared" si="52"/>
        <v>9607.0428920874729</v>
      </c>
      <c r="AC34" s="262">
        <f t="shared" si="52"/>
        <v>11146.95970378679</v>
      </c>
      <c r="AD34" s="262">
        <f t="shared" si="52"/>
        <v>12686.876515486108</v>
      </c>
      <c r="AE34" s="262">
        <f t="shared" si="52"/>
        <v>14226.793327185425</v>
      </c>
      <c r="AF34" s="262">
        <f t="shared" si="52"/>
        <v>15766.710138884744</v>
      </c>
      <c r="AG34" s="262">
        <f t="shared" si="52"/>
        <v>17306.626950584061</v>
      </c>
      <c r="AH34" s="262">
        <f t="shared" si="52"/>
        <v>18846.543762283378</v>
      </c>
      <c r="AI34" s="262">
        <f t="shared" si="52"/>
        <v>20386.460573982698</v>
      </c>
      <c r="AJ34" s="262">
        <f t="shared" si="52"/>
        <v>21926.377385682012</v>
      </c>
      <c r="AK34" s="262">
        <f t="shared" si="52"/>
        <v>23466.294197381329</v>
      </c>
      <c r="AL34" s="262">
        <f t="shared" si="52"/>
        <v>25006.211009080649</v>
      </c>
      <c r="AM34" s="255">
        <f>SUM(C34:AL34)</f>
        <v>-69923.995043666728</v>
      </c>
    </row>
    <row r="36" spans="2:40">
      <c r="AM36" s="153">
        <f>AM31-Profitability!E43+AM34</f>
        <v>2397337.4707349166</v>
      </c>
    </row>
    <row r="38" spans="2:40">
      <c r="B38" t="s">
        <v>220</v>
      </c>
    </row>
    <row r="40" spans="2:40" ht="15" thickBot="1">
      <c r="B40" s="250" t="s">
        <v>207</v>
      </c>
      <c r="C40" s="251">
        <v>1</v>
      </c>
      <c r="D40" s="251">
        <f>C40+1</f>
        <v>2</v>
      </c>
      <c r="E40" s="251">
        <f t="shared" ref="E40:AL40" si="53">D40+1</f>
        <v>3</v>
      </c>
      <c r="F40" s="251">
        <f t="shared" si="53"/>
        <v>4</v>
      </c>
      <c r="G40" s="251">
        <f t="shared" si="53"/>
        <v>5</v>
      </c>
      <c r="H40" s="251">
        <f t="shared" si="53"/>
        <v>6</v>
      </c>
      <c r="I40" s="251">
        <f t="shared" si="53"/>
        <v>7</v>
      </c>
      <c r="J40" s="251">
        <f t="shared" si="53"/>
        <v>8</v>
      </c>
      <c r="K40" s="251">
        <f t="shared" si="53"/>
        <v>9</v>
      </c>
      <c r="L40" s="251">
        <f t="shared" si="53"/>
        <v>10</v>
      </c>
      <c r="M40" s="251">
        <f t="shared" si="53"/>
        <v>11</v>
      </c>
      <c r="N40" s="251">
        <f t="shared" si="53"/>
        <v>12</v>
      </c>
      <c r="O40" s="251">
        <f t="shared" si="53"/>
        <v>13</v>
      </c>
      <c r="P40" s="251">
        <f t="shared" si="53"/>
        <v>14</v>
      </c>
      <c r="Q40" s="251">
        <f t="shared" si="53"/>
        <v>15</v>
      </c>
      <c r="R40" s="251">
        <f t="shared" si="53"/>
        <v>16</v>
      </c>
      <c r="S40" s="251">
        <f t="shared" si="53"/>
        <v>17</v>
      </c>
      <c r="T40" s="251">
        <f t="shared" si="53"/>
        <v>18</v>
      </c>
      <c r="U40" s="251">
        <f t="shared" si="53"/>
        <v>19</v>
      </c>
      <c r="V40" s="251">
        <f t="shared" si="53"/>
        <v>20</v>
      </c>
      <c r="W40" s="251">
        <f t="shared" si="53"/>
        <v>21</v>
      </c>
      <c r="X40" s="251">
        <f t="shared" si="53"/>
        <v>22</v>
      </c>
      <c r="Y40" s="251">
        <f t="shared" si="53"/>
        <v>23</v>
      </c>
      <c r="Z40" s="251">
        <f t="shared" si="53"/>
        <v>24</v>
      </c>
      <c r="AA40" s="251">
        <f t="shared" si="53"/>
        <v>25</v>
      </c>
      <c r="AB40" s="251">
        <f t="shared" si="53"/>
        <v>26</v>
      </c>
      <c r="AC40" s="251">
        <f t="shared" si="53"/>
        <v>27</v>
      </c>
      <c r="AD40" s="251">
        <f t="shared" si="53"/>
        <v>28</v>
      </c>
      <c r="AE40" s="251">
        <f t="shared" si="53"/>
        <v>29</v>
      </c>
      <c r="AF40" s="251">
        <f t="shared" si="53"/>
        <v>30</v>
      </c>
      <c r="AG40" s="251">
        <f t="shared" si="53"/>
        <v>31</v>
      </c>
      <c r="AH40" s="251">
        <f t="shared" si="53"/>
        <v>32</v>
      </c>
      <c r="AI40" s="251">
        <f t="shared" si="53"/>
        <v>33</v>
      </c>
      <c r="AJ40" s="251">
        <f t="shared" si="53"/>
        <v>34</v>
      </c>
      <c r="AK40" s="251">
        <f t="shared" si="53"/>
        <v>35</v>
      </c>
      <c r="AL40" s="251">
        <f t="shared" si="53"/>
        <v>36</v>
      </c>
      <c r="AM40" s="251" t="s">
        <v>208</v>
      </c>
    </row>
    <row r="41" spans="2:40">
      <c r="B41" s="252" t="s">
        <v>209</v>
      </c>
      <c r="C41" s="253"/>
      <c r="D41" s="253"/>
      <c r="E41" s="253"/>
      <c r="F41" s="253"/>
      <c r="G41" s="253"/>
      <c r="H41" s="253"/>
      <c r="I41" s="253"/>
      <c r="J41" s="253"/>
      <c r="K41" s="253"/>
      <c r="L41" s="253"/>
      <c r="M41" s="253"/>
      <c r="N41" s="253"/>
      <c r="O41" s="253"/>
      <c r="P41" s="253"/>
      <c r="Q41" s="253"/>
      <c r="R41" s="253"/>
      <c r="S41" s="253"/>
      <c r="T41" s="253"/>
      <c r="U41" s="253"/>
      <c r="V41" s="253"/>
      <c r="W41" s="253"/>
      <c r="X41" s="253"/>
      <c r="Y41" s="253"/>
      <c r="Z41" s="253"/>
      <c r="AA41" s="253"/>
      <c r="AB41" s="253"/>
      <c r="AC41" s="253"/>
      <c r="AD41" s="253"/>
      <c r="AE41" s="253"/>
      <c r="AF41" s="253"/>
      <c r="AG41" s="253"/>
      <c r="AH41" s="253"/>
      <c r="AI41" s="253"/>
      <c r="AJ41" s="253"/>
      <c r="AK41" s="253"/>
      <c r="AL41" s="253"/>
      <c r="AM41" s="253"/>
    </row>
    <row r="42" spans="2:40">
      <c r="B42" s="254" t="s">
        <v>210</v>
      </c>
      <c r="C42" s="255">
        <f>(Profitability!G24-Profitability!G11)/Profitability!K2</f>
        <v>239579.32404911114</v>
      </c>
      <c r="D42" s="255">
        <f>C42</f>
        <v>239579.32404911114</v>
      </c>
      <c r="E42" s="255">
        <f t="shared" ref="E42:AL42" si="54">D42</f>
        <v>239579.32404911114</v>
      </c>
      <c r="F42" s="255">
        <f t="shared" si="54"/>
        <v>239579.32404911114</v>
      </c>
      <c r="G42" s="255">
        <f t="shared" si="54"/>
        <v>239579.32404911114</v>
      </c>
      <c r="H42" s="255">
        <f t="shared" si="54"/>
        <v>239579.32404911114</v>
      </c>
      <c r="I42" s="255">
        <f t="shared" si="54"/>
        <v>239579.32404911114</v>
      </c>
      <c r="J42" s="255">
        <f t="shared" si="54"/>
        <v>239579.32404911114</v>
      </c>
      <c r="K42" s="255">
        <f t="shared" si="54"/>
        <v>239579.32404911114</v>
      </c>
      <c r="L42" s="255">
        <f t="shared" si="54"/>
        <v>239579.32404911114</v>
      </c>
      <c r="M42" s="255">
        <f t="shared" si="54"/>
        <v>239579.32404911114</v>
      </c>
      <c r="N42" s="255">
        <f t="shared" si="54"/>
        <v>239579.32404911114</v>
      </c>
      <c r="O42" s="255">
        <f t="shared" si="54"/>
        <v>239579.32404911114</v>
      </c>
      <c r="P42" s="255">
        <f t="shared" si="54"/>
        <v>239579.32404911114</v>
      </c>
      <c r="Q42" s="255">
        <f t="shared" si="54"/>
        <v>239579.32404911114</v>
      </c>
      <c r="R42" s="255">
        <f t="shared" si="54"/>
        <v>239579.32404911114</v>
      </c>
      <c r="S42" s="255">
        <f t="shared" si="54"/>
        <v>239579.32404911114</v>
      </c>
      <c r="T42" s="255">
        <f t="shared" si="54"/>
        <v>239579.32404911114</v>
      </c>
      <c r="U42" s="255">
        <f t="shared" si="54"/>
        <v>239579.32404911114</v>
      </c>
      <c r="V42" s="255">
        <f t="shared" si="54"/>
        <v>239579.32404911114</v>
      </c>
      <c r="W42" s="255">
        <f t="shared" si="54"/>
        <v>239579.32404911114</v>
      </c>
      <c r="X42" s="255">
        <f t="shared" si="54"/>
        <v>239579.32404911114</v>
      </c>
      <c r="Y42" s="255">
        <f t="shared" si="54"/>
        <v>239579.32404911114</v>
      </c>
      <c r="Z42" s="255">
        <f t="shared" si="54"/>
        <v>239579.32404911114</v>
      </c>
      <c r="AA42" s="255">
        <f t="shared" si="54"/>
        <v>239579.32404911114</v>
      </c>
      <c r="AB42" s="255">
        <f t="shared" si="54"/>
        <v>239579.32404911114</v>
      </c>
      <c r="AC42" s="255">
        <f t="shared" si="54"/>
        <v>239579.32404911114</v>
      </c>
      <c r="AD42" s="255">
        <f t="shared" si="54"/>
        <v>239579.32404911114</v>
      </c>
      <c r="AE42" s="255">
        <f t="shared" si="54"/>
        <v>239579.32404911114</v>
      </c>
      <c r="AF42" s="255">
        <f t="shared" si="54"/>
        <v>239579.32404911114</v>
      </c>
      <c r="AG42" s="255">
        <f t="shared" si="54"/>
        <v>239579.32404911114</v>
      </c>
      <c r="AH42" s="255">
        <f t="shared" si="54"/>
        <v>239579.32404911114</v>
      </c>
      <c r="AI42" s="255">
        <f t="shared" si="54"/>
        <v>239579.32404911114</v>
      </c>
      <c r="AJ42" s="255">
        <f t="shared" si="54"/>
        <v>239579.32404911114</v>
      </c>
      <c r="AK42" s="255">
        <f t="shared" si="54"/>
        <v>239579.32404911114</v>
      </c>
      <c r="AL42" s="255">
        <f t="shared" si="54"/>
        <v>239579.32404911114</v>
      </c>
      <c r="AM42" s="255">
        <f>SUM(C42:AL42)</f>
        <v>8624855.665768005</v>
      </c>
    </row>
    <row r="43" spans="2:40">
      <c r="B43" s="254" t="s">
        <v>211</v>
      </c>
      <c r="C43" s="255">
        <f>C25</f>
        <v>157714.81697584316</v>
      </c>
      <c r="D43" s="255">
        <v>0</v>
      </c>
      <c r="E43" s="255">
        <v>0</v>
      </c>
      <c r="F43" s="255">
        <v>0</v>
      </c>
      <c r="G43" s="255">
        <v>0</v>
      </c>
      <c r="H43" s="255">
        <v>0</v>
      </c>
      <c r="I43" s="255">
        <v>0</v>
      </c>
      <c r="J43" s="255">
        <v>0</v>
      </c>
      <c r="K43" s="255">
        <v>0</v>
      </c>
      <c r="L43" s="255">
        <v>0</v>
      </c>
      <c r="M43" s="255">
        <v>0</v>
      </c>
      <c r="N43" s="255">
        <v>0</v>
      </c>
      <c r="O43" s="255">
        <v>0</v>
      </c>
      <c r="P43" s="255">
        <v>0</v>
      </c>
      <c r="Q43" s="255">
        <v>0</v>
      </c>
      <c r="R43" s="255">
        <v>0</v>
      </c>
      <c r="S43" s="255">
        <v>0</v>
      </c>
      <c r="T43" s="255">
        <v>0</v>
      </c>
      <c r="U43" s="255">
        <v>0</v>
      </c>
      <c r="V43" s="255">
        <v>0</v>
      </c>
      <c r="W43" s="255">
        <v>0</v>
      </c>
      <c r="X43" s="255">
        <v>0</v>
      </c>
      <c r="Y43" s="255">
        <v>0</v>
      </c>
      <c r="Z43" s="255">
        <v>0</v>
      </c>
      <c r="AA43" s="255">
        <v>0</v>
      </c>
      <c r="AB43" s="255">
        <v>0</v>
      </c>
      <c r="AC43" s="255">
        <v>0</v>
      </c>
      <c r="AD43" s="255">
        <v>0</v>
      </c>
      <c r="AE43" s="255">
        <v>0</v>
      </c>
      <c r="AF43" s="255">
        <v>0</v>
      </c>
      <c r="AG43" s="255">
        <v>0</v>
      </c>
      <c r="AH43" s="255">
        <v>0</v>
      </c>
      <c r="AI43" s="255">
        <v>0</v>
      </c>
      <c r="AJ43" s="255">
        <v>0</v>
      </c>
      <c r="AK43" s="255">
        <v>0</v>
      </c>
      <c r="AL43" s="255">
        <v>0</v>
      </c>
      <c r="AM43" s="255">
        <f>SUM(C43:AL43)</f>
        <v>157714.81697584316</v>
      </c>
    </row>
    <row r="44" spans="2:40">
      <c r="B44" s="256" t="s">
        <v>212</v>
      </c>
      <c r="C44" s="257"/>
      <c r="D44" s="257"/>
      <c r="E44" s="257"/>
      <c r="F44" s="257"/>
      <c r="G44" s="257"/>
      <c r="H44" s="257"/>
      <c r="I44" s="257"/>
      <c r="J44" s="257"/>
      <c r="K44" s="257"/>
      <c r="L44" s="257"/>
      <c r="M44" s="257"/>
      <c r="N44" s="257"/>
      <c r="O44" s="257"/>
      <c r="P44" s="257"/>
      <c r="Q44" s="257"/>
      <c r="R44" s="257"/>
      <c r="S44" s="257"/>
      <c r="T44" s="257"/>
      <c r="U44" s="257"/>
      <c r="V44" s="257"/>
      <c r="W44" s="257"/>
      <c r="X44" s="257"/>
      <c r="Y44" s="257"/>
      <c r="Z44" s="257"/>
      <c r="AA44" s="257"/>
      <c r="AB44" s="257"/>
      <c r="AC44" s="257"/>
      <c r="AD44" s="257"/>
      <c r="AE44" s="257"/>
      <c r="AF44" s="257"/>
      <c r="AG44" s="257"/>
      <c r="AH44" s="257"/>
      <c r="AI44" s="257"/>
      <c r="AJ44" s="257"/>
      <c r="AK44" s="257"/>
      <c r="AL44" s="257"/>
      <c r="AM44" s="257"/>
    </row>
    <row r="45" spans="2:40">
      <c r="B45" s="254" t="s">
        <v>213</v>
      </c>
      <c r="C45" s="255">
        <f>-Profitability!G48</f>
        <v>-3200794.2381853219</v>
      </c>
      <c r="D45" s="255">
        <v>0</v>
      </c>
      <c r="E45" s="255">
        <v>0</v>
      </c>
      <c r="F45" s="255">
        <v>0</v>
      </c>
      <c r="G45" s="255">
        <v>0</v>
      </c>
      <c r="H45" s="255">
        <v>0</v>
      </c>
      <c r="I45" s="255">
        <v>0</v>
      </c>
      <c r="J45" s="255">
        <v>0</v>
      </c>
      <c r="K45" s="255">
        <v>0</v>
      </c>
      <c r="L45" s="255">
        <v>0</v>
      </c>
      <c r="M45" s="255">
        <v>0</v>
      </c>
      <c r="N45" s="255">
        <v>0</v>
      </c>
      <c r="O45" s="255">
        <v>0</v>
      </c>
      <c r="P45" s="255">
        <v>0</v>
      </c>
      <c r="Q45" s="255">
        <v>0</v>
      </c>
      <c r="R45" s="255">
        <v>0</v>
      </c>
      <c r="S45" s="255">
        <v>0</v>
      </c>
      <c r="T45" s="255">
        <v>0</v>
      </c>
      <c r="U45" s="255">
        <v>0</v>
      </c>
      <c r="V45" s="255">
        <v>0</v>
      </c>
      <c r="W45" s="255">
        <v>0</v>
      </c>
      <c r="X45" s="255">
        <v>0</v>
      </c>
      <c r="Y45" s="255">
        <v>0</v>
      </c>
      <c r="Z45" s="255">
        <v>0</v>
      </c>
      <c r="AA45" s="255">
        <v>0</v>
      </c>
      <c r="AB45" s="255">
        <v>0</v>
      </c>
      <c r="AC45" s="255">
        <v>0</v>
      </c>
      <c r="AD45" s="255">
        <v>0</v>
      </c>
      <c r="AE45" s="255">
        <v>0</v>
      </c>
      <c r="AF45" s="255">
        <v>0</v>
      </c>
      <c r="AG45" s="255">
        <v>0</v>
      </c>
      <c r="AH45" s="255">
        <v>0</v>
      </c>
      <c r="AI45" s="255">
        <v>0</v>
      </c>
      <c r="AJ45" s="255">
        <v>0</v>
      </c>
      <c r="AK45" s="255">
        <v>0</v>
      </c>
      <c r="AL45" s="255">
        <v>0</v>
      </c>
      <c r="AM45" s="255">
        <f>SUM(C45:AL45)</f>
        <v>-3200794.2381853219</v>
      </c>
    </row>
    <row r="46" spans="2:40">
      <c r="B46" s="254" t="s">
        <v>214</v>
      </c>
      <c r="C46" s="255">
        <f>-Profitability!G33/Profitability!K2</f>
        <v>-50786.452905619859</v>
      </c>
      <c r="D46" s="255">
        <f t="shared" ref="D46:S47" si="55">C46</f>
        <v>-50786.452905619859</v>
      </c>
      <c r="E46" s="255">
        <f t="shared" si="55"/>
        <v>-50786.452905619859</v>
      </c>
      <c r="F46" s="255">
        <f t="shared" si="55"/>
        <v>-50786.452905619859</v>
      </c>
      <c r="G46" s="255">
        <f t="shared" si="55"/>
        <v>-50786.452905619859</v>
      </c>
      <c r="H46" s="255">
        <f t="shared" si="55"/>
        <v>-50786.452905619859</v>
      </c>
      <c r="I46" s="255">
        <f t="shared" si="55"/>
        <v>-50786.452905619859</v>
      </c>
      <c r="J46" s="255">
        <f t="shared" si="55"/>
        <v>-50786.452905619859</v>
      </c>
      <c r="K46" s="255">
        <f t="shared" si="55"/>
        <v>-50786.452905619859</v>
      </c>
      <c r="L46" s="255">
        <f t="shared" si="55"/>
        <v>-50786.452905619859</v>
      </c>
      <c r="M46" s="255">
        <f t="shared" si="55"/>
        <v>-50786.452905619859</v>
      </c>
      <c r="N46" s="255">
        <f t="shared" si="55"/>
        <v>-50786.452905619859</v>
      </c>
      <c r="O46" s="255">
        <f t="shared" si="55"/>
        <v>-50786.452905619859</v>
      </c>
      <c r="P46" s="255">
        <f t="shared" si="55"/>
        <v>-50786.452905619859</v>
      </c>
      <c r="Q46" s="255">
        <f t="shared" si="55"/>
        <v>-50786.452905619859</v>
      </c>
      <c r="R46" s="255">
        <f t="shared" si="55"/>
        <v>-50786.452905619859</v>
      </c>
      <c r="S46" s="255">
        <f t="shared" si="55"/>
        <v>-50786.452905619859</v>
      </c>
      <c r="T46" s="255">
        <f t="shared" ref="T46:AI47" si="56">S46</f>
        <v>-50786.452905619859</v>
      </c>
      <c r="U46" s="255">
        <f t="shared" si="56"/>
        <v>-50786.452905619859</v>
      </c>
      <c r="V46" s="255">
        <f t="shared" si="56"/>
        <v>-50786.452905619859</v>
      </c>
      <c r="W46" s="255">
        <f t="shared" si="56"/>
        <v>-50786.452905619859</v>
      </c>
      <c r="X46" s="255">
        <f t="shared" si="56"/>
        <v>-50786.452905619859</v>
      </c>
      <c r="Y46" s="255">
        <f t="shared" si="56"/>
        <v>-50786.452905619859</v>
      </c>
      <c r="Z46" s="255">
        <f t="shared" si="56"/>
        <v>-50786.452905619859</v>
      </c>
      <c r="AA46" s="255">
        <f t="shared" si="56"/>
        <v>-50786.452905619859</v>
      </c>
      <c r="AB46" s="255">
        <f t="shared" si="56"/>
        <v>-50786.452905619859</v>
      </c>
      <c r="AC46" s="255">
        <f t="shared" si="56"/>
        <v>-50786.452905619859</v>
      </c>
      <c r="AD46" s="255">
        <f t="shared" si="56"/>
        <v>-50786.452905619859</v>
      </c>
      <c r="AE46" s="255">
        <f t="shared" si="56"/>
        <v>-50786.452905619859</v>
      </c>
      <c r="AF46" s="255">
        <f t="shared" si="56"/>
        <v>-50786.452905619859</v>
      </c>
      <c r="AG46" s="255">
        <f t="shared" si="56"/>
        <v>-50786.452905619859</v>
      </c>
      <c r="AH46" s="255">
        <f t="shared" si="56"/>
        <v>-50786.452905619859</v>
      </c>
      <c r="AI46" s="255">
        <f t="shared" si="56"/>
        <v>-50786.452905619859</v>
      </c>
      <c r="AJ46" s="255">
        <f t="shared" ref="AJ46:AL47" si="57">AI46</f>
        <v>-50786.452905619859</v>
      </c>
      <c r="AK46" s="255">
        <f t="shared" si="57"/>
        <v>-50786.452905619859</v>
      </c>
      <c r="AL46" s="255">
        <f t="shared" si="57"/>
        <v>-50786.452905619859</v>
      </c>
      <c r="AM46" s="255">
        <f>SUM(C46:AL46)</f>
        <v>-1828312.3046023133</v>
      </c>
    </row>
    <row r="47" spans="2:40">
      <c r="B47" s="254" t="s">
        <v>215</v>
      </c>
      <c r="C47" s="255">
        <f>-Profitability!G35/Profitability!K2</f>
        <v>-48894.091388213128</v>
      </c>
      <c r="D47" s="255">
        <f t="shared" si="55"/>
        <v>-48894.091388213128</v>
      </c>
      <c r="E47" s="255">
        <f t="shared" si="55"/>
        <v>-48894.091388213128</v>
      </c>
      <c r="F47" s="255">
        <f t="shared" si="55"/>
        <v>-48894.091388213128</v>
      </c>
      <c r="G47" s="255">
        <f t="shared" si="55"/>
        <v>-48894.091388213128</v>
      </c>
      <c r="H47" s="255">
        <f t="shared" si="55"/>
        <v>-48894.091388213128</v>
      </c>
      <c r="I47" s="255">
        <f t="shared" si="55"/>
        <v>-48894.091388213128</v>
      </c>
      <c r="J47" s="255">
        <f t="shared" si="55"/>
        <v>-48894.091388213128</v>
      </c>
      <c r="K47" s="255">
        <f t="shared" si="55"/>
        <v>-48894.091388213128</v>
      </c>
      <c r="L47" s="255">
        <f t="shared" si="55"/>
        <v>-48894.091388213128</v>
      </c>
      <c r="M47" s="255">
        <f t="shared" si="55"/>
        <v>-48894.091388213128</v>
      </c>
      <c r="N47" s="255">
        <f t="shared" si="55"/>
        <v>-48894.091388213128</v>
      </c>
      <c r="O47" s="255">
        <f t="shared" si="55"/>
        <v>-48894.091388213128</v>
      </c>
      <c r="P47" s="255">
        <f t="shared" si="55"/>
        <v>-48894.091388213128</v>
      </c>
      <c r="Q47" s="255">
        <f t="shared" si="55"/>
        <v>-48894.091388213128</v>
      </c>
      <c r="R47" s="255">
        <f t="shared" si="55"/>
        <v>-48894.091388213128</v>
      </c>
      <c r="S47" s="255">
        <f t="shared" si="55"/>
        <v>-48894.091388213128</v>
      </c>
      <c r="T47" s="255">
        <f t="shared" si="56"/>
        <v>-48894.091388213128</v>
      </c>
      <c r="U47" s="255">
        <f t="shared" si="56"/>
        <v>-48894.091388213128</v>
      </c>
      <c r="V47" s="255">
        <f t="shared" si="56"/>
        <v>-48894.091388213128</v>
      </c>
      <c r="W47" s="255">
        <f t="shared" si="56"/>
        <v>-48894.091388213128</v>
      </c>
      <c r="X47" s="255">
        <f t="shared" si="56"/>
        <v>-48894.091388213128</v>
      </c>
      <c r="Y47" s="255">
        <f t="shared" si="56"/>
        <v>-48894.091388213128</v>
      </c>
      <c r="Z47" s="255">
        <f t="shared" si="56"/>
        <v>-48894.091388213128</v>
      </c>
      <c r="AA47" s="255">
        <f t="shared" si="56"/>
        <v>-48894.091388213128</v>
      </c>
      <c r="AB47" s="255">
        <f t="shared" si="56"/>
        <v>-48894.091388213128</v>
      </c>
      <c r="AC47" s="255">
        <f t="shared" si="56"/>
        <v>-48894.091388213128</v>
      </c>
      <c r="AD47" s="255">
        <f t="shared" si="56"/>
        <v>-48894.091388213128</v>
      </c>
      <c r="AE47" s="255">
        <f t="shared" si="56"/>
        <v>-48894.091388213128</v>
      </c>
      <c r="AF47" s="255">
        <f t="shared" si="56"/>
        <v>-48894.091388213128</v>
      </c>
      <c r="AG47" s="255">
        <f t="shared" si="56"/>
        <v>-48894.091388213128</v>
      </c>
      <c r="AH47" s="255">
        <f t="shared" si="56"/>
        <v>-48894.091388213128</v>
      </c>
      <c r="AI47" s="255">
        <f t="shared" si="56"/>
        <v>-48894.091388213128</v>
      </c>
      <c r="AJ47" s="255">
        <f t="shared" si="57"/>
        <v>-48894.091388213128</v>
      </c>
      <c r="AK47" s="255">
        <f t="shared" si="57"/>
        <v>-48894.091388213128</v>
      </c>
      <c r="AL47" s="255">
        <f t="shared" si="57"/>
        <v>-48894.091388213128</v>
      </c>
      <c r="AM47" s="255">
        <f>SUM(C47:AL47)</f>
        <v>-1760187.2899756734</v>
      </c>
      <c r="AN47" s="153"/>
    </row>
    <row r="48" spans="2:40">
      <c r="B48" s="254"/>
      <c r="C48" s="259"/>
      <c r="D48" s="259"/>
      <c r="E48" s="259"/>
      <c r="F48" s="259"/>
      <c r="G48" s="259"/>
      <c r="H48" s="259"/>
      <c r="I48" s="259"/>
      <c r="J48" s="259"/>
      <c r="K48" s="259"/>
      <c r="L48" s="259"/>
      <c r="M48" s="259"/>
      <c r="N48" s="259"/>
      <c r="O48" s="259"/>
      <c r="P48" s="259"/>
      <c r="Q48" s="259"/>
      <c r="R48" s="259"/>
      <c r="S48" s="259"/>
      <c r="T48" s="259"/>
      <c r="U48" s="259"/>
      <c r="V48" s="259"/>
      <c r="W48" s="259"/>
      <c r="X48" s="259"/>
      <c r="Y48" s="259"/>
      <c r="Z48" s="259"/>
      <c r="AA48" s="259"/>
      <c r="AB48" s="259"/>
      <c r="AC48" s="259"/>
      <c r="AD48" s="259"/>
      <c r="AE48" s="259"/>
      <c r="AF48" s="259"/>
      <c r="AG48" s="259"/>
      <c r="AH48" s="259"/>
      <c r="AI48" s="259"/>
      <c r="AJ48" s="259"/>
      <c r="AK48" s="259"/>
      <c r="AL48" s="259"/>
      <c r="AM48" s="259"/>
    </row>
    <row r="49" spans="2:39">
      <c r="B49" s="254" t="s">
        <v>216</v>
      </c>
      <c r="C49" s="255">
        <f t="shared" ref="C49:AL49" si="58">SUM(C42:C43,C45:C48)</f>
        <v>-2903180.6414542007</v>
      </c>
      <c r="D49" s="255">
        <f t="shared" si="58"/>
        <v>139898.77975527814</v>
      </c>
      <c r="E49" s="255">
        <f t="shared" si="58"/>
        <v>139898.77975527814</v>
      </c>
      <c r="F49" s="255">
        <f t="shared" si="58"/>
        <v>139898.77975527814</v>
      </c>
      <c r="G49" s="255">
        <f t="shared" si="58"/>
        <v>139898.77975527814</v>
      </c>
      <c r="H49" s="255">
        <f t="shared" si="58"/>
        <v>139898.77975527814</v>
      </c>
      <c r="I49" s="255">
        <f t="shared" si="58"/>
        <v>139898.77975527814</v>
      </c>
      <c r="J49" s="255">
        <f t="shared" si="58"/>
        <v>139898.77975527814</v>
      </c>
      <c r="K49" s="255">
        <f t="shared" si="58"/>
        <v>139898.77975527814</v>
      </c>
      <c r="L49" s="255">
        <f t="shared" si="58"/>
        <v>139898.77975527814</v>
      </c>
      <c r="M49" s="255">
        <f t="shared" si="58"/>
        <v>139898.77975527814</v>
      </c>
      <c r="N49" s="255">
        <f t="shared" si="58"/>
        <v>139898.77975527814</v>
      </c>
      <c r="O49" s="255">
        <f t="shared" si="58"/>
        <v>139898.77975527814</v>
      </c>
      <c r="P49" s="255">
        <f t="shared" si="58"/>
        <v>139898.77975527814</v>
      </c>
      <c r="Q49" s="255">
        <f t="shared" si="58"/>
        <v>139898.77975527814</v>
      </c>
      <c r="R49" s="255">
        <f t="shared" si="58"/>
        <v>139898.77975527814</v>
      </c>
      <c r="S49" s="255">
        <f t="shared" si="58"/>
        <v>139898.77975527814</v>
      </c>
      <c r="T49" s="255">
        <f t="shared" si="58"/>
        <v>139898.77975527814</v>
      </c>
      <c r="U49" s="255">
        <f t="shared" si="58"/>
        <v>139898.77975527814</v>
      </c>
      <c r="V49" s="255">
        <f t="shared" si="58"/>
        <v>139898.77975527814</v>
      </c>
      <c r="W49" s="255">
        <f t="shared" si="58"/>
        <v>139898.77975527814</v>
      </c>
      <c r="X49" s="255">
        <f t="shared" si="58"/>
        <v>139898.77975527814</v>
      </c>
      <c r="Y49" s="255">
        <f t="shared" si="58"/>
        <v>139898.77975527814</v>
      </c>
      <c r="Z49" s="255">
        <f t="shared" si="58"/>
        <v>139898.77975527814</v>
      </c>
      <c r="AA49" s="255">
        <f t="shared" si="58"/>
        <v>139898.77975527814</v>
      </c>
      <c r="AB49" s="255">
        <f t="shared" si="58"/>
        <v>139898.77975527814</v>
      </c>
      <c r="AC49" s="255">
        <f t="shared" si="58"/>
        <v>139898.77975527814</v>
      </c>
      <c r="AD49" s="255">
        <f t="shared" si="58"/>
        <v>139898.77975527814</v>
      </c>
      <c r="AE49" s="255">
        <f t="shared" si="58"/>
        <v>139898.77975527814</v>
      </c>
      <c r="AF49" s="255">
        <f t="shared" si="58"/>
        <v>139898.77975527814</v>
      </c>
      <c r="AG49" s="255">
        <f t="shared" si="58"/>
        <v>139898.77975527814</v>
      </c>
      <c r="AH49" s="255">
        <f t="shared" si="58"/>
        <v>139898.77975527814</v>
      </c>
      <c r="AI49" s="255">
        <f t="shared" si="58"/>
        <v>139898.77975527814</v>
      </c>
      <c r="AJ49" s="255">
        <f t="shared" si="58"/>
        <v>139898.77975527814</v>
      </c>
      <c r="AK49" s="255">
        <f t="shared" si="58"/>
        <v>139898.77975527814</v>
      </c>
      <c r="AL49" s="255">
        <f t="shared" si="58"/>
        <v>139898.77975527814</v>
      </c>
      <c r="AM49" s="255">
        <f>SUM(C49:AL49)</f>
        <v>1993276.649980532</v>
      </c>
    </row>
    <row r="50" spans="2:39" ht="15" thickBot="1">
      <c r="B50" s="260" t="s">
        <v>217</v>
      </c>
      <c r="C50" s="261">
        <f>C49</f>
        <v>-2903180.6414542007</v>
      </c>
      <c r="D50" s="261">
        <f>D49+C50</f>
        <v>-2763281.8616989227</v>
      </c>
      <c r="E50" s="261">
        <f t="shared" ref="E50:AL50" si="59">E49+D50</f>
        <v>-2623383.0819436447</v>
      </c>
      <c r="F50" s="261">
        <f t="shared" si="59"/>
        <v>-2483484.3021883667</v>
      </c>
      <c r="G50" s="261">
        <f t="shared" si="59"/>
        <v>-2343585.5224330886</v>
      </c>
      <c r="H50" s="261">
        <f t="shared" si="59"/>
        <v>-2203686.7426778106</v>
      </c>
      <c r="I50" s="261">
        <f t="shared" si="59"/>
        <v>-2063787.9629225326</v>
      </c>
      <c r="J50" s="261">
        <f t="shared" si="59"/>
        <v>-1923889.1831672546</v>
      </c>
      <c r="K50" s="261">
        <f t="shared" si="59"/>
        <v>-1783990.4034119765</v>
      </c>
      <c r="L50" s="261">
        <f t="shared" si="59"/>
        <v>-1644091.6236566985</v>
      </c>
      <c r="M50" s="261">
        <f t="shared" si="59"/>
        <v>-1504192.8439014205</v>
      </c>
      <c r="N50" s="261">
        <f t="shared" si="59"/>
        <v>-1364294.0641461425</v>
      </c>
      <c r="O50" s="261">
        <f t="shared" si="59"/>
        <v>-1224395.2843908644</v>
      </c>
      <c r="P50" s="261">
        <f t="shared" si="59"/>
        <v>-1084496.5046355864</v>
      </c>
      <c r="Q50" s="261">
        <f t="shared" si="59"/>
        <v>-944597.72488030826</v>
      </c>
      <c r="R50" s="261">
        <f t="shared" si="59"/>
        <v>-804698.94512503012</v>
      </c>
      <c r="S50" s="261">
        <f t="shared" si="59"/>
        <v>-664800.16536975198</v>
      </c>
      <c r="T50" s="261">
        <f t="shared" si="59"/>
        <v>-524901.38561447384</v>
      </c>
      <c r="U50" s="261">
        <f t="shared" si="59"/>
        <v>-385002.6058591957</v>
      </c>
      <c r="V50" s="261">
        <f t="shared" si="59"/>
        <v>-245103.82610391756</v>
      </c>
      <c r="W50" s="261">
        <f t="shared" si="59"/>
        <v>-105205.04634863941</v>
      </c>
      <c r="X50" s="261">
        <f t="shared" si="59"/>
        <v>34693.733406638727</v>
      </c>
      <c r="Y50" s="261">
        <f t="shared" si="59"/>
        <v>174592.51316191687</v>
      </c>
      <c r="Z50" s="261">
        <f t="shared" si="59"/>
        <v>314491.29291719501</v>
      </c>
      <c r="AA50" s="261">
        <f t="shared" si="59"/>
        <v>454390.07267247315</v>
      </c>
      <c r="AB50" s="261">
        <f t="shared" si="59"/>
        <v>594288.85242775129</v>
      </c>
      <c r="AC50" s="261">
        <f t="shared" si="59"/>
        <v>734187.63218302943</v>
      </c>
      <c r="AD50" s="261">
        <f t="shared" si="59"/>
        <v>874086.41193830757</v>
      </c>
      <c r="AE50" s="261">
        <f t="shared" si="59"/>
        <v>1013985.1916935857</v>
      </c>
      <c r="AF50" s="261">
        <f t="shared" si="59"/>
        <v>1153883.9714488639</v>
      </c>
      <c r="AG50" s="261">
        <f t="shared" si="59"/>
        <v>1293782.7512041419</v>
      </c>
      <c r="AH50" s="261">
        <f t="shared" si="59"/>
        <v>1433681.5309594199</v>
      </c>
      <c r="AI50" s="261">
        <f t="shared" si="59"/>
        <v>1573580.3107146979</v>
      </c>
      <c r="AJ50" s="261">
        <f t="shared" si="59"/>
        <v>1713479.090469976</v>
      </c>
      <c r="AK50" s="261">
        <f t="shared" si="59"/>
        <v>1853377.870225254</v>
      </c>
      <c r="AL50" s="261">
        <f t="shared" si="59"/>
        <v>1993276.649980532</v>
      </c>
      <c r="AM50" s="261"/>
    </row>
    <row r="52" spans="2:39">
      <c r="B52" t="s">
        <v>218</v>
      </c>
      <c r="C52" s="262">
        <f>C50*1%</f>
        <v>-29031.806414542007</v>
      </c>
      <c r="D52" s="262">
        <f>D50*1%</f>
        <v>-27632.818616989229</v>
      </c>
      <c r="E52" s="262">
        <f>E50*1%</f>
        <v>-26233.830819436447</v>
      </c>
      <c r="F52" s="262">
        <f t="shared" ref="F52:AL52" si="60">F50*1%</f>
        <v>-24834.843021883666</v>
      </c>
      <c r="G52" s="262">
        <f t="shared" si="60"/>
        <v>-23435.855224330888</v>
      </c>
      <c r="H52" s="262">
        <f t="shared" si="60"/>
        <v>-22036.867426778106</v>
      </c>
      <c r="I52" s="262">
        <f t="shared" si="60"/>
        <v>-20637.879629225325</v>
      </c>
      <c r="J52" s="262">
        <f t="shared" si="60"/>
        <v>-19238.891831672547</v>
      </c>
      <c r="K52" s="262">
        <f t="shared" si="60"/>
        <v>-17839.904034119765</v>
      </c>
      <c r="L52" s="262">
        <f t="shared" si="60"/>
        <v>-16440.916236566984</v>
      </c>
      <c r="M52" s="262">
        <f t="shared" si="60"/>
        <v>-15041.928439014206</v>
      </c>
      <c r="N52" s="262">
        <f t="shared" si="60"/>
        <v>-13642.940641461424</v>
      </c>
      <c r="O52" s="262">
        <f t="shared" si="60"/>
        <v>-12243.952843908644</v>
      </c>
      <c r="P52" s="262">
        <f t="shared" si="60"/>
        <v>-10844.965046355865</v>
      </c>
      <c r="Q52" s="262">
        <f t="shared" si="60"/>
        <v>-9445.9772488030831</v>
      </c>
      <c r="R52" s="262">
        <f t="shared" si="60"/>
        <v>-8046.9894512503015</v>
      </c>
      <c r="S52" s="262">
        <f t="shared" si="60"/>
        <v>-6648.0016536975199</v>
      </c>
      <c r="T52" s="262">
        <f t="shared" si="60"/>
        <v>-5249.0138561447384</v>
      </c>
      <c r="U52" s="262">
        <f t="shared" si="60"/>
        <v>-3850.0260585919568</v>
      </c>
      <c r="V52" s="262">
        <f t="shared" si="60"/>
        <v>-2451.0382610391757</v>
      </c>
      <c r="W52" s="262">
        <f t="shared" si="60"/>
        <v>-1052.0504634863942</v>
      </c>
      <c r="X52" s="262">
        <f t="shared" si="60"/>
        <v>346.93733406638728</v>
      </c>
      <c r="Y52" s="262">
        <f t="shared" si="60"/>
        <v>1745.9251316191687</v>
      </c>
      <c r="Z52" s="262">
        <f t="shared" si="60"/>
        <v>3144.9129291719501</v>
      </c>
      <c r="AA52" s="262">
        <f t="shared" si="60"/>
        <v>4543.9007267247316</v>
      </c>
      <c r="AB52" s="262">
        <f t="shared" si="60"/>
        <v>5942.8885242775132</v>
      </c>
      <c r="AC52" s="262">
        <f t="shared" si="60"/>
        <v>7341.8763218302947</v>
      </c>
      <c r="AD52" s="262">
        <f t="shared" si="60"/>
        <v>8740.8641193830754</v>
      </c>
      <c r="AE52" s="262">
        <f t="shared" si="60"/>
        <v>10139.851916935857</v>
      </c>
      <c r="AF52" s="262">
        <f t="shared" si="60"/>
        <v>11538.839714488638</v>
      </c>
      <c r="AG52" s="262">
        <f t="shared" si="60"/>
        <v>12937.827512041418</v>
      </c>
      <c r="AH52" s="262">
        <f t="shared" si="60"/>
        <v>14336.8153095942</v>
      </c>
      <c r="AI52" s="262">
        <f t="shared" si="60"/>
        <v>15735.80310714698</v>
      </c>
      <c r="AJ52" s="262">
        <f t="shared" si="60"/>
        <v>17134.790904699759</v>
      </c>
      <c r="AK52" s="262">
        <f t="shared" si="60"/>
        <v>18533.778702252541</v>
      </c>
      <c r="AL52" s="262">
        <f t="shared" si="60"/>
        <v>19932.766499805319</v>
      </c>
      <c r="AM52" s="255">
        <f>SUM(C52:AL52)</f>
        <v>-163782.7184652604</v>
      </c>
    </row>
    <row r="54" spans="2:39">
      <c r="AM54" s="153">
        <f>AM52+AM49-Profitability!G43</f>
        <v>1796134.2963857902</v>
      </c>
    </row>
    <row r="57" spans="2:39">
      <c r="G57" s="263"/>
    </row>
  </sheetData>
  <dataValidations count="2">
    <dataValidation allowBlank="1" showInputMessage="1" showErrorMessage="1" prompt="Enter values for this month in this column under this heading" sqref="C10:C13 C27:C30 C5:AM6 C40:AM41 C48:AM48 C22:AM23 D13:AM13 D30:AM30" xr:uid="{6C6FBF85-4202-4855-ABB2-88F29AD0F9E2}"/>
    <dataValidation allowBlank="1" showInputMessage="1" showErrorMessage="1" prompt="Enter or modify Cash Receipts items in this column under this heading" sqref="B5:B6 B10:B13 B22:B23 B27:B30 B40:B41 B45:B48" xr:uid="{BEE1F00D-4619-4F6D-9944-7C57B5338122}"/>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80DDF-9D51-406A-B398-C6684FF3A256}">
  <dimension ref="B1:Q4"/>
  <sheetViews>
    <sheetView showGridLines="0" workbookViewId="0">
      <selection activeCell="L4" sqref="L4"/>
    </sheetView>
  </sheetViews>
  <sheetFormatPr defaultRowHeight="14.4"/>
  <cols>
    <col min="2" max="2" width="22.77734375" bestFit="1" customWidth="1"/>
    <col min="3" max="3" width="23.77734375" customWidth="1"/>
    <col min="5" max="5" width="13.21875" customWidth="1"/>
    <col min="6" max="6" width="19" customWidth="1"/>
    <col min="10" max="10" width="14" customWidth="1"/>
    <col min="13" max="13" width="13.33203125" customWidth="1"/>
    <col min="14" max="14" width="16" customWidth="1"/>
    <col min="15" max="15" width="11.44140625" customWidth="1"/>
  </cols>
  <sheetData>
    <row r="1" spans="2:17">
      <c r="B1" s="109" t="s">
        <v>115</v>
      </c>
      <c r="C1" s="109"/>
      <c r="E1" t="s">
        <v>116</v>
      </c>
      <c r="F1" s="110" t="s">
        <v>117</v>
      </c>
      <c r="G1" s="110"/>
      <c r="H1" s="110"/>
      <c r="I1" s="111" t="s">
        <v>118</v>
      </c>
      <c r="J1" s="110"/>
      <c r="K1" s="110" t="s">
        <v>119</v>
      </c>
      <c r="L1" s="110"/>
      <c r="M1" s="110" t="s">
        <v>120</v>
      </c>
    </row>
    <row r="2" spans="2:17">
      <c r="D2" s="110"/>
      <c r="E2" s="112">
        <v>0</v>
      </c>
      <c r="F2" s="110">
        <v>3</v>
      </c>
      <c r="G2" s="113">
        <v>0.13</v>
      </c>
      <c r="H2" s="113"/>
      <c r="I2" s="114">
        <v>800</v>
      </c>
      <c r="J2" s="113"/>
      <c r="K2" s="115">
        <v>12500</v>
      </c>
      <c r="L2" s="110"/>
      <c r="M2" s="116">
        <v>0.2</v>
      </c>
      <c r="O2" s="110">
        <v>12</v>
      </c>
    </row>
    <row r="3" spans="2:17" ht="41.4">
      <c r="B3" s="117" t="s">
        <v>121</v>
      </c>
      <c r="C3" s="117" t="s">
        <v>122</v>
      </c>
      <c r="D3" s="117" t="s">
        <v>123</v>
      </c>
      <c r="E3" s="117" t="s">
        <v>124</v>
      </c>
      <c r="F3" s="117" t="s">
        <v>125</v>
      </c>
      <c r="G3" s="118" t="s">
        <v>126</v>
      </c>
      <c r="H3" s="119" t="s">
        <v>127</v>
      </c>
      <c r="I3" s="118" t="s">
        <v>128</v>
      </c>
      <c r="J3" s="119" t="s">
        <v>129</v>
      </c>
      <c r="K3" s="118" t="s">
        <v>130</v>
      </c>
      <c r="L3" s="120" t="s">
        <v>131</v>
      </c>
      <c r="M3" s="118" t="s">
        <v>132</v>
      </c>
      <c r="N3" s="120" t="s">
        <v>133</v>
      </c>
      <c r="O3" s="120" t="s">
        <v>134</v>
      </c>
    </row>
    <row r="4" spans="2:17" ht="90.6" customHeight="1">
      <c r="B4" s="121" t="s">
        <v>135</v>
      </c>
      <c r="C4" s="56" t="s">
        <v>148</v>
      </c>
      <c r="D4" s="122">
        <v>1</v>
      </c>
      <c r="E4" s="123">
        <v>950000</v>
      </c>
      <c r="F4" s="123">
        <f>D4*E4</f>
        <v>950000</v>
      </c>
      <c r="G4" s="123">
        <f>((E4*$G$2)/(1-(1+$G$2)^(-$F$2)))/36</f>
        <v>11176.27421148585</v>
      </c>
      <c r="H4" s="124">
        <v>1</v>
      </c>
      <c r="I4" s="123">
        <f>H4*$I$2</f>
        <v>800</v>
      </c>
      <c r="J4" s="125">
        <v>1000</v>
      </c>
      <c r="K4" s="123">
        <f>(J4/800)*$K$2</f>
        <v>15625</v>
      </c>
      <c r="L4" s="123">
        <f>I4+K4</f>
        <v>16425</v>
      </c>
      <c r="M4" s="126">
        <f>(G4/(1-$M$2))+L4</f>
        <v>30395.342764357312</v>
      </c>
      <c r="N4" s="123">
        <f>D4*M4</f>
        <v>30395.342764357312</v>
      </c>
      <c r="O4" s="123">
        <f>N4*$O$2</f>
        <v>364744.11317228776</v>
      </c>
      <c r="P4" s="127"/>
      <c r="Q4" s="12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2E313-262B-498F-83D2-0397B83382DF}">
  <dimension ref="B2:J26"/>
  <sheetViews>
    <sheetView showGridLines="0" topLeftCell="A19" workbookViewId="0">
      <selection activeCell="B28" sqref="B28"/>
    </sheetView>
  </sheetViews>
  <sheetFormatPr defaultRowHeight="14.4"/>
  <cols>
    <col min="1" max="1" width="4.77734375" customWidth="1"/>
    <col min="2" max="2" width="90" customWidth="1"/>
    <col min="3" max="5" width="12.77734375" customWidth="1"/>
    <col min="9" max="9" width="7.21875" customWidth="1"/>
  </cols>
  <sheetData>
    <row r="2" spans="2:10">
      <c r="B2" s="67" t="s">
        <v>149</v>
      </c>
    </row>
    <row r="3" spans="2:10" ht="16.2" thickBot="1">
      <c r="B3" s="91" t="s">
        <v>73</v>
      </c>
      <c r="C3" s="92" t="s">
        <v>74</v>
      </c>
      <c r="D3" s="93" t="s">
        <v>75</v>
      </c>
    </row>
    <row r="4" spans="2:10">
      <c r="B4" s="94" t="s">
        <v>76</v>
      </c>
      <c r="C4" s="68" t="s">
        <v>77</v>
      </c>
      <c r="D4" s="95" t="s">
        <v>78</v>
      </c>
      <c r="E4" s="69"/>
    </row>
    <row r="5" spans="2:10">
      <c r="B5" s="96" t="s">
        <v>141</v>
      </c>
      <c r="C5" s="70" t="s">
        <v>78</v>
      </c>
      <c r="D5" s="98" t="s">
        <v>87</v>
      </c>
      <c r="E5" s="69"/>
    </row>
    <row r="6" spans="2:10">
      <c r="B6" s="96" t="s">
        <v>79</v>
      </c>
      <c r="C6" s="70" t="s">
        <v>80</v>
      </c>
      <c r="D6" s="98" t="s">
        <v>81</v>
      </c>
      <c r="E6" s="69"/>
    </row>
    <row r="7" spans="2:10">
      <c r="B7" s="96" t="s">
        <v>101</v>
      </c>
      <c r="C7" s="70" t="s">
        <v>87</v>
      </c>
      <c r="D7" s="98" t="s">
        <v>86</v>
      </c>
      <c r="E7" s="69"/>
    </row>
    <row r="8" spans="2:10">
      <c r="B8" s="96" t="s">
        <v>82</v>
      </c>
      <c r="C8" s="98" t="s">
        <v>80</v>
      </c>
      <c r="D8" s="98" t="s">
        <v>81</v>
      </c>
      <c r="E8" s="69"/>
    </row>
    <row r="9" spans="2:10">
      <c r="B9" s="96" t="s">
        <v>83</v>
      </c>
      <c r="C9" s="70" t="s">
        <v>80</v>
      </c>
      <c r="D9" s="98" t="s">
        <v>81</v>
      </c>
      <c r="E9" s="69"/>
      <c r="F9" s="292"/>
      <c r="G9" s="292"/>
      <c r="H9" s="292"/>
      <c r="I9" s="292"/>
      <c r="J9" s="292"/>
    </row>
    <row r="10" spans="2:10">
      <c r="B10" s="96" t="s">
        <v>84</v>
      </c>
      <c r="C10" s="71" t="s">
        <v>80</v>
      </c>
      <c r="D10" s="98" t="s">
        <v>81</v>
      </c>
      <c r="E10" s="69"/>
    </row>
    <row r="11" spans="2:10">
      <c r="B11" s="99" t="s">
        <v>85</v>
      </c>
      <c r="C11" s="71" t="s">
        <v>86</v>
      </c>
      <c r="D11" s="98" t="s">
        <v>87</v>
      </c>
      <c r="E11" s="69"/>
    </row>
    <row r="12" spans="2:10">
      <c r="B12" s="96" t="s">
        <v>88</v>
      </c>
      <c r="C12" s="70" t="s">
        <v>89</v>
      </c>
      <c r="D12" s="97" t="s">
        <v>78</v>
      </c>
      <c r="E12" s="69"/>
    </row>
    <row r="13" spans="2:10">
      <c r="B13" s="100" t="s">
        <v>90</v>
      </c>
      <c r="C13" s="101" t="s">
        <v>78</v>
      </c>
      <c r="D13" s="102" t="s">
        <v>77</v>
      </c>
      <c r="E13" s="69"/>
    </row>
    <row r="14" spans="2:10">
      <c r="B14" s="72" t="s">
        <v>91</v>
      </c>
      <c r="C14" s="69"/>
      <c r="D14" s="69"/>
      <c r="E14" s="69"/>
    </row>
    <row r="15" spans="2:10">
      <c r="B15" s="73"/>
      <c r="C15" s="69"/>
      <c r="D15" s="69"/>
      <c r="E15" s="69"/>
    </row>
    <row r="16" spans="2:10">
      <c r="B16" s="67" t="s">
        <v>92</v>
      </c>
    </row>
    <row r="17" spans="2:9" ht="30" customHeight="1">
      <c r="B17" s="293" t="s">
        <v>93</v>
      </c>
      <c r="C17" s="294"/>
      <c r="D17" s="294"/>
      <c r="E17" s="294"/>
      <c r="F17" s="294"/>
      <c r="G17" s="294"/>
      <c r="H17" s="294"/>
      <c r="I17" s="295"/>
    </row>
    <row r="18" spans="2:9" ht="15" customHeight="1">
      <c r="B18" s="286" t="s">
        <v>94</v>
      </c>
      <c r="C18" s="287"/>
      <c r="D18" s="287"/>
      <c r="E18" s="287"/>
      <c r="F18" s="287"/>
      <c r="G18" s="287"/>
      <c r="H18" s="287"/>
      <c r="I18" s="288"/>
    </row>
    <row r="19" spans="2:9" ht="30" customHeight="1">
      <c r="B19" s="286" t="s">
        <v>95</v>
      </c>
      <c r="C19" s="287"/>
      <c r="D19" s="287"/>
      <c r="E19" s="287"/>
      <c r="F19" s="287"/>
      <c r="G19" s="287"/>
      <c r="H19" s="287"/>
      <c r="I19" s="288"/>
    </row>
    <row r="20" spans="2:9" ht="30" customHeight="1">
      <c r="B20" s="286" t="s">
        <v>96</v>
      </c>
      <c r="C20" s="287"/>
      <c r="D20" s="287"/>
      <c r="E20" s="287"/>
      <c r="F20" s="287"/>
      <c r="G20" s="287"/>
      <c r="H20" s="287"/>
      <c r="I20" s="288"/>
    </row>
    <row r="21" spans="2:9" ht="30" customHeight="1">
      <c r="B21" s="286" t="s">
        <v>97</v>
      </c>
      <c r="C21" s="287"/>
      <c r="D21" s="287"/>
      <c r="E21" s="287"/>
      <c r="F21" s="287"/>
      <c r="G21" s="287"/>
      <c r="H21" s="287"/>
      <c r="I21" s="288"/>
    </row>
    <row r="22" spans="2:9" ht="15" customHeight="1">
      <c r="B22" s="286" t="s">
        <v>98</v>
      </c>
      <c r="C22" s="287"/>
      <c r="D22" s="287"/>
      <c r="E22" s="287"/>
      <c r="F22" s="287"/>
      <c r="G22" s="287"/>
      <c r="H22" s="287"/>
      <c r="I22" s="288"/>
    </row>
    <row r="23" spans="2:9" ht="15" customHeight="1">
      <c r="B23" s="286" t="s">
        <v>99</v>
      </c>
      <c r="C23" s="287"/>
      <c r="D23" s="287"/>
      <c r="E23" s="287"/>
      <c r="F23" s="287"/>
      <c r="G23" s="287"/>
      <c r="H23" s="287"/>
      <c r="I23" s="288"/>
    </row>
    <row r="24" spans="2:9" ht="15" customHeight="1">
      <c r="B24" s="134" t="s">
        <v>150</v>
      </c>
      <c r="C24" s="135"/>
      <c r="D24" s="135"/>
      <c r="E24" s="135"/>
      <c r="F24" s="135"/>
      <c r="G24" s="135"/>
      <c r="H24" s="135"/>
      <c r="I24" s="136"/>
    </row>
    <row r="25" spans="2:9" ht="30" customHeight="1">
      <c r="B25" s="289" t="s">
        <v>100</v>
      </c>
      <c r="C25" s="290"/>
      <c r="D25" s="290"/>
      <c r="E25" s="290"/>
      <c r="F25" s="290"/>
      <c r="G25" s="290"/>
      <c r="H25" s="290"/>
      <c r="I25" s="291"/>
    </row>
    <row r="26" spans="2:9">
      <c r="B26" t="s">
        <v>102</v>
      </c>
    </row>
  </sheetData>
  <mergeCells count="9">
    <mergeCell ref="B22:I22"/>
    <mergeCell ref="B23:I23"/>
    <mergeCell ref="B25:I25"/>
    <mergeCell ref="F9:J9"/>
    <mergeCell ref="B17:I17"/>
    <mergeCell ref="B18:I18"/>
    <mergeCell ref="B19:I19"/>
    <mergeCell ref="B20:I20"/>
    <mergeCell ref="B21:I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Doc Version</vt:lpstr>
      <vt:lpstr>Summary Sheet</vt:lpstr>
      <vt:lpstr>BoM</vt:lpstr>
      <vt:lpstr>Profitability</vt:lpstr>
      <vt:lpstr>Cash Flow</vt:lpstr>
      <vt:lpstr>CAPEX - OPEX</vt:lpstr>
      <vt:lpstr>RACI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Jeevan</dc:creator>
  <cp:keywords/>
  <dc:description/>
  <cp:lastModifiedBy>Sujit Kurhade</cp:lastModifiedBy>
  <cp:revision/>
  <dcterms:created xsi:type="dcterms:W3CDTF">2023-12-07T09:30:33Z</dcterms:created>
  <dcterms:modified xsi:type="dcterms:W3CDTF">2025-09-03T07:22:40Z</dcterms:modified>
  <cp:category/>
  <cp:contentStatus/>
</cp:coreProperties>
</file>