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jit.Kurhade\Documents\CRM\Profitablity Working\"/>
    </mc:Choice>
  </mc:AlternateContent>
  <xr:revisionPtr revIDLastSave="0" documentId="13_ncr:1_{16BD89EA-4C88-4FE4-979E-147EE03FDD6B}" xr6:coauthVersionLast="47" xr6:coauthVersionMax="47" xr10:uidLastSave="{00000000-0000-0000-0000-000000000000}"/>
  <bookViews>
    <workbookView xWindow="-120" yWindow="-120" windowWidth="20730" windowHeight="11160" activeTab="1" xr2:uid="{A81CD5CB-5930-474F-AF70-B8331DCAF255}"/>
  </bookViews>
  <sheets>
    <sheet name="Sheet1" sheetId="1" r:id="rId1"/>
    <sheet name="Profitability" sheetId="2" r:id="rId2"/>
    <sheet name="cash flow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Z27" i="3" l="1"/>
  <c r="AN27" i="3"/>
  <c r="AA27" i="3"/>
  <c r="O27" i="3"/>
  <c r="AZ25" i="3"/>
  <c r="AN25" i="3"/>
  <c r="AA25" i="3"/>
  <c r="O25" i="3"/>
  <c r="BK25" i="3" s="1"/>
  <c r="D22" i="3"/>
  <c r="E22" i="3" s="1"/>
  <c r="F22" i="3" s="1"/>
  <c r="G22" i="3" s="1"/>
  <c r="H22" i="3" s="1"/>
  <c r="I22" i="3" s="1"/>
  <c r="J22" i="3" s="1"/>
  <c r="K22" i="3" s="1"/>
  <c r="L22" i="3" s="1"/>
  <c r="M22" i="3" s="1"/>
  <c r="N22" i="3" s="1"/>
  <c r="O22" i="3" s="1"/>
  <c r="P22" i="3" s="1"/>
  <c r="Q22" i="3" s="1"/>
  <c r="R22" i="3" s="1"/>
  <c r="S22" i="3" s="1"/>
  <c r="T22" i="3" s="1"/>
  <c r="U22" i="3" s="1"/>
  <c r="V22" i="3" s="1"/>
  <c r="W22" i="3" s="1"/>
  <c r="X22" i="3" s="1"/>
  <c r="Y22" i="3" s="1"/>
  <c r="Z22" i="3" s="1"/>
  <c r="AA22" i="3" s="1"/>
  <c r="AB22" i="3" s="1"/>
  <c r="AC22" i="3" s="1"/>
  <c r="AD22" i="3" s="1"/>
  <c r="AE22" i="3" s="1"/>
  <c r="AF22" i="3" s="1"/>
  <c r="AG22" i="3" s="1"/>
  <c r="AH22" i="3" s="1"/>
  <c r="AI22" i="3" s="1"/>
  <c r="AJ22" i="3" s="1"/>
  <c r="AK22" i="3" s="1"/>
  <c r="AL22" i="3" s="1"/>
  <c r="AM22" i="3" s="1"/>
  <c r="AN22" i="3" s="1"/>
  <c r="AO22" i="3" s="1"/>
  <c r="AP22" i="3" s="1"/>
  <c r="AQ22" i="3" s="1"/>
  <c r="AR22" i="3" s="1"/>
  <c r="AS22" i="3" s="1"/>
  <c r="AT22" i="3" s="1"/>
  <c r="AU22" i="3" s="1"/>
  <c r="AV22" i="3" s="1"/>
  <c r="AW22" i="3" s="1"/>
  <c r="AX22" i="3" s="1"/>
  <c r="AY22" i="3" s="1"/>
  <c r="AZ22" i="3" s="1"/>
  <c r="BA22" i="3" s="1"/>
  <c r="BB22" i="3" s="1"/>
  <c r="BC22" i="3" s="1"/>
  <c r="BD22" i="3" s="1"/>
  <c r="BE22" i="3" s="1"/>
  <c r="BF22" i="3" s="1"/>
  <c r="BG22" i="3" s="1"/>
  <c r="BH22" i="3" s="1"/>
  <c r="BI22" i="3" s="1"/>
  <c r="BJ22" i="3" s="1"/>
  <c r="O7" i="3"/>
  <c r="C29" i="2"/>
  <c r="E29" i="2" s="1"/>
  <c r="C43" i="2"/>
  <c r="E43" i="2" s="1"/>
  <c r="C21" i="2"/>
  <c r="E21" i="2" s="1"/>
  <c r="C14" i="2"/>
  <c r="E14" i="2" s="1"/>
  <c r="E28" i="2"/>
  <c r="E27" i="2"/>
  <c r="E26" i="2"/>
  <c r="C25" i="2"/>
  <c r="E18" i="2"/>
  <c r="E15" i="2"/>
  <c r="E13" i="2"/>
  <c r="H28" i="2" l="1"/>
  <c r="C24" i="2"/>
  <c r="C41" i="2"/>
  <c r="E41" i="2"/>
  <c r="E24" i="2"/>
  <c r="E16" i="2"/>
  <c r="E19" i="2"/>
  <c r="C22" i="2"/>
  <c r="E44" i="2"/>
  <c r="C31" i="2"/>
  <c r="C42" i="2"/>
  <c r="C10" i="3" l="1"/>
  <c r="C28" i="3"/>
  <c r="C6" i="3"/>
  <c r="D6" i="3" s="1"/>
  <c r="E6" i="3" s="1"/>
  <c r="C24" i="3"/>
  <c r="C45" i="2"/>
  <c r="C33" i="2"/>
  <c r="E42" i="2"/>
  <c r="E45" i="2" s="1"/>
  <c r="E25" i="2"/>
  <c r="C32" i="2"/>
  <c r="C63" i="2"/>
  <c r="D20" i="2"/>
  <c r="D17" i="2"/>
  <c r="C64" i="2"/>
  <c r="C57" i="2"/>
  <c r="D13" i="2"/>
  <c r="C36" i="2" s="1"/>
  <c r="D36" i="2" s="1"/>
  <c r="E22" i="2"/>
  <c r="C9" i="3" l="1"/>
  <c r="O9" i="3" s="1"/>
  <c r="C27" i="3"/>
  <c r="BK27" i="3" s="1"/>
  <c r="D24" i="3"/>
  <c r="D28" i="3"/>
  <c r="E28" i="3" s="1"/>
  <c r="F28" i="3" s="1"/>
  <c r="G28" i="3" s="1"/>
  <c r="H28" i="3" s="1"/>
  <c r="I28" i="3" s="1"/>
  <c r="J28" i="3" s="1"/>
  <c r="K28" i="3" s="1"/>
  <c r="L28" i="3" s="1"/>
  <c r="M28" i="3" s="1"/>
  <c r="N28" i="3" s="1"/>
  <c r="O28" i="3" s="1"/>
  <c r="P28" i="3" s="1"/>
  <c r="Q28" i="3" s="1"/>
  <c r="R28" i="3" s="1"/>
  <c r="S28" i="3" s="1"/>
  <c r="T28" i="3" s="1"/>
  <c r="U28" i="3" s="1"/>
  <c r="V28" i="3" s="1"/>
  <c r="W28" i="3" s="1"/>
  <c r="X28" i="3" s="1"/>
  <c r="Y28" i="3" s="1"/>
  <c r="Z28" i="3" s="1"/>
  <c r="AA28" i="3" s="1"/>
  <c r="AB28" i="3" s="1"/>
  <c r="AC28" i="3" s="1"/>
  <c r="AD28" i="3" s="1"/>
  <c r="AE28" i="3" s="1"/>
  <c r="AF28" i="3" s="1"/>
  <c r="AG28" i="3" s="1"/>
  <c r="AH28" i="3" s="1"/>
  <c r="AI28" i="3" s="1"/>
  <c r="AJ28" i="3" s="1"/>
  <c r="AK28" i="3" s="1"/>
  <c r="AL28" i="3" s="1"/>
  <c r="AM28" i="3" s="1"/>
  <c r="AN28" i="3" s="1"/>
  <c r="AO28" i="3" s="1"/>
  <c r="AP28" i="3" s="1"/>
  <c r="AQ28" i="3" s="1"/>
  <c r="AR28" i="3" s="1"/>
  <c r="AS28" i="3" s="1"/>
  <c r="AT28" i="3" s="1"/>
  <c r="AU28" i="3" s="1"/>
  <c r="AV28" i="3" s="1"/>
  <c r="AW28" i="3" s="1"/>
  <c r="AX28" i="3" s="1"/>
  <c r="AY28" i="3" s="1"/>
  <c r="AZ28" i="3" s="1"/>
  <c r="BA28" i="3" s="1"/>
  <c r="BB28" i="3" s="1"/>
  <c r="BC28" i="3" s="1"/>
  <c r="BD28" i="3" s="1"/>
  <c r="BE28" i="3" s="1"/>
  <c r="BF28" i="3" s="1"/>
  <c r="BG28" i="3" s="1"/>
  <c r="BH28" i="3" s="1"/>
  <c r="BI28" i="3" s="1"/>
  <c r="BJ28" i="3" s="1"/>
  <c r="C11" i="3"/>
  <c r="C29" i="3"/>
  <c r="D10" i="3"/>
  <c r="E10" i="3" s="1"/>
  <c r="F10" i="3" s="1"/>
  <c r="G10" i="3" s="1"/>
  <c r="H10" i="3" s="1"/>
  <c r="I10" i="3" s="1"/>
  <c r="J10" i="3" s="1"/>
  <c r="K10" i="3" s="1"/>
  <c r="L10" i="3" s="1"/>
  <c r="M10" i="3" s="1"/>
  <c r="N10" i="3" s="1"/>
  <c r="D11" i="3"/>
  <c r="C13" i="3"/>
  <c r="C14" i="3" s="1"/>
  <c r="C16" i="3" s="1"/>
  <c r="F6" i="3"/>
  <c r="C37" i="2"/>
  <c r="D37" i="2" s="1"/>
  <c r="C38" i="2"/>
  <c r="D38" i="2" s="1"/>
  <c r="F17" i="2"/>
  <c r="E37" i="2" s="1"/>
  <c r="F37" i="2" s="1"/>
  <c r="F13" i="2"/>
  <c r="E36" i="2" s="1"/>
  <c r="E40" i="2"/>
  <c r="E50" i="2" s="1"/>
  <c r="F20" i="2"/>
  <c r="E38" i="2" s="1"/>
  <c r="C34" i="2"/>
  <c r="C55" i="2"/>
  <c r="O10" i="3" l="1"/>
  <c r="BK28" i="3"/>
  <c r="D29" i="3"/>
  <c r="E29" i="3" s="1"/>
  <c r="F29" i="3" s="1"/>
  <c r="G29" i="3" s="1"/>
  <c r="H29" i="3" s="1"/>
  <c r="I29" i="3" s="1"/>
  <c r="J29" i="3" s="1"/>
  <c r="K29" i="3" s="1"/>
  <c r="L29" i="3" s="1"/>
  <c r="M29" i="3" s="1"/>
  <c r="N29" i="3" s="1"/>
  <c r="O29" i="3" s="1"/>
  <c r="P29" i="3" s="1"/>
  <c r="Q29" i="3" s="1"/>
  <c r="R29" i="3" s="1"/>
  <c r="S29" i="3" s="1"/>
  <c r="T29" i="3" s="1"/>
  <c r="U29" i="3" s="1"/>
  <c r="V29" i="3" s="1"/>
  <c r="W29" i="3" s="1"/>
  <c r="X29" i="3" s="1"/>
  <c r="Y29" i="3" s="1"/>
  <c r="Z29" i="3" s="1"/>
  <c r="AA29" i="3" s="1"/>
  <c r="AB29" i="3" s="1"/>
  <c r="AC29" i="3" s="1"/>
  <c r="AD29" i="3" s="1"/>
  <c r="AE29" i="3" s="1"/>
  <c r="AF29" i="3" s="1"/>
  <c r="AG29" i="3" s="1"/>
  <c r="AH29" i="3" s="1"/>
  <c r="AI29" i="3" s="1"/>
  <c r="AJ29" i="3" s="1"/>
  <c r="AK29" i="3" s="1"/>
  <c r="AL29" i="3" s="1"/>
  <c r="AM29" i="3" s="1"/>
  <c r="AN29" i="3" s="1"/>
  <c r="AO29" i="3" s="1"/>
  <c r="AP29" i="3" s="1"/>
  <c r="AQ29" i="3" s="1"/>
  <c r="AR29" i="3" s="1"/>
  <c r="AS29" i="3" s="1"/>
  <c r="AT29" i="3" s="1"/>
  <c r="AU29" i="3" s="1"/>
  <c r="AV29" i="3" s="1"/>
  <c r="AW29" i="3" s="1"/>
  <c r="AX29" i="3" s="1"/>
  <c r="AY29" i="3" s="1"/>
  <c r="AZ29" i="3" s="1"/>
  <c r="BA29" i="3" s="1"/>
  <c r="BB29" i="3" s="1"/>
  <c r="BC29" i="3" s="1"/>
  <c r="BD29" i="3" s="1"/>
  <c r="BE29" i="3" s="1"/>
  <c r="BF29" i="3" s="1"/>
  <c r="BG29" i="3" s="1"/>
  <c r="BH29" i="3" s="1"/>
  <c r="BI29" i="3" s="1"/>
  <c r="BJ29" i="3" s="1"/>
  <c r="E24" i="3"/>
  <c r="C31" i="3"/>
  <c r="C32" i="3" s="1"/>
  <c r="C34" i="3" s="1"/>
  <c r="E11" i="3"/>
  <c r="D13" i="3"/>
  <c r="D14" i="3" s="1"/>
  <c r="D16" i="3" s="1"/>
  <c r="G6" i="3"/>
  <c r="E52" i="2"/>
  <c r="F52" i="2" s="1"/>
  <c r="E51" i="2"/>
  <c r="F51" i="2" s="1"/>
  <c r="F38" i="2"/>
  <c r="D34" i="2"/>
  <c r="F50" i="2"/>
  <c r="F36" i="2"/>
  <c r="E31" i="2"/>
  <c r="E57" i="2" s="1"/>
  <c r="BK29" i="3" l="1"/>
  <c r="D31" i="3"/>
  <c r="D32" i="3" s="1"/>
  <c r="D34" i="3" s="1"/>
  <c r="E31" i="3"/>
  <c r="F24" i="3"/>
  <c r="F11" i="3"/>
  <c r="E13" i="3"/>
  <c r="E14" i="3" s="1"/>
  <c r="E16" i="3" s="1"/>
  <c r="H6" i="3"/>
  <c r="E33" i="2"/>
  <c r="E32" i="2"/>
  <c r="E64" i="2"/>
  <c r="E63" i="2"/>
  <c r="E55" i="2" l="1"/>
  <c r="E34" i="2"/>
  <c r="E46" i="2" s="1"/>
  <c r="E32" i="3"/>
  <c r="E34" i="3" s="1"/>
  <c r="F31" i="3"/>
  <c r="F32" i="3" s="1"/>
  <c r="F34" i="3" s="1"/>
  <c r="G24" i="3"/>
  <c r="G11" i="3"/>
  <c r="F13" i="3"/>
  <c r="F14" i="3" s="1"/>
  <c r="F16" i="3" s="1"/>
  <c r="I6" i="3"/>
  <c r="G31" i="3" l="1"/>
  <c r="G32" i="3" s="1"/>
  <c r="G34" i="3" s="1"/>
  <c r="H24" i="3"/>
  <c r="H11" i="3"/>
  <c r="G13" i="3"/>
  <c r="G14" i="3" s="1"/>
  <c r="G16" i="3" s="1"/>
  <c r="J6" i="3"/>
  <c r="F34" i="2"/>
  <c r="E47" i="2"/>
  <c r="F47" i="2"/>
  <c r="E56" i="2" l="1"/>
  <c r="H31" i="3"/>
  <c r="H32" i="3" s="1"/>
  <c r="H34" i="3" s="1"/>
  <c r="I24" i="3"/>
  <c r="I11" i="3"/>
  <c r="H13" i="3"/>
  <c r="H14" i="3" s="1"/>
  <c r="H16" i="3" s="1"/>
  <c r="K6" i="3"/>
  <c r="J24" i="3" l="1"/>
  <c r="I31" i="3"/>
  <c r="I32" i="3" s="1"/>
  <c r="I34" i="3" s="1"/>
  <c r="J11" i="3"/>
  <c r="I13" i="3"/>
  <c r="I14" i="3" s="1"/>
  <c r="I16" i="3" s="1"/>
  <c r="L6" i="3"/>
  <c r="J31" i="3" l="1"/>
  <c r="J32" i="3" s="1"/>
  <c r="J34" i="3" s="1"/>
  <c r="K24" i="3"/>
  <c r="K11" i="3"/>
  <c r="J13" i="3"/>
  <c r="J14" i="3" s="1"/>
  <c r="J16" i="3" s="1"/>
  <c r="M6" i="3"/>
  <c r="K31" i="3" l="1"/>
  <c r="K32" i="3" s="1"/>
  <c r="K34" i="3" s="1"/>
  <c r="L24" i="3"/>
  <c r="L11" i="3"/>
  <c r="K13" i="3"/>
  <c r="K14" i="3" s="1"/>
  <c r="K16" i="3" s="1"/>
  <c r="N6" i="3"/>
  <c r="L31" i="3" l="1"/>
  <c r="L32" i="3" s="1"/>
  <c r="L34" i="3" s="1"/>
  <c r="M24" i="3"/>
  <c r="M11" i="3"/>
  <c r="L13" i="3"/>
  <c r="L14" i="3" s="1"/>
  <c r="L16" i="3" s="1"/>
  <c r="O6" i="3"/>
  <c r="O8" i="3" s="1"/>
  <c r="M31" i="3" l="1"/>
  <c r="M32" i="3" s="1"/>
  <c r="M34" i="3" s="1"/>
  <c r="N24" i="3"/>
  <c r="N11" i="3"/>
  <c r="M13" i="3"/>
  <c r="M14" i="3" s="1"/>
  <c r="M16" i="3" s="1"/>
  <c r="N31" i="3" l="1"/>
  <c r="N32" i="3" s="1"/>
  <c r="N34" i="3" s="1"/>
  <c r="O24" i="3"/>
  <c r="O11" i="3"/>
  <c r="N13" i="3"/>
  <c r="P24" i="3" l="1"/>
  <c r="O31" i="3"/>
  <c r="O32" i="3" s="1"/>
  <c r="O34" i="3" s="1"/>
  <c r="N14" i="3"/>
  <c r="N16" i="3" s="1"/>
  <c r="O16" i="3" s="1"/>
  <c r="O13" i="3"/>
  <c r="P31" i="3" l="1"/>
  <c r="P32" i="3" s="1"/>
  <c r="P34" i="3" s="1"/>
  <c r="Q24" i="3"/>
  <c r="Q31" i="3" l="1"/>
  <c r="Q32" i="3" s="1"/>
  <c r="Q34" i="3" s="1"/>
  <c r="R24" i="3"/>
  <c r="R31" i="3" l="1"/>
  <c r="R32" i="3" s="1"/>
  <c r="R34" i="3" s="1"/>
  <c r="S24" i="3"/>
  <c r="S31" i="3" l="1"/>
  <c r="S32" i="3" s="1"/>
  <c r="S34" i="3" s="1"/>
  <c r="T24" i="3"/>
  <c r="T31" i="3" l="1"/>
  <c r="T32" i="3" s="1"/>
  <c r="T34" i="3" s="1"/>
  <c r="U24" i="3"/>
  <c r="U31" i="3" l="1"/>
  <c r="U32" i="3" s="1"/>
  <c r="U34" i="3" s="1"/>
  <c r="V24" i="3"/>
  <c r="V31" i="3" l="1"/>
  <c r="V32" i="3" s="1"/>
  <c r="V34" i="3" s="1"/>
  <c r="W24" i="3"/>
  <c r="W31" i="3" l="1"/>
  <c r="W32" i="3" s="1"/>
  <c r="W34" i="3" s="1"/>
  <c r="X24" i="3"/>
  <c r="X31" i="3" l="1"/>
  <c r="X32" i="3" s="1"/>
  <c r="X34" i="3" s="1"/>
  <c r="Y24" i="3"/>
  <c r="Y31" i="3" l="1"/>
  <c r="Y32" i="3" s="1"/>
  <c r="Y34" i="3" s="1"/>
  <c r="Z24" i="3"/>
  <c r="Z31" i="3" l="1"/>
  <c r="Z32" i="3" s="1"/>
  <c r="Z34" i="3" s="1"/>
  <c r="AA24" i="3"/>
  <c r="AB24" i="3" l="1"/>
  <c r="AA31" i="3"/>
  <c r="AA32" i="3" s="1"/>
  <c r="AA34" i="3" s="1"/>
  <c r="AB31" i="3" l="1"/>
  <c r="AB32" i="3" s="1"/>
  <c r="AB34" i="3" s="1"/>
  <c r="AC24" i="3"/>
  <c r="AC31" i="3" l="1"/>
  <c r="AC32" i="3" s="1"/>
  <c r="AC34" i="3" s="1"/>
  <c r="AD24" i="3"/>
  <c r="AE24" i="3" l="1"/>
  <c r="AD31" i="3"/>
  <c r="AD32" i="3" s="1"/>
  <c r="AD34" i="3" s="1"/>
  <c r="AF24" i="3" l="1"/>
  <c r="AE31" i="3"/>
  <c r="AE32" i="3" s="1"/>
  <c r="AE34" i="3" s="1"/>
  <c r="AF31" i="3" l="1"/>
  <c r="AF32" i="3" s="1"/>
  <c r="AF34" i="3" s="1"/>
  <c r="AG24" i="3"/>
  <c r="AG31" i="3" l="1"/>
  <c r="AG32" i="3" s="1"/>
  <c r="AG34" i="3" s="1"/>
  <c r="AH24" i="3"/>
  <c r="AI24" i="3" l="1"/>
  <c r="AH31" i="3"/>
  <c r="AH32" i="3" s="1"/>
  <c r="AH34" i="3" s="1"/>
  <c r="AJ24" i="3" l="1"/>
  <c r="AI31" i="3"/>
  <c r="AI32" i="3" s="1"/>
  <c r="AI34" i="3" s="1"/>
  <c r="AJ31" i="3" l="1"/>
  <c r="AJ32" i="3" s="1"/>
  <c r="AJ34" i="3" s="1"/>
  <c r="AK24" i="3"/>
  <c r="AK31" i="3" l="1"/>
  <c r="AK32" i="3" s="1"/>
  <c r="AK34" i="3" s="1"/>
  <c r="AL24" i="3"/>
  <c r="AM24" i="3" l="1"/>
  <c r="AL31" i="3"/>
  <c r="AL32" i="3" s="1"/>
  <c r="AL34" i="3" s="1"/>
  <c r="AN24" i="3" l="1"/>
  <c r="AM31" i="3"/>
  <c r="AM32" i="3" s="1"/>
  <c r="AM34" i="3" s="1"/>
  <c r="AN31" i="3" l="1"/>
  <c r="AN32" i="3" s="1"/>
  <c r="AN34" i="3" s="1"/>
  <c r="AO24" i="3"/>
  <c r="AO31" i="3" l="1"/>
  <c r="AO32" i="3" s="1"/>
  <c r="AO34" i="3" s="1"/>
  <c r="AP24" i="3"/>
  <c r="AQ24" i="3" l="1"/>
  <c r="AP31" i="3"/>
  <c r="AP32" i="3" s="1"/>
  <c r="AP34" i="3" s="1"/>
  <c r="AR24" i="3" l="1"/>
  <c r="AQ31" i="3"/>
  <c r="AQ32" i="3" s="1"/>
  <c r="AQ34" i="3" s="1"/>
  <c r="AR31" i="3" l="1"/>
  <c r="AR32" i="3" s="1"/>
  <c r="AR34" i="3" s="1"/>
  <c r="AS24" i="3"/>
  <c r="AS31" i="3" l="1"/>
  <c r="AS32" i="3" s="1"/>
  <c r="AS34" i="3" s="1"/>
  <c r="AT24" i="3"/>
  <c r="AU24" i="3" l="1"/>
  <c r="AT31" i="3"/>
  <c r="AT32" i="3" s="1"/>
  <c r="AT34" i="3" s="1"/>
  <c r="AV24" i="3" l="1"/>
  <c r="AU31" i="3"/>
  <c r="AU32" i="3" s="1"/>
  <c r="AU34" i="3" s="1"/>
  <c r="AV31" i="3" l="1"/>
  <c r="AV32" i="3" s="1"/>
  <c r="AV34" i="3" s="1"/>
  <c r="AW24" i="3"/>
  <c r="AX24" i="3" l="1"/>
  <c r="AW31" i="3"/>
  <c r="AW32" i="3" s="1"/>
  <c r="AW34" i="3" s="1"/>
  <c r="AX31" i="3" l="1"/>
  <c r="AX32" i="3" s="1"/>
  <c r="AX34" i="3" s="1"/>
  <c r="AY24" i="3"/>
  <c r="AZ24" i="3" l="1"/>
  <c r="AY31" i="3"/>
  <c r="AY32" i="3" s="1"/>
  <c r="AY34" i="3" s="1"/>
  <c r="BA24" i="3" l="1"/>
  <c r="AZ31" i="3"/>
  <c r="AZ32" i="3" s="1"/>
  <c r="AZ34" i="3" s="1"/>
  <c r="BB24" i="3" l="1"/>
  <c r="BA31" i="3"/>
  <c r="BA32" i="3" s="1"/>
  <c r="BA34" i="3" s="1"/>
  <c r="BC24" i="3" l="1"/>
  <c r="BB31" i="3"/>
  <c r="BB32" i="3" s="1"/>
  <c r="BB34" i="3" s="1"/>
  <c r="BD24" i="3" l="1"/>
  <c r="BC31" i="3"/>
  <c r="BC32" i="3" s="1"/>
  <c r="BC34" i="3" s="1"/>
  <c r="BE24" i="3" l="1"/>
  <c r="BD31" i="3"/>
  <c r="BD32" i="3" s="1"/>
  <c r="BD34" i="3" s="1"/>
  <c r="BE31" i="3" l="1"/>
  <c r="BE32" i="3" s="1"/>
  <c r="BE34" i="3" s="1"/>
  <c r="BF24" i="3"/>
  <c r="BG24" i="3" l="1"/>
  <c r="BF31" i="3"/>
  <c r="BF32" i="3" s="1"/>
  <c r="BF34" i="3" s="1"/>
  <c r="BH24" i="3" l="1"/>
  <c r="BG31" i="3"/>
  <c r="BG32" i="3" s="1"/>
  <c r="BG34" i="3" s="1"/>
  <c r="BI24" i="3" l="1"/>
  <c r="BH31" i="3"/>
  <c r="BH32" i="3" s="1"/>
  <c r="BH34" i="3" s="1"/>
  <c r="BJ24" i="3" l="1"/>
  <c r="BI31" i="3"/>
  <c r="BI32" i="3" s="1"/>
  <c r="BI34" i="3" s="1"/>
  <c r="BJ31" i="3" l="1"/>
  <c r="BJ32" i="3" s="1"/>
  <c r="BJ34" i="3" s="1"/>
  <c r="BK24" i="3"/>
  <c r="BK31" i="3" s="1"/>
  <c r="BK32" i="3" s="1"/>
  <c r="BK34" i="3" s="1"/>
  <c r="C40" i="2" s="1"/>
  <c r="C52" i="2" l="1"/>
  <c r="D52" i="2" s="1"/>
  <c r="C50" i="2"/>
  <c r="D50" i="2" s="1"/>
  <c r="C51" i="2"/>
  <c r="D51" i="2" s="1"/>
  <c r="C46" i="2"/>
  <c r="C47" i="2" l="1"/>
  <c r="C56" i="2" s="1"/>
  <c r="D47" i="2"/>
  <c r="O23" i="1"/>
  <c r="O22" i="1"/>
  <c r="O21" i="1"/>
  <c r="O20" i="1"/>
  <c r="O19" i="1"/>
  <c r="O17" i="1"/>
  <c r="O16" i="1"/>
  <c r="O15" i="1"/>
  <c r="O12" i="1"/>
  <c r="O11" i="1"/>
  <c r="O10" i="1"/>
</calcChain>
</file>

<file path=xl/sharedStrings.xml><?xml version="1.0" encoding="utf-8"?>
<sst xmlns="http://schemas.openxmlformats.org/spreadsheetml/2006/main" count="149" uniqueCount="109">
  <si>
    <t>Compute</t>
  </si>
  <si>
    <t>CRM Cost</t>
  </si>
  <si>
    <t xml:space="preserve">ESDS' eNlight Cloud Hosting Services - (ESDS DC) </t>
  </si>
  <si>
    <t>Fixed rate card</t>
  </si>
  <si>
    <t>Env.</t>
  </si>
  <si>
    <t>Hosting Components</t>
  </si>
  <si>
    <t>vCores</t>
  </si>
  <si>
    <t>RAM</t>
  </si>
  <si>
    <t>HDD</t>
  </si>
  <si>
    <t>A.1</t>
  </si>
  <si>
    <t>eNlight Cloud Hosting</t>
  </si>
  <si>
    <t>Unit</t>
  </si>
  <si>
    <t>Cost/Unit Per Month</t>
  </si>
  <si>
    <t>Discounted Cost/Unit Per Month</t>
  </si>
  <si>
    <t>MRC Cost</t>
  </si>
  <si>
    <t>Discounted MRC Cost</t>
  </si>
  <si>
    <t xml:space="preserve">OTC </t>
  </si>
  <si>
    <t>Comment</t>
  </si>
  <si>
    <t>No</t>
  </si>
  <si>
    <t>GB</t>
  </si>
  <si>
    <t>Pinakin_FrontEnd</t>
  </si>
  <si>
    <t>As per sizing received</t>
  </si>
  <si>
    <t>Pinakin_BackEnd</t>
  </si>
  <si>
    <t>ML_Server</t>
  </si>
  <si>
    <t>Managed Services</t>
  </si>
  <si>
    <t>One Time Cost</t>
  </si>
  <si>
    <t>Operating System Management Services</t>
  </si>
  <si>
    <t>Storage Management</t>
  </si>
  <si>
    <t>ESDS' eMagic Monitoring for VMs &amp; firewall &amp; DB</t>
  </si>
  <si>
    <t>No.</t>
  </si>
  <si>
    <t xml:space="preserve">DESCRIPTION </t>
  </si>
  <si>
    <t>Infrastructure (A.1 )</t>
  </si>
  <si>
    <t>Managed Services (A.2)</t>
  </si>
  <si>
    <t xml:space="preserve">Total Monthly Service Pay Without Taxes (A.1 + A.2 ) </t>
  </si>
  <si>
    <t xml:space="preserve">Total Yearly Service Pay Without Taxes (A.1 + A.2 ) </t>
  </si>
  <si>
    <t xml:space="preserve">Total 5 year Service Pay Without Taxes (A.1 + A.2 ) </t>
  </si>
  <si>
    <t xml:space="preserve"> Virtual Instance 
vCores 8 | RAM  32 GB | Disk Storage 512 GB  </t>
  </si>
  <si>
    <t xml:space="preserve"> Virtual Instance 
vCores 16 | RAM  64 GB | Disk Storage 512 GB  </t>
  </si>
  <si>
    <t>Discount percentage</t>
  </si>
  <si>
    <t>Final MRC</t>
  </si>
  <si>
    <t>Windows OSMng Managed Services</t>
  </si>
  <si>
    <t>Managed Services  Storage Management (TN) Mumbai  Per TB NA</t>
  </si>
  <si>
    <t>eMagic Standard</t>
  </si>
  <si>
    <t>Tenure</t>
  </si>
  <si>
    <t>For 60 Months</t>
  </si>
  <si>
    <t xml:space="preserve"> Profitability Summary</t>
  </si>
  <si>
    <t>DC+DR</t>
  </si>
  <si>
    <t>Discount %</t>
  </si>
  <si>
    <t>Particulars</t>
  </si>
  <si>
    <t>Amt ( in Rs)</t>
  </si>
  <si>
    <t>%</t>
  </si>
  <si>
    <t>Selling Price</t>
  </si>
  <si>
    <t>OTC - IaaS</t>
  </si>
  <si>
    <t>IaaS</t>
  </si>
  <si>
    <t>Server</t>
  </si>
  <si>
    <t>Storage</t>
  </si>
  <si>
    <t>Network</t>
  </si>
  <si>
    <t>OTC - SaaS</t>
  </si>
  <si>
    <t xml:space="preserve">Software </t>
  </si>
  <si>
    <t>SaaS</t>
  </si>
  <si>
    <t>Security</t>
  </si>
  <si>
    <t>OTC - MS</t>
  </si>
  <si>
    <t>Managed Service</t>
  </si>
  <si>
    <t>MS</t>
  </si>
  <si>
    <t>Total Contract Value</t>
  </si>
  <si>
    <t>Input Cost</t>
  </si>
  <si>
    <t>Direct Overheads -20% of Input cost of Server</t>
  </si>
  <si>
    <t>Direct Overheads -10% of Input cost of Storage</t>
  </si>
  <si>
    <t>CPC</t>
  </si>
  <si>
    <t>Total Input Cost</t>
  </si>
  <si>
    <t>Gross Profit / ( Loss )</t>
  </si>
  <si>
    <t>Less: Cash Overheads</t>
  </si>
  <si>
    <t>EBITDA</t>
  </si>
  <si>
    <t>EBITDA IaaS %</t>
  </si>
  <si>
    <t>EBITDA SaaS %</t>
  </si>
  <si>
    <t>EBITDA MS %</t>
  </si>
  <si>
    <t>Less : Interest (Delay in Payment @12%)</t>
  </si>
  <si>
    <t>Less: 80% Depreciation Server</t>
  </si>
  <si>
    <t>Less 90%  Depreciation   Storage</t>
  </si>
  <si>
    <t>Infrastructure</t>
  </si>
  <si>
    <t xml:space="preserve">storage </t>
  </si>
  <si>
    <t>Total Depreciation</t>
  </si>
  <si>
    <t>Net Profit for Total contract period (1yr)</t>
  </si>
  <si>
    <t>Net Profit per Annum</t>
  </si>
  <si>
    <t>Net Profit</t>
  </si>
  <si>
    <t>Iaas</t>
  </si>
  <si>
    <t>Gross Profit Margin</t>
  </si>
  <si>
    <t>Net Profit Margin</t>
  </si>
  <si>
    <t>Markup Percentage</t>
  </si>
  <si>
    <t>Profit % = (Total Contract Value- Total Input Cost)/ Total Input Cost</t>
  </si>
  <si>
    <t>Margin % =  (Total Contract Value- Total Input Cost)/ Total Contract Value</t>
  </si>
  <si>
    <t>IaaS capex cost shifted to dep</t>
  </si>
  <si>
    <t>Overhead 25% charged on dep also</t>
  </si>
  <si>
    <t>Server and costbackup working required for actual capex and direct overhead charges</t>
  </si>
  <si>
    <t>Interest cost</t>
  </si>
  <si>
    <t>Rent and power</t>
  </si>
  <si>
    <t>Cash Flow</t>
  </si>
  <si>
    <t>Total</t>
  </si>
  <si>
    <t>Cash Inflow</t>
  </si>
  <si>
    <t>Revenue - Recurring</t>
  </si>
  <si>
    <t>Revenue - OTC</t>
  </si>
  <si>
    <t>Cash Outflow</t>
  </si>
  <si>
    <t>Initial</t>
  </si>
  <si>
    <t>Recurring</t>
  </si>
  <si>
    <t>Overheads</t>
  </si>
  <si>
    <t>NET INFLOW/OUTFLOW</t>
  </si>
  <si>
    <t>CUMULATIVE CASHFLOW</t>
  </si>
  <si>
    <t>Interest</t>
  </si>
  <si>
    <t>At Present Discounted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</si>
</sst>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 * #,##0.00_ ;_ * \-#,##0.00_ ;_ * &quot;-&quot;??_ ;_ @_ "/>
    <numFmt numFmtId="165" formatCode="General\ &quot;NO&quot;"/>
    <numFmt numFmtId="166" formatCode="_([$INR]\ * #,##0_);_([$INR]\ * \(#,##0\);_([$INR]\ * &quot;-&quot;??_);_(@_)"/>
    <numFmt numFmtId="167" formatCode="0.0000000000"/>
    <numFmt numFmtId="175" formatCode="&quot;₹&quot;\ #,##0"/>
    <numFmt numFmtId="176" formatCode="General\ &quot;Months&quot;"/>
    <numFmt numFmtId="177" formatCode="_(* #,##0_);_(* \(#,##0\);_(* &quot;-&quot;??_);_(@_)"/>
    <numFmt numFmtId="178" formatCode="_-* #,##0_-;\-* #,##0_-;_-* &quot;-&quot;??_-;_-@_-"/>
    <numFmt numFmtId="179" formatCode="&quot;₹&quot;\ #,##0.00"/>
    <numFmt numFmtId="180" formatCode="_ * #,##0_ ;_ * \-#,##0_ ;_ * &quot;-&quot;??_ ;_ @_ 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4"/>
      <color rgb="FFFFFF0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rgb="FF000000"/>
      <name val="Aptos"/>
      <family val="2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4.9989318521683403E-2"/>
        <bgColor indexed="64"/>
      </patternFill>
    </fill>
  </fills>
  <borders count="37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34998626667073579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196">
    <xf numFmtId="0" fontId="0" fillId="0" borderId="0" xfId="0"/>
    <xf numFmtId="9" fontId="3" fillId="2" borderId="0" xfId="0" applyNumberFormat="1" applyFont="1" applyFill="1" applyAlignment="1">
      <alignment horizontal="center" wrapText="1"/>
    </xf>
    <xf numFmtId="0" fontId="5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wrapText="1"/>
    </xf>
    <xf numFmtId="0" fontId="4" fillId="4" borderId="0" xfId="0" applyFont="1" applyFill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left" vertical="center" wrapText="1"/>
    </xf>
    <xf numFmtId="0" fontId="8" fillId="6" borderId="6" xfId="0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165" fontId="0" fillId="0" borderId="2" xfId="0" applyNumberFormat="1" applyBorder="1" applyAlignment="1">
      <alignment horizontal="center" vertical="center" wrapText="1"/>
    </xf>
    <xf numFmtId="166" fontId="0" fillId="0" borderId="2" xfId="1" applyNumberFormat="1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65" fontId="4" fillId="2" borderId="0" xfId="0" applyNumberFormat="1" applyFont="1" applyFill="1" applyAlignment="1">
      <alignment horizontal="center" wrapText="1"/>
    </xf>
    <xf numFmtId="0" fontId="0" fillId="2" borderId="0" xfId="0" applyFill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0" fillId="2" borderId="2" xfId="0" applyFont="1" applyFill="1" applyBorder="1" applyAlignment="1">
      <alignment vertical="center" wrapText="1"/>
    </xf>
    <xf numFmtId="166" fontId="0" fillId="0" borderId="2" xfId="2" applyNumberFormat="1" applyFont="1" applyBorder="1" applyAlignment="1">
      <alignment horizontal="center" vertical="center" wrapText="1"/>
    </xf>
    <xf numFmtId="166" fontId="0" fillId="0" borderId="0" xfId="1" applyNumberFormat="1" applyFont="1" applyBorder="1" applyAlignment="1">
      <alignment horizontal="center" vertical="center" wrapText="1"/>
    </xf>
    <xf numFmtId="166" fontId="0" fillId="0" borderId="3" xfId="1" applyNumberFormat="1" applyFont="1" applyBorder="1" applyAlignment="1">
      <alignment horizontal="center" vertical="center" wrapText="1"/>
    </xf>
    <xf numFmtId="0" fontId="11" fillId="2" borderId="2" xfId="0" applyFont="1" applyFill="1" applyBorder="1" applyAlignment="1">
      <alignment vertical="center"/>
    </xf>
    <xf numFmtId="0" fontId="2" fillId="8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vertical="center" wrapText="1"/>
    </xf>
    <xf numFmtId="0" fontId="4" fillId="9" borderId="3" xfId="0" applyFont="1" applyFill="1" applyBorder="1" applyAlignment="1">
      <alignment horizontal="center" wrapText="1"/>
    </xf>
    <xf numFmtId="166" fontId="4" fillId="9" borderId="3" xfId="0" applyNumberFormat="1" applyFont="1" applyFill="1" applyBorder="1" applyAlignment="1">
      <alignment wrapText="1"/>
    </xf>
    <xf numFmtId="0" fontId="4" fillId="9" borderId="3" xfId="0" applyFont="1" applyFill="1" applyBorder="1" applyAlignment="1">
      <alignment wrapText="1"/>
    </xf>
    <xf numFmtId="166" fontId="4" fillId="7" borderId="3" xfId="0" applyNumberFormat="1" applyFont="1" applyFill="1" applyBorder="1" applyAlignment="1">
      <alignment wrapText="1"/>
    </xf>
    <xf numFmtId="0" fontId="4" fillId="7" borderId="3" xfId="0" applyFont="1" applyFill="1" applyBorder="1" applyAlignment="1">
      <alignment wrapText="1"/>
    </xf>
    <xf numFmtId="167" fontId="0" fillId="2" borderId="0" xfId="0" applyNumberFormat="1" applyFill="1" applyAlignment="1">
      <alignment wrapText="1"/>
    </xf>
    <xf numFmtId="0" fontId="0" fillId="2" borderId="0" xfId="0" applyFill="1" applyAlignment="1">
      <alignment horizontal="center" wrapText="1"/>
    </xf>
    <xf numFmtId="0" fontId="0" fillId="2" borderId="0" xfId="0" applyFill="1" applyAlignment="1">
      <alignment vertical="center" wrapText="1"/>
    </xf>
    <xf numFmtId="166" fontId="0" fillId="2" borderId="0" xfId="0" applyNumberFormat="1" applyFill="1" applyAlignment="1">
      <alignment vertical="center" wrapText="1"/>
    </xf>
    <xf numFmtId="0" fontId="0" fillId="2" borderId="0" xfId="0" applyFill="1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wrapText="1"/>
    </xf>
    <xf numFmtId="166" fontId="4" fillId="7" borderId="12" xfId="0" applyNumberFormat="1" applyFont="1" applyFill="1" applyBorder="1" applyAlignment="1">
      <alignment wrapText="1"/>
    </xf>
    <xf numFmtId="0" fontId="4" fillId="7" borderId="2" xfId="0" applyFont="1" applyFill="1" applyBorder="1" applyAlignment="1">
      <alignment vertical="center" wrapText="1"/>
    </xf>
    <xf numFmtId="0" fontId="4" fillId="7" borderId="4" xfId="0" applyFont="1" applyFill="1" applyBorder="1" applyAlignment="1">
      <alignment horizontal="left" vertical="center" wrapText="1"/>
    </xf>
    <xf numFmtId="0" fontId="4" fillId="7" borderId="10" xfId="0" applyFont="1" applyFill="1" applyBorder="1" applyAlignment="1">
      <alignment horizontal="left" vertical="center" wrapText="1"/>
    </xf>
    <xf numFmtId="0" fontId="4" fillId="7" borderId="5" xfId="0" applyFont="1" applyFill="1" applyBorder="1" applyAlignment="1">
      <alignment horizontal="left" vertical="center" wrapText="1"/>
    </xf>
    <xf numFmtId="0" fontId="4" fillId="7" borderId="8" xfId="0" applyFont="1" applyFill="1" applyBorder="1" applyAlignment="1">
      <alignment horizontal="left" vertical="center" wrapText="1"/>
    </xf>
    <xf numFmtId="0" fontId="4" fillId="7" borderId="11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2" fillId="8" borderId="10" xfId="0" applyFont="1" applyFill="1" applyBorder="1" applyAlignment="1">
      <alignment horizontal="center" vertical="center" wrapText="1"/>
    </xf>
    <xf numFmtId="0" fontId="2" fillId="8" borderId="5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left" vertical="center" wrapText="1"/>
    </xf>
    <xf numFmtId="0" fontId="4" fillId="9" borderId="10" xfId="0" applyFont="1" applyFill="1" applyBorder="1" applyAlignment="1">
      <alignment horizontal="left" vertical="center" wrapText="1"/>
    </xf>
    <xf numFmtId="0" fontId="4" fillId="9" borderId="5" xfId="0" applyFont="1" applyFill="1" applyBorder="1" applyAlignment="1">
      <alignment horizontal="left" vertical="center" wrapText="1"/>
    </xf>
    <xf numFmtId="166" fontId="5" fillId="2" borderId="0" xfId="0" applyNumberFormat="1" applyFont="1" applyFill="1" applyAlignment="1">
      <alignment horizontal="center" vertical="center" wrapText="1"/>
    </xf>
    <xf numFmtId="165" fontId="5" fillId="2" borderId="0" xfId="0" applyNumberFormat="1" applyFont="1" applyFill="1" applyAlignment="1">
      <alignment horizontal="center" vertical="center" wrapText="1"/>
    </xf>
    <xf numFmtId="166" fontId="0" fillId="2" borderId="0" xfId="0" applyNumberFormat="1" applyFill="1" applyAlignment="1">
      <alignment wrapText="1"/>
    </xf>
    <xf numFmtId="2" fontId="4" fillId="2" borderId="0" xfId="0" applyNumberFormat="1" applyFont="1" applyFill="1" applyAlignment="1">
      <alignment horizontal="center" wrapText="1"/>
    </xf>
    <xf numFmtId="0" fontId="4" fillId="2" borderId="0" xfId="0" applyFont="1" applyFill="1" applyAlignment="1">
      <alignment horizontal="center"/>
    </xf>
    <xf numFmtId="2" fontId="0" fillId="2" borderId="0" xfId="0" applyNumberFormat="1" applyFill="1" applyAlignment="1">
      <alignment wrapText="1"/>
    </xf>
    <xf numFmtId="175" fontId="0" fillId="0" borderId="0" xfId="0" applyNumberFormat="1" applyAlignment="1">
      <alignment horizontal="right" vertical="center" wrapText="1"/>
    </xf>
    <xf numFmtId="0" fontId="4" fillId="0" borderId="0" xfId="0" applyFont="1"/>
    <xf numFmtId="176" fontId="13" fillId="0" borderId="2" xfId="4" applyNumberFormat="1" applyFont="1" applyBorder="1" applyAlignment="1">
      <alignment horizontal="center" vertical="center"/>
    </xf>
    <xf numFmtId="0" fontId="14" fillId="2" borderId="0" xfId="0" applyFont="1" applyFill="1" applyAlignment="1">
      <alignment horizontal="center" vertical="center" wrapText="1"/>
    </xf>
    <xf numFmtId="175" fontId="4" fillId="0" borderId="13" xfId="0" applyNumberFormat="1" applyFont="1" applyBorder="1" applyAlignment="1">
      <alignment horizontal="center" vertical="center" wrapText="1"/>
    </xf>
    <xf numFmtId="175" fontId="4" fillId="0" borderId="0" xfId="0" applyNumberFormat="1" applyFont="1" applyAlignment="1">
      <alignment vertical="center" wrapText="1"/>
    </xf>
    <xf numFmtId="175" fontId="4" fillId="0" borderId="0" xfId="0" applyNumberFormat="1" applyFont="1" applyAlignment="1">
      <alignment horizontal="right" vertical="center" wrapText="1"/>
    </xf>
    <xf numFmtId="0" fontId="4" fillId="10" borderId="14" xfId="0" applyFont="1" applyFill="1" applyBorder="1" applyAlignment="1">
      <alignment horizontal="left" vertical="center" wrapText="1"/>
    </xf>
    <xf numFmtId="10" fontId="4" fillId="10" borderId="15" xfId="0" applyNumberFormat="1" applyFont="1" applyFill="1" applyBorder="1" applyAlignment="1">
      <alignment horizontal="center" vertical="center" wrapText="1"/>
    </xf>
    <xf numFmtId="10" fontId="4" fillId="10" borderId="16" xfId="0" applyNumberFormat="1" applyFont="1" applyFill="1" applyBorder="1" applyAlignment="1">
      <alignment horizontal="center" vertical="center" wrapText="1"/>
    </xf>
    <xf numFmtId="10" fontId="4" fillId="10" borderId="14" xfId="0" applyNumberFormat="1" applyFont="1" applyFill="1" applyBorder="1" applyAlignment="1">
      <alignment horizontal="center" vertical="center" wrapText="1"/>
    </xf>
    <xf numFmtId="175" fontId="4" fillId="10" borderId="17" xfId="0" applyNumberFormat="1" applyFont="1" applyFill="1" applyBorder="1" applyAlignment="1">
      <alignment horizontal="right" vertical="center" wrapText="1"/>
    </xf>
    <xf numFmtId="175" fontId="4" fillId="10" borderId="18" xfId="0" applyNumberFormat="1" applyFont="1" applyFill="1" applyBorder="1" applyAlignment="1">
      <alignment horizontal="center" vertical="center" wrapText="1"/>
    </xf>
    <xf numFmtId="175" fontId="4" fillId="10" borderId="14" xfId="0" applyNumberFormat="1" applyFont="1" applyFill="1" applyBorder="1" applyAlignment="1">
      <alignment horizontal="right" vertical="center" wrapText="1"/>
    </xf>
    <xf numFmtId="175" fontId="4" fillId="10" borderId="14" xfId="0" applyNumberFormat="1" applyFont="1" applyFill="1" applyBorder="1" applyAlignment="1">
      <alignment horizontal="center" vertical="center" wrapText="1"/>
    </xf>
    <xf numFmtId="0" fontId="4" fillId="0" borderId="19" xfId="0" applyFont="1" applyBorder="1" applyAlignment="1">
      <alignment horizontal="left" vertical="center" wrapText="1"/>
    </xf>
    <xf numFmtId="177" fontId="4" fillId="0" borderId="20" xfId="1" applyNumberFormat="1" applyFont="1" applyFill="1" applyBorder="1" applyAlignment="1">
      <alignment horizontal="right" vertical="center" wrapText="1"/>
    </xf>
    <xf numFmtId="175" fontId="4" fillId="0" borderId="21" xfId="0" applyNumberFormat="1" applyFont="1" applyBorder="1" applyAlignment="1">
      <alignment horizontal="center" vertical="center" wrapText="1"/>
    </xf>
    <xf numFmtId="177" fontId="4" fillId="0" borderId="22" xfId="0" applyNumberFormat="1" applyFont="1" applyBorder="1" applyAlignment="1">
      <alignment horizontal="right" vertical="center" wrapText="1"/>
    </xf>
    <xf numFmtId="175" fontId="4" fillId="0" borderId="23" xfId="0" applyNumberFormat="1" applyFont="1" applyBorder="1" applyAlignment="1">
      <alignment horizontal="center" vertical="center" wrapText="1"/>
    </xf>
    <xf numFmtId="0" fontId="0" fillId="0" borderId="19" xfId="0" applyBorder="1" applyAlignment="1">
      <alignment horizontal="left" vertical="center" wrapText="1"/>
    </xf>
    <xf numFmtId="177" fontId="0" fillId="0" borderId="20" xfId="1" applyNumberFormat="1" applyFont="1" applyFill="1" applyBorder="1" applyAlignment="1">
      <alignment horizontal="right" vertical="center" wrapText="1"/>
    </xf>
    <xf numFmtId="9" fontId="0" fillId="0" borderId="21" xfId="3" applyFont="1" applyFill="1" applyBorder="1" applyAlignment="1">
      <alignment horizontal="center" vertical="center" wrapText="1"/>
    </xf>
    <xf numFmtId="177" fontId="0" fillId="0" borderId="20" xfId="0" applyNumberFormat="1" applyBorder="1" applyAlignment="1">
      <alignment horizontal="right" vertical="center" wrapText="1"/>
    </xf>
    <xf numFmtId="0" fontId="0" fillId="0" borderId="19" xfId="0" applyBorder="1" applyAlignment="1">
      <alignment vertical="center" wrapText="1"/>
    </xf>
    <xf numFmtId="9" fontId="0" fillId="0" borderId="24" xfId="3" applyFont="1" applyFill="1" applyBorder="1" applyAlignment="1">
      <alignment horizontal="center" vertical="center" wrapText="1"/>
    </xf>
    <xf numFmtId="9" fontId="0" fillId="7" borderId="0" xfId="3" applyFont="1" applyFill="1" applyAlignment="1">
      <alignment vertical="center" wrapText="1"/>
    </xf>
    <xf numFmtId="0" fontId="4" fillId="11" borderId="25" xfId="0" applyFont="1" applyFill="1" applyBorder="1" applyAlignment="1">
      <alignment vertical="center" wrapText="1"/>
    </xf>
    <xf numFmtId="177" fontId="4" fillId="11" borderId="26" xfId="1" applyNumberFormat="1" applyFont="1" applyFill="1" applyBorder="1" applyAlignment="1">
      <alignment horizontal="right" vertical="center" wrapText="1"/>
    </xf>
    <xf numFmtId="175" fontId="4" fillId="11" borderId="27" xfId="5" applyNumberFormat="1" applyFont="1" applyFill="1" applyBorder="1" applyAlignment="1">
      <alignment horizontal="right" vertical="center" wrapText="1"/>
    </xf>
    <xf numFmtId="177" fontId="4" fillId="11" borderId="26" xfId="5" applyNumberFormat="1" applyFont="1" applyFill="1" applyBorder="1" applyAlignment="1">
      <alignment horizontal="right" vertical="center" wrapText="1"/>
    </xf>
    <xf numFmtId="0" fontId="4" fillId="0" borderId="0" xfId="0" applyFont="1" applyAlignment="1">
      <alignment vertical="center" wrapText="1"/>
    </xf>
    <xf numFmtId="177" fontId="0" fillId="0" borderId="0" xfId="0" applyNumberFormat="1"/>
    <xf numFmtId="175" fontId="4" fillId="0" borderId="21" xfId="0" applyNumberFormat="1" applyFont="1" applyBorder="1" applyAlignment="1">
      <alignment horizontal="right" vertical="center" wrapText="1"/>
    </xf>
    <xf numFmtId="177" fontId="4" fillId="0" borderId="20" xfId="0" applyNumberFormat="1" applyFont="1" applyBorder="1" applyAlignment="1">
      <alignment horizontal="right" vertical="center" wrapText="1"/>
    </xf>
    <xf numFmtId="9" fontId="15" fillId="0" borderId="19" xfId="0" applyNumberFormat="1" applyFont="1" applyBorder="1" applyAlignment="1">
      <alignment horizontal="left" vertical="center" wrapText="1"/>
    </xf>
    <xf numFmtId="177" fontId="15" fillId="0" borderId="20" xfId="1" applyNumberFormat="1" applyFont="1" applyFill="1" applyBorder="1" applyAlignment="1">
      <alignment horizontal="right" vertical="center" wrapText="1"/>
    </xf>
    <xf numFmtId="175" fontId="0" fillId="0" borderId="21" xfId="0" applyNumberFormat="1" applyBorder="1" applyAlignment="1">
      <alignment horizontal="right" vertical="center" wrapText="1"/>
    </xf>
    <xf numFmtId="9" fontId="0" fillId="0" borderId="19" xfId="0" applyNumberFormat="1" applyBorder="1" applyAlignment="1">
      <alignment horizontal="left" vertical="center" wrapText="1"/>
    </xf>
    <xf numFmtId="178" fontId="12" fillId="2" borderId="0" xfId="0" applyNumberFormat="1" applyFont="1" applyFill="1" applyAlignment="1">
      <alignment vertical="center" wrapText="1"/>
    </xf>
    <xf numFmtId="177" fontId="0" fillId="12" borderId="20" xfId="1" applyNumberFormat="1" applyFont="1" applyFill="1" applyBorder="1" applyAlignment="1">
      <alignment horizontal="right" vertical="center" wrapText="1"/>
    </xf>
    <xf numFmtId="175" fontId="0" fillId="0" borderId="21" xfId="5" applyNumberFormat="1" applyFont="1" applyFill="1" applyBorder="1" applyAlignment="1">
      <alignment horizontal="right" vertical="center" wrapText="1"/>
    </xf>
    <xf numFmtId="177" fontId="0" fillId="0" borderId="20" xfId="5" applyNumberFormat="1" applyFont="1" applyFill="1" applyBorder="1" applyAlignment="1">
      <alignment horizontal="right" vertical="center" wrapText="1"/>
    </xf>
    <xf numFmtId="0" fontId="15" fillId="0" borderId="19" xfId="0" applyFont="1" applyBorder="1" applyAlignment="1">
      <alignment horizontal="left" vertical="center" wrapText="1"/>
    </xf>
    <xf numFmtId="177" fontId="15" fillId="12" borderId="20" xfId="1" applyNumberFormat="1" applyFont="1" applyFill="1" applyBorder="1" applyAlignment="1">
      <alignment horizontal="right" vertical="center" wrapText="1"/>
    </xf>
    <xf numFmtId="179" fontId="4" fillId="0" borderId="0" xfId="0" applyNumberFormat="1" applyFont="1" applyAlignment="1">
      <alignment vertical="center" wrapText="1"/>
    </xf>
    <xf numFmtId="180" fontId="4" fillId="0" borderId="19" xfId="5" applyNumberFormat="1" applyFont="1" applyFill="1" applyBorder="1" applyAlignment="1">
      <alignment vertical="center" wrapText="1"/>
    </xf>
    <xf numFmtId="175" fontId="4" fillId="0" borderId="21" xfId="5" applyNumberFormat="1" applyFont="1" applyFill="1" applyBorder="1" applyAlignment="1">
      <alignment horizontal="right" vertical="center" wrapText="1"/>
    </xf>
    <xf numFmtId="177" fontId="4" fillId="0" borderId="20" xfId="5" applyNumberFormat="1" applyFont="1" applyFill="1" applyBorder="1" applyAlignment="1">
      <alignment horizontal="right" vertical="center" wrapText="1"/>
    </xf>
    <xf numFmtId="0" fontId="3" fillId="0" borderId="0" xfId="0" applyFont="1" applyAlignment="1">
      <alignment vertical="center" wrapText="1"/>
    </xf>
    <xf numFmtId="0" fontId="3" fillId="0" borderId="19" xfId="0" applyFont="1" applyBorder="1" applyAlignment="1">
      <alignment vertical="center" wrapText="1"/>
    </xf>
    <xf numFmtId="177" fontId="3" fillId="0" borderId="20" xfId="1" applyNumberFormat="1" applyFont="1" applyFill="1" applyBorder="1" applyAlignment="1">
      <alignment horizontal="right" vertical="center" wrapText="1"/>
    </xf>
    <xf numFmtId="9" fontId="3" fillId="0" borderId="21" xfId="3" applyFont="1" applyFill="1" applyBorder="1" applyAlignment="1">
      <alignment horizontal="right" vertical="center" wrapText="1"/>
    </xf>
    <xf numFmtId="177" fontId="3" fillId="0" borderId="20" xfId="5" applyNumberFormat="1" applyFont="1" applyFill="1" applyBorder="1" applyAlignment="1">
      <alignment horizontal="right" vertical="center" wrapText="1"/>
    </xf>
    <xf numFmtId="0" fontId="3" fillId="0" borderId="0" xfId="0" applyFont="1"/>
    <xf numFmtId="180" fontId="4" fillId="9" borderId="28" xfId="5" applyNumberFormat="1" applyFont="1" applyFill="1" applyBorder="1" applyAlignment="1">
      <alignment vertical="center" wrapText="1"/>
    </xf>
    <xf numFmtId="177" fontId="4" fillId="9" borderId="29" xfId="1" applyNumberFormat="1" applyFont="1" applyFill="1" applyBorder="1" applyAlignment="1">
      <alignment horizontal="right" vertical="center" wrapText="1"/>
    </xf>
    <xf numFmtId="10" fontId="4" fillId="9" borderId="30" xfId="5" applyNumberFormat="1" applyFont="1" applyFill="1" applyBorder="1" applyAlignment="1">
      <alignment horizontal="right" vertical="center" wrapText="1"/>
    </xf>
    <xf numFmtId="177" fontId="4" fillId="9" borderId="29" xfId="5" applyNumberFormat="1" applyFont="1" applyFill="1" applyBorder="1" applyAlignment="1">
      <alignment horizontal="right" vertical="center" wrapText="1"/>
    </xf>
    <xf numFmtId="175" fontId="0" fillId="0" borderId="0" xfId="0" applyNumberFormat="1" applyAlignment="1">
      <alignment vertical="center" wrapText="1"/>
    </xf>
    <xf numFmtId="177" fontId="0" fillId="0" borderId="20" xfId="1" applyNumberFormat="1" applyFont="1" applyFill="1" applyBorder="1" applyAlignment="1">
      <alignment vertical="center" wrapText="1"/>
    </xf>
    <xf numFmtId="10" fontId="4" fillId="0" borderId="21" xfId="5" applyNumberFormat="1" applyFont="1" applyFill="1" applyBorder="1" applyAlignment="1">
      <alignment horizontal="right" vertical="center" wrapText="1"/>
    </xf>
    <xf numFmtId="180" fontId="0" fillId="0" borderId="19" xfId="5" applyNumberFormat="1" applyFont="1" applyFill="1" applyBorder="1" applyAlignment="1">
      <alignment vertical="center" wrapText="1"/>
    </xf>
    <xf numFmtId="9" fontId="0" fillId="0" borderId="21" xfId="3" applyFont="1" applyFill="1" applyBorder="1" applyAlignment="1">
      <alignment horizontal="right" vertical="center" wrapText="1"/>
    </xf>
    <xf numFmtId="179" fontId="0" fillId="0" borderId="0" xfId="3" applyNumberFormat="1" applyFont="1" applyAlignment="1">
      <alignment vertical="center" wrapText="1"/>
    </xf>
    <xf numFmtId="179" fontId="0" fillId="0" borderId="0" xfId="0" applyNumberFormat="1" applyAlignment="1">
      <alignment vertical="center" wrapText="1"/>
    </xf>
    <xf numFmtId="178" fontId="3" fillId="2" borderId="0" xfId="0" applyNumberFormat="1" applyFont="1" applyFill="1" applyAlignment="1">
      <alignment vertical="center" wrapText="1"/>
    </xf>
    <xf numFmtId="175" fontId="3" fillId="0" borderId="21" xfId="5" applyNumberFormat="1" applyFont="1" applyFill="1" applyBorder="1" applyAlignment="1">
      <alignment horizontal="right" vertical="center" wrapText="1"/>
    </xf>
    <xf numFmtId="0" fontId="4" fillId="0" borderId="19" xfId="0" applyFont="1" applyBorder="1" applyAlignment="1">
      <alignment vertical="center" wrapText="1"/>
    </xf>
    <xf numFmtId="0" fontId="4" fillId="9" borderId="28" xfId="0" applyFont="1" applyFill="1" applyBorder="1" applyAlignment="1">
      <alignment vertical="center" wrapText="1"/>
    </xf>
    <xf numFmtId="10" fontId="4" fillId="9" borderId="30" xfId="0" applyNumberFormat="1" applyFont="1" applyFill="1" applyBorder="1" applyAlignment="1">
      <alignment horizontal="right" vertical="center" wrapText="1"/>
    </xf>
    <xf numFmtId="10" fontId="4" fillId="0" borderId="21" xfId="0" applyNumberFormat="1" applyFont="1" applyBorder="1" applyAlignment="1">
      <alignment horizontal="right" vertical="center" wrapText="1"/>
    </xf>
    <xf numFmtId="0" fontId="0" fillId="2" borderId="19" xfId="0" applyFill="1" applyBorder="1" applyAlignment="1">
      <alignment vertical="center" wrapText="1"/>
    </xf>
    <xf numFmtId="177" fontId="0" fillId="0" borderId="20" xfId="1" applyNumberFormat="1" applyFont="1" applyBorder="1" applyAlignment="1">
      <alignment horizontal="right" vertical="center" wrapText="1"/>
    </xf>
    <xf numFmtId="10" fontId="0" fillId="0" borderId="21" xfId="0" applyNumberFormat="1" applyBorder="1" applyAlignment="1">
      <alignment horizontal="right" vertical="center" wrapText="1"/>
    </xf>
    <xf numFmtId="177" fontId="0" fillId="2" borderId="20" xfId="0" applyNumberFormat="1" applyFill="1" applyBorder="1" applyAlignment="1">
      <alignment vertical="center" wrapText="1"/>
    </xf>
    <xf numFmtId="9" fontId="0" fillId="0" borderId="0" xfId="3" applyFont="1" applyAlignment="1">
      <alignment vertical="center" wrapText="1"/>
    </xf>
    <xf numFmtId="0" fontId="0" fillId="2" borderId="31" xfId="0" applyFill="1" applyBorder="1" applyAlignment="1">
      <alignment vertical="center" wrapText="1"/>
    </xf>
    <xf numFmtId="177" fontId="0" fillId="0" borderId="32" xfId="1" applyNumberFormat="1" applyFont="1" applyFill="1" applyBorder="1" applyAlignment="1">
      <alignment horizontal="right" vertical="center" wrapText="1"/>
    </xf>
    <xf numFmtId="10" fontId="0" fillId="0" borderId="33" xfId="0" applyNumberFormat="1" applyBorder="1" applyAlignment="1">
      <alignment horizontal="right" vertical="center" wrapText="1"/>
    </xf>
    <xf numFmtId="0" fontId="4" fillId="2" borderId="34" xfId="0" applyFont="1" applyFill="1" applyBorder="1" applyAlignment="1">
      <alignment vertical="center" wrapText="1"/>
    </xf>
    <xf numFmtId="177" fontId="4" fillId="0" borderId="34" xfId="1" applyNumberFormat="1" applyFont="1" applyFill="1" applyBorder="1" applyAlignment="1">
      <alignment horizontal="right" vertical="center" wrapText="1"/>
    </xf>
    <xf numFmtId="10" fontId="4" fillId="0" borderId="34" xfId="0" applyNumberFormat="1" applyFont="1" applyBorder="1" applyAlignment="1">
      <alignment horizontal="right" vertical="center" wrapText="1"/>
    </xf>
    <xf numFmtId="2" fontId="4" fillId="0" borderId="34" xfId="0" applyNumberFormat="1" applyFont="1" applyBorder="1" applyAlignment="1">
      <alignment horizontal="right" vertical="center" wrapText="1"/>
    </xf>
    <xf numFmtId="0" fontId="4" fillId="2" borderId="0" xfId="0" applyFont="1" applyFill="1" applyAlignment="1">
      <alignment vertical="center" wrapText="1"/>
    </xf>
    <xf numFmtId="177" fontId="4" fillId="0" borderId="0" xfId="1" applyNumberFormat="1" applyFont="1" applyFill="1" applyBorder="1" applyAlignment="1">
      <alignment horizontal="right" vertical="center" wrapText="1"/>
    </xf>
    <xf numFmtId="10" fontId="4" fillId="0" borderId="0" xfId="0" applyNumberFormat="1" applyFont="1" applyAlignment="1">
      <alignment horizontal="right" vertical="center" wrapText="1"/>
    </xf>
    <xf numFmtId="2" fontId="4" fillId="0" borderId="0" xfId="0" applyNumberFormat="1" applyFont="1" applyAlignment="1">
      <alignment horizontal="right" vertical="center" wrapText="1"/>
    </xf>
    <xf numFmtId="0" fontId="4" fillId="7" borderId="0" xfId="0" applyFont="1" applyFill="1"/>
    <xf numFmtId="9" fontId="4" fillId="7" borderId="0" xfId="3" applyFont="1" applyFill="1"/>
    <xf numFmtId="2" fontId="0" fillId="0" borderId="0" xfId="3" applyNumberFormat="1" applyFont="1" applyAlignment="1">
      <alignment vertical="center" wrapText="1"/>
    </xf>
    <xf numFmtId="9" fontId="4" fillId="7" borderId="0" xfId="0" applyNumberFormat="1" applyFont="1" applyFill="1"/>
    <xf numFmtId="9" fontId="4" fillId="0" borderId="0" xfId="3" applyFont="1" applyFill="1" applyBorder="1" applyAlignment="1">
      <alignment horizontal="right" vertical="center" wrapText="1"/>
    </xf>
    <xf numFmtId="0" fontId="4" fillId="2" borderId="13" xfId="0" applyFont="1" applyFill="1" applyBorder="1" applyAlignment="1">
      <alignment vertical="center" wrapText="1"/>
    </xf>
    <xf numFmtId="10" fontId="4" fillId="0" borderId="13" xfId="0" applyNumberFormat="1" applyFont="1" applyBorder="1" applyAlignment="1">
      <alignment horizontal="right" vertical="center" wrapText="1"/>
    </xf>
    <xf numFmtId="0" fontId="4" fillId="0" borderId="35" xfId="0" applyFont="1" applyBorder="1" applyAlignment="1">
      <alignment horizontal="left" vertical="center" wrapText="1"/>
    </xf>
    <xf numFmtId="9" fontId="4" fillId="0" borderId="35" xfId="3" applyFont="1" applyFill="1" applyBorder="1" applyAlignment="1">
      <alignment horizontal="right" vertical="center" wrapText="1"/>
    </xf>
    <xf numFmtId="0" fontId="4" fillId="0" borderId="31" xfId="0" applyFont="1" applyBorder="1" applyAlignment="1">
      <alignment horizontal="left" vertical="center" wrapText="1"/>
    </xf>
    <xf numFmtId="9" fontId="4" fillId="0" borderId="31" xfId="3" applyFont="1" applyFill="1" applyBorder="1" applyAlignment="1">
      <alignment horizontal="right" vertical="center" wrapText="1"/>
    </xf>
    <xf numFmtId="175" fontId="0" fillId="2" borderId="0" xfId="3" applyNumberFormat="1" applyFont="1" applyFill="1" applyAlignment="1">
      <alignment horizontal="right" vertical="center" wrapText="1"/>
    </xf>
    <xf numFmtId="175" fontId="0" fillId="2" borderId="0" xfId="3" applyNumberFormat="1" applyFont="1" applyFill="1" applyBorder="1" applyAlignment="1">
      <alignment horizontal="right" vertical="center" wrapText="1"/>
    </xf>
    <xf numFmtId="175" fontId="0" fillId="0" borderId="0" xfId="3" applyNumberFormat="1" applyFont="1" applyAlignment="1">
      <alignment horizontal="right" vertical="center" wrapText="1"/>
    </xf>
    <xf numFmtId="175" fontId="0" fillId="0" borderId="0" xfId="3" applyNumberFormat="1" applyFont="1" applyBorder="1" applyAlignment="1">
      <alignment horizontal="right" vertical="center" wrapText="1"/>
    </xf>
    <xf numFmtId="0" fontId="11" fillId="0" borderId="0" xfId="0" applyFont="1"/>
    <xf numFmtId="0" fontId="16" fillId="13" borderId="0" xfId="0" applyFont="1" applyFill="1" applyAlignment="1">
      <alignment wrapText="1"/>
    </xf>
    <xf numFmtId="17" fontId="16" fillId="13" borderId="36" xfId="0" applyNumberFormat="1" applyFont="1" applyFill="1" applyBorder="1" applyAlignment="1">
      <alignment horizontal="center" wrapText="1"/>
    </xf>
    <xf numFmtId="0" fontId="16" fillId="13" borderId="36" xfId="0" applyFont="1" applyFill="1" applyBorder="1" applyAlignment="1">
      <alignment horizontal="center" wrapText="1"/>
    </xf>
    <xf numFmtId="0" fontId="17" fillId="0" borderId="35" xfId="0" applyFont="1" applyBorder="1" applyAlignment="1">
      <alignment wrapText="1"/>
    </xf>
    <xf numFmtId="17" fontId="16" fillId="0" borderId="35" xfId="0" applyNumberFormat="1" applyFont="1" applyBorder="1" applyAlignment="1">
      <alignment horizontal="center" wrapText="1"/>
    </xf>
    <xf numFmtId="0" fontId="16" fillId="0" borderId="35" xfId="0" applyFont="1" applyBorder="1" applyAlignment="1">
      <alignment horizontal="center" wrapText="1"/>
    </xf>
    <xf numFmtId="0" fontId="18" fillId="0" borderId="19" xfId="0" applyFont="1" applyBorder="1" applyAlignment="1">
      <alignment wrapText="1"/>
    </xf>
    <xf numFmtId="177" fontId="18" fillId="0" borderId="19" xfId="1" applyNumberFormat="1" applyFont="1" applyBorder="1" applyAlignment="1">
      <alignment wrapText="1"/>
    </xf>
    <xf numFmtId="177" fontId="18" fillId="0" borderId="19" xfId="1" applyNumberFormat="1" applyFont="1" applyFill="1" applyBorder="1" applyAlignment="1">
      <alignment wrapText="1"/>
    </xf>
    <xf numFmtId="0" fontId="17" fillId="0" borderId="19" xfId="0" applyFont="1" applyBorder="1" applyAlignment="1">
      <alignment wrapText="1"/>
    </xf>
    <xf numFmtId="177" fontId="19" fillId="0" borderId="19" xfId="1" applyNumberFormat="1" applyFont="1" applyFill="1" applyBorder="1" applyAlignment="1">
      <alignment wrapText="1"/>
    </xf>
    <xf numFmtId="177" fontId="16" fillId="0" borderId="19" xfId="1" applyNumberFormat="1" applyFont="1" applyFill="1" applyBorder="1" applyAlignment="1">
      <alignment wrapText="1"/>
    </xf>
    <xf numFmtId="177" fontId="18" fillId="0" borderId="19" xfId="1" applyNumberFormat="1" applyFont="1" applyFill="1" applyBorder="1" applyAlignment="1">
      <alignment horizontal="center" wrapText="1"/>
    </xf>
    <xf numFmtId="177" fontId="18" fillId="0" borderId="19" xfId="1" applyNumberFormat="1" applyFont="1" applyBorder="1" applyAlignment="1">
      <alignment horizontal="center" wrapText="1"/>
    </xf>
    <xf numFmtId="3" fontId="11" fillId="0" borderId="0" xfId="0" applyNumberFormat="1" applyFont="1"/>
    <xf numFmtId="3" fontId="18" fillId="0" borderId="0" xfId="0" applyNumberFormat="1" applyFont="1" applyAlignment="1">
      <alignment wrapText="1"/>
    </xf>
    <xf numFmtId="164" fontId="11" fillId="0" borderId="0" xfId="1" applyFont="1" applyBorder="1"/>
    <xf numFmtId="177" fontId="17" fillId="0" borderId="19" xfId="1" applyNumberFormat="1" applyFont="1" applyFill="1" applyBorder="1" applyAlignment="1">
      <alignment horizontal="center" wrapText="1"/>
    </xf>
    <xf numFmtId="0" fontId="18" fillId="2" borderId="31" xfId="0" applyFont="1" applyFill="1" applyBorder="1" applyAlignment="1">
      <alignment wrapText="1"/>
    </xf>
    <xf numFmtId="177" fontId="18" fillId="14" borderId="31" xfId="1" applyNumberFormat="1" applyFont="1" applyFill="1" applyBorder="1" applyAlignment="1">
      <alignment wrapText="1"/>
    </xf>
    <xf numFmtId="177" fontId="18" fillId="0" borderId="31" xfId="1" applyNumberFormat="1" applyFont="1" applyFill="1" applyBorder="1" applyAlignment="1">
      <alignment wrapText="1"/>
    </xf>
    <xf numFmtId="177" fontId="11" fillId="0" borderId="0" xfId="1" applyNumberFormat="1" applyFont="1"/>
    <xf numFmtId="177" fontId="11" fillId="0" borderId="0" xfId="0" applyNumberFormat="1" applyFont="1"/>
    <xf numFmtId="2" fontId="16" fillId="13" borderId="36" xfId="0" applyNumberFormat="1" applyFont="1" applyFill="1" applyBorder="1" applyAlignment="1">
      <alignment horizontal="center" wrapText="1"/>
    </xf>
  </cellXfs>
  <cellStyles count="6">
    <cellStyle name="Comma" xfId="1" builtinId="3"/>
    <cellStyle name="Comma 2" xfId="2" xr:uid="{DA6D3AD7-4B4D-4B89-9C22-9DB410FDD002}"/>
    <cellStyle name="Comma 4 2" xfId="5" xr:uid="{D77685EB-80F0-4ACD-89E0-F8A1CDC207D9}"/>
    <cellStyle name="Normal" xfId="0" builtinId="0"/>
    <cellStyle name="Normal 2 2 2 2" xfId="4" xr:uid="{66FE146A-DEA2-49A9-B813-6121C661439E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https://www.esds.co.in/home-images/logo.png" TargetMode="Externa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794608</xdr:colOff>
      <xdr:row>3</xdr:row>
      <xdr:rowOff>97827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F39601-D042-409E-A060-7F12F3D47C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80" y="0"/>
          <a:ext cx="802228" cy="64646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788258</xdr:colOff>
      <xdr:row>3</xdr:row>
      <xdr:rowOff>97827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BA9A2E0-242A-4D77-B0D6-854052FB36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80" y="0"/>
          <a:ext cx="795878" cy="6464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</xdr:row>
      <xdr:rowOff>28575</xdr:rowOff>
    </xdr:from>
    <xdr:to>
      <xdr:col>4</xdr:col>
      <xdr:colOff>56449</xdr:colOff>
      <xdr:row>6</xdr:row>
      <xdr:rowOff>26197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FA312B-6299-47EC-AD77-CFCE7C614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219075"/>
          <a:ext cx="4885624" cy="950122"/>
        </a:xfrm>
        <a:prstGeom prst="rect">
          <a:avLst/>
        </a:prstGeom>
      </xdr:spPr>
    </xdr:pic>
    <xdr:clientData/>
  </xdr:twoCellAnchor>
  <xdr:twoCellAnchor>
    <xdr:from>
      <xdr:col>4</xdr:col>
      <xdr:colOff>180643</xdr:colOff>
      <xdr:row>2</xdr:row>
      <xdr:rowOff>31666</xdr:rowOff>
    </xdr:from>
    <xdr:to>
      <xdr:col>5</xdr:col>
      <xdr:colOff>816763</xdr:colOff>
      <xdr:row>5</xdr:row>
      <xdr:rowOff>90312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9094C23-D3D2-4B92-8F08-6F0E36435C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368" y="412666"/>
          <a:ext cx="1617195" cy="6301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ujit.Kurhade\Documents\CRM\Profitablity%20Working\ESDS_ASTC_Commercial_25_03_25%20Profitability.xlsx" TargetMode="External"/><Relationship Id="rId1" Type="http://schemas.openxmlformats.org/officeDocument/2006/relationships/externalLinkPath" Target="ESDS_ASTC_Commercial_25_03_25%20Profitabilit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DS Summary"/>
      <sheetName val="Primary Site - Production"/>
      <sheetName val="PnL"/>
      <sheetName val="Cash Flow"/>
      <sheetName val="Production-up to 2050"/>
      <sheetName val="Rate Card"/>
      <sheetName val="Queries Response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3B162-5F90-4C4A-BA3D-8FE8576DA31A}">
  <dimension ref="A1:VV2781"/>
  <sheetViews>
    <sheetView topLeftCell="G11" workbookViewId="0">
      <selection activeCell="J19" sqref="J19"/>
    </sheetView>
  </sheetViews>
  <sheetFormatPr defaultColWidth="8.7109375" defaultRowHeight="15" x14ac:dyDescent="0.25"/>
  <cols>
    <col min="1" max="1" width="8.7109375" style="20"/>
    <col min="2" max="2" width="19.42578125" style="39" customWidth="1"/>
    <col min="3" max="3" width="45.7109375" style="40" customWidth="1"/>
    <col min="4" max="5" width="16" style="20" customWidth="1"/>
    <col min="6" max="7" width="16.5703125" style="20" customWidth="1"/>
    <col min="8" max="9" width="21" style="20" customWidth="1"/>
    <col min="10" max="10" width="26.7109375" style="41" customWidth="1"/>
    <col min="11" max="12" width="11.7109375" style="19" bestFit="1" customWidth="1"/>
    <col min="13" max="13" width="12.28515625" style="19" bestFit="1" customWidth="1"/>
    <col min="14" max="14" width="29.7109375" style="19" customWidth="1"/>
    <col min="15" max="15" width="17.7109375" style="19" customWidth="1"/>
    <col min="16" max="16" width="11.7109375" style="19" customWidth="1"/>
    <col min="17" max="17" width="8.7109375" style="19"/>
    <col min="18" max="18" width="14.7109375" style="19" customWidth="1"/>
    <col min="19" max="19" width="11.5703125" style="19" customWidth="1"/>
    <col min="20" max="325" width="8.7109375" style="19"/>
    <col min="326" max="16384" width="8.7109375" style="20"/>
  </cols>
  <sheetData>
    <row r="1" spans="1:594" s="1" customFormat="1" x14ac:dyDescent="0.25"/>
    <row r="2" spans="1:594" s="2" customFormat="1" x14ac:dyDescent="0.25"/>
    <row r="3" spans="1:594" s="2" customFormat="1" x14ac:dyDescent="0.25"/>
    <row r="4" spans="1:594" s="2" customFormat="1" x14ac:dyDescent="0.25"/>
    <row r="5" spans="1:594" s="4" customFormat="1" x14ac:dyDescent="0.25">
      <c r="A5" s="2"/>
      <c r="B5" s="2"/>
      <c r="C5" s="2"/>
      <c r="D5" s="2"/>
      <c r="E5" s="62"/>
      <c r="F5" s="63"/>
      <c r="G5" s="2"/>
      <c r="H5" s="2"/>
      <c r="I5" s="2"/>
      <c r="J5" s="2"/>
      <c r="K5" s="50" t="s">
        <v>0</v>
      </c>
      <c r="L5" s="50"/>
      <c r="M5" s="50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  <c r="IX5" s="3"/>
      <c r="IY5" s="3"/>
      <c r="IZ5" s="3"/>
      <c r="JA5" s="3"/>
      <c r="JB5" s="3"/>
      <c r="JC5" s="3"/>
      <c r="JD5" s="3"/>
      <c r="JE5" s="3"/>
      <c r="JF5" s="3"/>
      <c r="JG5" s="3"/>
      <c r="JH5" s="3"/>
      <c r="JI5" s="3"/>
      <c r="JJ5" s="3"/>
      <c r="JK5" s="3"/>
      <c r="JL5" s="3"/>
      <c r="JM5" s="3"/>
      <c r="JN5" s="3"/>
      <c r="JO5" s="3"/>
      <c r="JP5" s="3"/>
      <c r="JQ5" s="3"/>
      <c r="JR5" s="3"/>
      <c r="JS5" s="3"/>
      <c r="JT5" s="3"/>
      <c r="JU5" s="3"/>
      <c r="JV5" s="3"/>
      <c r="JW5" s="3"/>
      <c r="JX5" s="3"/>
      <c r="JY5" s="3"/>
      <c r="JZ5" s="3"/>
      <c r="KA5" s="3"/>
      <c r="KB5" s="3"/>
      <c r="KC5" s="3"/>
      <c r="KD5" s="3"/>
      <c r="KE5" s="3"/>
      <c r="KF5" s="3"/>
      <c r="KG5" s="3"/>
      <c r="KH5" s="3"/>
      <c r="KI5" s="3"/>
      <c r="KJ5" s="3"/>
      <c r="KK5" s="3"/>
      <c r="KL5" s="3"/>
      <c r="KM5" s="3"/>
      <c r="KN5" s="3"/>
      <c r="KO5" s="3"/>
      <c r="KP5" s="3"/>
      <c r="KQ5" s="3"/>
      <c r="KR5" s="3"/>
      <c r="KS5" s="3"/>
      <c r="KT5" s="3"/>
      <c r="KU5" s="3"/>
      <c r="KV5" s="3"/>
      <c r="KW5" s="3"/>
      <c r="KX5" s="3"/>
      <c r="KY5" s="3"/>
      <c r="KZ5" s="3"/>
      <c r="LA5" s="3"/>
      <c r="LB5" s="3"/>
      <c r="LC5" s="3"/>
      <c r="LD5" s="3"/>
      <c r="LE5" s="3"/>
      <c r="LF5" s="3"/>
      <c r="LG5" s="3"/>
      <c r="LH5" s="3"/>
      <c r="LI5" s="3"/>
      <c r="LJ5" s="3"/>
      <c r="LK5" s="3"/>
      <c r="LL5" s="3"/>
      <c r="LM5" s="3"/>
      <c r="LN5" s="3"/>
      <c r="LO5" s="3"/>
      <c r="LP5" s="3"/>
      <c r="LQ5" s="3"/>
      <c r="LR5" s="3"/>
      <c r="LS5" s="3"/>
      <c r="LT5" s="3"/>
      <c r="LU5" s="3"/>
      <c r="LV5" s="3"/>
      <c r="LW5" s="3"/>
      <c r="LX5" s="3"/>
      <c r="LY5" s="3"/>
      <c r="LZ5" s="3"/>
      <c r="MA5" s="3"/>
      <c r="MB5" s="3"/>
      <c r="MC5" s="3"/>
      <c r="MD5" s="3"/>
      <c r="ME5" s="3"/>
      <c r="MF5" s="3"/>
      <c r="MG5" s="3"/>
      <c r="MH5" s="3"/>
      <c r="MI5" s="3"/>
      <c r="MJ5" s="3"/>
      <c r="MK5" s="3"/>
      <c r="ML5" s="3"/>
      <c r="MM5" s="3"/>
      <c r="MN5" s="3"/>
      <c r="MO5" s="3"/>
      <c r="MP5" s="3"/>
      <c r="MQ5" s="3"/>
      <c r="MR5" s="3"/>
      <c r="MS5" s="3"/>
      <c r="MT5" s="3"/>
      <c r="MU5" s="3"/>
      <c r="MV5" s="3"/>
      <c r="MW5" s="3"/>
      <c r="MX5" s="3"/>
      <c r="MY5" s="3"/>
      <c r="MZ5" s="3"/>
      <c r="NA5" s="3"/>
      <c r="NB5" s="3"/>
      <c r="NC5" s="3"/>
      <c r="ND5" s="3"/>
      <c r="NE5" s="3"/>
      <c r="NF5" s="3"/>
      <c r="NG5" s="3"/>
      <c r="NH5" s="3"/>
      <c r="NI5" s="3"/>
      <c r="NJ5" s="3"/>
      <c r="NK5" s="3"/>
      <c r="NL5" s="3"/>
      <c r="NM5" s="3"/>
      <c r="NN5" s="3"/>
      <c r="NO5" s="3"/>
      <c r="NP5" s="3"/>
      <c r="NQ5" s="3"/>
      <c r="NR5" s="3"/>
      <c r="NS5" s="3"/>
      <c r="NT5" s="3"/>
      <c r="NU5" s="3"/>
      <c r="NV5" s="3"/>
      <c r="NW5" s="3"/>
      <c r="NX5" s="3"/>
      <c r="NY5" s="3"/>
      <c r="NZ5" s="3"/>
      <c r="OA5" s="3"/>
      <c r="OB5" s="3"/>
      <c r="OC5" s="3"/>
      <c r="OD5" s="3"/>
      <c r="OE5" s="3"/>
      <c r="OF5" s="3"/>
      <c r="OG5" s="3"/>
      <c r="OH5" s="3"/>
      <c r="OI5" s="3"/>
      <c r="OJ5" s="3"/>
      <c r="OK5" s="3"/>
      <c r="OL5" s="3"/>
      <c r="OM5" s="3"/>
      <c r="ON5" s="3"/>
      <c r="OO5" s="3"/>
      <c r="OP5" s="3"/>
      <c r="OQ5" s="3"/>
      <c r="OR5" s="3"/>
      <c r="OS5" s="3"/>
      <c r="OT5" s="3"/>
      <c r="OU5" s="3"/>
      <c r="OV5" s="3"/>
      <c r="OW5" s="3"/>
      <c r="OX5" s="3"/>
      <c r="OY5" s="3"/>
      <c r="OZ5" s="3"/>
      <c r="PA5" s="3"/>
      <c r="PB5" s="3"/>
      <c r="PC5" s="3"/>
      <c r="PD5" s="3"/>
      <c r="PE5" s="3"/>
      <c r="PF5" s="3"/>
      <c r="PG5" s="3"/>
      <c r="PH5" s="3"/>
      <c r="PI5" s="3"/>
      <c r="PJ5" s="3"/>
      <c r="PK5" s="3"/>
      <c r="PL5" s="3"/>
      <c r="PM5" s="3"/>
      <c r="PN5" s="3"/>
      <c r="PO5" s="3"/>
      <c r="PP5" s="3"/>
      <c r="PQ5" s="3"/>
      <c r="PR5" s="3"/>
      <c r="PS5" s="3"/>
      <c r="PT5" s="3"/>
      <c r="PU5" s="3"/>
      <c r="PV5" s="3"/>
      <c r="PW5" s="3"/>
      <c r="PX5" s="3"/>
      <c r="PY5" s="3"/>
      <c r="PZ5" s="3"/>
      <c r="QA5" s="3"/>
      <c r="QB5" s="3"/>
      <c r="QC5" s="3"/>
      <c r="QD5" s="3"/>
      <c r="QE5" s="3"/>
      <c r="QF5" s="3"/>
      <c r="QG5" s="3"/>
      <c r="QH5" s="3"/>
      <c r="QI5" s="3"/>
      <c r="QJ5" s="3"/>
      <c r="QK5" s="3"/>
      <c r="QL5" s="3"/>
      <c r="QM5" s="3"/>
      <c r="QN5" s="3"/>
      <c r="QO5" s="3"/>
      <c r="QP5" s="3"/>
      <c r="QQ5" s="3"/>
      <c r="QR5" s="3"/>
      <c r="QS5" s="3"/>
      <c r="QT5" s="3"/>
      <c r="QU5" s="3"/>
      <c r="QV5" s="3"/>
      <c r="QW5" s="3"/>
      <c r="QX5" s="3"/>
      <c r="QY5" s="3"/>
      <c r="QZ5" s="3"/>
      <c r="RA5" s="3"/>
      <c r="RB5" s="3"/>
      <c r="RC5" s="3"/>
      <c r="RD5" s="3"/>
      <c r="RE5" s="3"/>
      <c r="RF5" s="3"/>
      <c r="RG5" s="3"/>
      <c r="RH5" s="3"/>
      <c r="RI5" s="3"/>
      <c r="RJ5" s="3"/>
      <c r="RK5" s="3"/>
      <c r="RL5" s="3"/>
      <c r="RM5" s="3"/>
      <c r="RN5" s="3"/>
      <c r="RO5" s="3"/>
      <c r="RP5" s="3"/>
      <c r="RQ5" s="3"/>
      <c r="RR5" s="3"/>
      <c r="RS5" s="3"/>
      <c r="RT5" s="3"/>
      <c r="RU5" s="3"/>
      <c r="RV5" s="3"/>
      <c r="RW5" s="3"/>
      <c r="RX5" s="3"/>
      <c r="RY5" s="3"/>
      <c r="RZ5" s="3"/>
      <c r="SA5" s="3"/>
      <c r="SB5" s="3"/>
      <c r="SC5" s="3"/>
      <c r="SD5" s="3"/>
      <c r="SE5" s="3"/>
      <c r="SF5" s="3"/>
      <c r="SG5" s="3"/>
      <c r="SH5" s="3"/>
      <c r="SI5" s="3"/>
      <c r="SJ5" s="3"/>
      <c r="SK5" s="3"/>
      <c r="SL5" s="3"/>
      <c r="SM5" s="3"/>
      <c r="SN5" s="3"/>
      <c r="SO5" s="3"/>
      <c r="SP5" s="3"/>
      <c r="SQ5" s="3"/>
      <c r="SR5" s="3"/>
      <c r="SS5" s="3"/>
      <c r="ST5" s="3"/>
      <c r="SU5" s="3"/>
      <c r="SV5" s="3"/>
      <c r="SW5" s="3"/>
      <c r="SX5" s="3"/>
      <c r="SY5" s="3"/>
      <c r="SZ5" s="3"/>
      <c r="TA5" s="3"/>
      <c r="TB5" s="3"/>
      <c r="TC5" s="3"/>
      <c r="TD5" s="3"/>
      <c r="TE5" s="3"/>
      <c r="TF5" s="3"/>
      <c r="TG5" s="3"/>
      <c r="TH5" s="3"/>
      <c r="TI5" s="3"/>
      <c r="TJ5" s="3"/>
      <c r="TK5" s="3"/>
      <c r="TL5" s="3"/>
      <c r="TM5" s="3"/>
      <c r="TN5" s="3"/>
      <c r="TO5" s="3"/>
      <c r="TP5" s="3"/>
      <c r="TQ5" s="3"/>
      <c r="TR5" s="3"/>
      <c r="TS5" s="3"/>
      <c r="TT5" s="3"/>
      <c r="TU5" s="3"/>
      <c r="TV5" s="3"/>
      <c r="TW5" s="3"/>
      <c r="TX5" s="3"/>
      <c r="TY5" s="3"/>
      <c r="TZ5" s="3"/>
      <c r="UA5" s="3"/>
      <c r="UB5" s="3"/>
      <c r="UC5" s="3"/>
      <c r="UD5" s="3"/>
      <c r="UE5" s="3"/>
      <c r="UF5" s="3"/>
      <c r="UG5" s="3"/>
      <c r="UH5" s="3"/>
      <c r="UI5" s="3"/>
      <c r="UJ5" s="3"/>
      <c r="UK5" s="3"/>
      <c r="UL5" s="3"/>
      <c r="UM5" s="3"/>
      <c r="UN5" s="3"/>
      <c r="UO5" s="3"/>
      <c r="UP5" s="3"/>
      <c r="UQ5" s="3"/>
      <c r="UR5" s="3"/>
      <c r="US5" s="3"/>
      <c r="UT5" s="3"/>
      <c r="UU5" s="3"/>
      <c r="UV5" s="3"/>
      <c r="UW5" s="3"/>
      <c r="UX5" s="3"/>
      <c r="UY5" s="3"/>
      <c r="UZ5" s="3"/>
      <c r="VA5" s="3"/>
      <c r="VB5" s="3"/>
      <c r="VC5" s="3"/>
      <c r="VD5" s="3"/>
      <c r="VE5" s="3"/>
      <c r="VF5" s="3"/>
      <c r="VG5" s="3"/>
      <c r="VH5" s="3"/>
      <c r="VI5" s="3"/>
      <c r="VJ5" s="3"/>
      <c r="VK5" s="3"/>
      <c r="VL5" s="3"/>
      <c r="VM5" s="3"/>
      <c r="VN5" s="3"/>
      <c r="VO5" s="3"/>
      <c r="VP5" s="3"/>
      <c r="VQ5" s="3"/>
      <c r="VR5" s="3"/>
      <c r="VS5" s="3"/>
      <c r="VT5" s="3"/>
      <c r="VU5" s="3"/>
      <c r="VV5" s="3"/>
    </row>
    <row r="6" spans="1:594" s="4" customForma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5">
        <v>120</v>
      </c>
      <c r="L6" s="5">
        <v>120</v>
      </c>
      <c r="M6" s="5">
        <v>9</v>
      </c>
      <c r="N6" s="3" t="s">
        <v>1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/>
      <c r="KH6" s="3"/>
      <c r="KI6" s="3"/>
      <c r="KJ6" s="3"/>
      <c r="KK6" s="3"/>
      <c r="KL6" s="3"/>
      <c r="KM6" s="3"/>
      <c r="KN6" s="3"/>
      <c r="KO6" s="3"/>
      <c r="KP6" s="3"/>
      <c r="KQ6" s="3"/>
      <c r="KR6" s="3"/>
      <c r="KS6" s="3"/>
      <c r="KT6" s="3"/>
      <c r="KU6" s="3"/>
      <c r="KV6" s="3"/>
      <c r="KW6" s="3"/>
      <c r="KX6" s="3"/>
      <c r="KY6" s="3"/>
      <c r="KZ6" s="3"/>
      <c r="LA6" s="3"/>
      <c r="LB6" s="3"/>
      <c r="LC6" s="3"/>
      <c r="LD6" s="3"/>
      <c r="LE6" s="3"/>
      <c r="LF6" s="3"/>
      <c r="LG6" s="3"/>
      <c r="LH6" s="3"/>
      <c r="LI6" s="3"/>
      <c r="LJ6" s="3"/>
      <c r="LK6" s="3"/>
      <c r="LL6" s="3"/>
      <c r="LM6" s="3"/>
      <c r="LN6" s="3"/>
      <c r="LO6" s="3"/>
      <c r="LP6" s="3"/>
      <c r="LQ6" s="3"/>
      <c r="LR6" s="3"/>
      <c r="LS6" s="3"/>
      <c r="LT6" s="3"/>
      <c r="LU6" s="3"/>
      <c r="LV6" s="3"/>
      <c r="LW6" s="3"/>
      <c r="LX6" s="3"/>
      <c r="LY6" s="3"/>
      <c r="LZ6" s="3"/>
      <c r="MA6" s="3"/>
      <c r="MB6" s="3"/>
      <c r="MC6" s="3"/>
      <c r="MD6" s="3"/>
      <c r="ME6" s="3"/>
      <c r="MF6" s="3"/>
      <c r="MG6" s="3"/>
      <c r="MH6" s="3"/>
      <c r="MI6" s="3"/>
      <c r="MJ6" s="3"/>
      <c r="MK6" s="3"/>
      <c r="ML6" s="3"/>
      <c r="MM6" s="3"/>
      <c r="MN6" s="3"/>
      <c r="MO6" s="3"/>
      <c r="MP6" s="3"/>
      <c r="MQ6" s="3"/>
      <c r="MR6" s="3"/>
      <c r="MS6" s="3"/>
      <c r="MT6" s="3"/>
      <c r="MU6" s="3"/>
      <c r="MV6" s="3"/>
      <c r="MW6" s="3"/>
      <c r="MX6" s="3"/>
      <c r="MY6" s="3"/>
      <c r="MZ6" s="3"/>
      <c r="NA6" s="3"/>
      <c r="NB6" s="3"/>
      <c r="NC6" s="3"/>
      <c r="ND6" s="3"/>
      <c r="NE6" s="3"/>
      <c r="NF6" s="3"/>
      <c r="NG6" s="3"/>
      <c r="NH6" s="3"/>
      <c r="NI6" s="3"/>
      <c r="NJ6" s="3"/>
      <c r="NK6" s="3"/>
      <c r="NL6" s="3"/>
      <c r="NM6" s="3"/>
      <c r="NN6" s="3"/>
      <c r="NO6" s="3"/>
      <c r="NP6" s="3"/>
      <c r="NQ6" s="3"/>
      <c r="NR6" s="3"/>
      <c r="NS6" s="3"/>
      <c r="NT6" s="3"/>
      <c r="NU6" s="3"/>
      <c r="NV6" s="3"/>
      <c r="NW6" s="3"/>
      <c r="NX6" s="3"/>
      <c r="NY6" s="3"/>
      <c r="NZ6" s="3"/>
      <c r="OA6" s="3"/>
      <c r="OB6" s="3"/>
      <c r="OC6" s="3"/>
      <c r="OD6" s="3"/>
      <c r="OE6" s="3"/>
      <c r="OF6" s="3"/>
      <c r="OG6" s="3"/>
      <c r="OH6" s="3"/>
      <c r="OI6" s="3"/>
      <c r="OJ6" s="3"/>
      <c r="OK6" s="3"/>
      <c r="OL6" s="3"/>
      <c r="OM6" s="3"/>
      <c r="ON6" s="3"/>
      <c r="OO6" s="3"/>
      <c r="OP6" s="3"/>
      <c r="OQ6" s="3"/>
      <c r="OR6" s="3"/>
      <c r="OS6" s="3"/>
      <c r="OT6" s="3"/>
      <c r="OU6" s="3"/>
      <c r="OV6" s="3"/>
      <c r="OW6" s="3"/>
      <c r="OX6" s="3"/>
      <c r="OY6" s="3"/>
      <c r="OZ6" s="3"/>
      <c r="PA6" s="3"/>
      <c r="PB6" s="3"/>
      <c r="PC6" s="3"/>
      <c r="PD6" s="3"/>
      <c r="PE6" s="3"/>
      <c r="PF6" s="3"/>
      <c r="PG6" s="3"/>
      <c r="PH6" s="3"/>
      <c r="PI6" s="3"/>
      <c r="PJ6" s="3"/>
      <c r="PK6" s="3"/>
      <c r="PL6" s="3"/>
      <c r="PM6" s="3"/>
      <c r="PN6" s="3"/>
      <c r="PO6" s="3"/>
      <c r="PP6" s="3"/>
      <c r="PQ6" s="3"/>
      <c r="PR6" s="3"/>
      <c r="PS6" s="3"/>
      <c r="PT6" s="3"/>
      <c r="PU6" s="3"/>
      <c r="PV6" s="3"/>
      <c r="PW6" s="3"/>
      <c r="PX6" s="3"/>
      <c r="PY6" s="3"/>
      <c r="PZ6" s="3"/>
      <c r="QA6" s="3"/>
      <c r="QB6" s="3"/>
      <c r="QC6" s="3"/>
      <c r="QD6" s="3"/>
      <c r="QE6" s="3"/>
      <c r="QF6" s="3"/>
      <c r="QG6" s="3"/>
      <c r="QH6" s="3"/>
      <c r="QI6" s="3"/>
      <c r="QJ6" s="3"/>
      <c r="QK6" s="3"/>
      <c r="QL6" s="3"/>
      <c r="QM6" s="3"/>
      <c r="QN6" s="3"/>
      <c r="QO6" s="3"/>
      <c r="QP6" s="3"/>
      <c r="QQ6" s="3"/>
      <c r="QR6" s="3"/>
      <c r="QS6" s="3"/>
      <c r="QT6" s="3"/>
      <c r="QU6" s="3"/>
      <c r="QV6" s="3"/>
      <c r="QW6" s="3"/>
      <c r="QX6" s="3"/>
      <c r="QY6" s="3"/>
      <c r="QZ6" s="3"/>
      <c r="RA6" s="3"/>
      <c r="RB6" s="3"/>
      <c r="RC6" s="3"/>
      <c r="RD6" s="3"/>
      <c r="RE6" s="3"/>
      <c r="RF6" s="3"/>
      <c r="RG6" s="3"/>
      <c r="RH6" s="3"/>
      <c r="RI6" s="3"/>
      <c r="RJ6" s="3"/>
      <c r="RK6" s="3"/>
      <c r="RL6" s="3"/>
      <c r="RM6" s="3"/>
      <c r="RN6" s="3"/>
      <c r="RO6" s="3"/>
      <c r="RP6" s="3"/>
      <c r="RQ6" s="3"/>
      <c r="RR6" s="3"/>
      <c r="RS6" s="3"/>
      <c r="RT6" s="3"/>
      <c r="RU6" s="3"/>
      <c r="RV6" s="3"/>
      <c r="RW6" s="3"/>
      <c r="RX6" s="3"/>
      <c r="RY6" s="3"/>
      <c r="RZ6" s="3"/>
      <c r="SA6" s="3"/>
      <c r="SB6" s="3"/>
      <c r="SC6" s="3"/>
      <c r="SD6" s="3"/>
      <c r="SE6" s="3"/>
      <c r="SF6" s="3"/>
      <c r="SG6" s="3"/>
      <c r="SH6" s="3"/>
      <c r="SI6" s="3"/>
      <c r="SJ6" s="3"/>
      <c r="SK6" s="3"/>
      <c r="SL6" s="3"/>
      <c r="SM6" s="3"/>
      <c r="SN6" s="3"/>
      <c r="SO6" s="3"/>
      <c r="SP6" s="3"/>
      <c r="SQ6" s="3"/>
      <c r="SR6" s="3"/>
      <c r="SS6" s="3"/>
      <c r="ST6" s="3"/>
      <c r="SU6" s="3"/>
      <c r="SV6" s="3"/>
      <c r="SW6" s="3"/>
      <c r="SX6" s="3"/>
      <c r="SY6" s="3"/>
      <c r="SZ6" s="3"/>
      <c r="TA6" s="3"/>
      <c r="TB6" s="3"/>
      <c r="TC6" s="3"/>
      <c r="TD6" s="3"/>
      <c r="TE6" s="3"/>
      <c r="TF6" s="3"/>
      <c r="TG6" s="3"/>
      <c r="TH6" s="3"/>
      <c r="TI6" s="3"/>
      <c r="TJ6" s="3"/>
      <c r="TK6" s="3"/>
      <c r="TL6" s="3"/>
      <c r="TM6" s="3"/>
      <c r="TN6" s="3"/>
      <c r="TO6" s="3"/>
      <c r="TP6" s="3"/>
      <c r="TQ6" s="3"/>
      <c r="TR6" s="3"/>
      <c r="TS6" s="3"/>
      <c r="TT6" s="3"/>
      <c r="TU6" s="3"/>
      <c r="TV6" s="3"/>
      <c r="TW6" s="3"/>
      <c r="TX6" s="3"/>
      <c r="TY6" s="3"/>
      <c r="TZ6" s="3"/>
      <c r="UA6" s="3"/>
      <c r="UB6" s="3"/>
      <c r="UC6" s="3"/>
      <c r="UD6" s="3"/>
      <c r="UE6" s="3"/>
      <c r="UF6" s="3"/>
      <c r="UG6" s="3"/>
      <c r="UH6" s="3"/>
      <c r="UI6" s="3"/>
      <c r="UJ6" s="3"/>
      <c r="UK6" s="3"/>
      <c r="UL6" s="3"/>
      <c r="UM6" s="3"/>
      <c r="UN6" s="3"/>
      <c r="UO6" s="3"/>
      <c r="UP6" s="3"/>
      <c r="UQ6" s="3"/>
      <c r="UR6" s="3"/>
      <c r="US6" s="3"/>
      <c r="UT6" s="3"/>
      <c r="UU6" s="3"/>
      <c r="UV6" s="3"/>
      <c r="UW6" s="3"/>
      <c r="UX6" s="3"/>
      <c r="UY6" s="3"/>
      <c r="UZ6" s="3"/>
      <c r="VA6" s="3"/>
      <c r="VB6" s="3"/>
      <c r="VC6" s="3"/>
      <c r="VD6" s="3"/>
      <c r="VE6" s="3"/>
      <c r="VF6" s="3"/>
      <c r="VG6" s="3"/>
      <c r="VH6" s="3"/>
      <c r="VI6" s="3"/>
      <c r="VJ6" s="3"/>
      <c r="VK6" s="3"/>
      <c r="VL6" s="3"/>
      <c r="VM6" s="3"/>
      <c r="VN6" s="3"/>
      <c r="VO6" s="3"/>
      <c r="VP6" s="3"/>
      <c r="VQ6" s="3"/>
      <c r="VR6" s="3"/>
      <c r="VS6" s="3"/>
      <c r="VT6" s="3"/>
      <c r="VU6" s="3"/>
      <c r="VV6" s="3"/>
    </row>
    <row r="7" spans="1:594" s="4" customFormat="1" ht="18.75" x14ac:dyDescent="0.25">
      <c r="A7" s="2"/>
      <c r="B7" s="51" t="s">
        <v>2</v>
      </c>
      <c r="C7" s="51"/>
      <c r="D7" s="51"/>
      <c r="E7" s="51"/>
      <c r="F7" s="51"/>
      <c r="G7" s="51"/>
      <c r="H7" s="51"/>
      <c r="I7" s="51"/>
      <c r="J7" s="52"/>
      <c r="K7" s="5">
        <v>75</v>
      </c>
      <c r="L7" s="5">
        <v>75</v>
      </c>
      <c r="M7" s="5">
        <v>4</v>
      </c>
      <c r="N7" s="3" t="s">
        <v>3</v>
      </c>
      <c r="O7" s="3">
        <v>45</v>
      </c>
      <c r="P7" s="3">
        <v>45</v>
      </c>
      <c r="Q7" s="3">
        <v>2</v>
      </c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  <c r="IX7" s="3"/>
      <c r="IY7" s="3"/>
      <c r="IZ7" s="3"/>
      <c r="JA7" s="3"/>
      <c r="JB7" s="3"/>
      <c r="JC7" s="3"/>
      <c r="JD7" s="3"/>
      <c r="JE7" s="3"/>
      <c r="JF7" s="3"/>
      <c r="JG7" s="3"/>
      <c r="JH7" s="3"/>
      <c r="JI7" s="3"/>
      <c r="JJ7" s="3"/>
      <c r="JK7" s="3"/>
      <c r="JL7" s="3"/>
      <c r="JM7" s="3"/>
      <c r="JN7" s="3"/>
      <c r="JO7" s="3"/>
      <c r="JP7" s="3"/>
      <c r="JQ7" s="3"/>
      <c r="JR7" s="3"/>
      <c r="JS7" s="3"/>
      <c r="JT7" s="3"/>
      <c r="JU7" s="3"/>
      <c r="JV7" s="3"/>
      <c r="JW7" s="3"/>
      <c r="JX7" s="3"/>
      <c r="JY7" s="3"/>
      <c r="JZ7" s="3"/>
      <c r="KA7" s="3"/>
      <c r="KB7" s="3"/>
      <c r="KC7" s="3"/>
      <c r="KD7" s="3"/>
      <c r="KE7" s="3"/>
      <c r="KF7" s="3"/>
      <c r="KG7" s="3"/>
      <c r="KH7" s="3"/>
      <c r="KI7" s="3"/>
      <c r="KJ7" s="3"/>
      <c r="KK7" s="3"/>
      <c r="KL7" s="3"/>
      <c r="KM7" s="3"/>
      <c r="KN7" s="3"/>
      <c r="KO7" s="3"/>
      <c r="KP7" s="3"/>
      <c r="KQ7" s="3"/>
      <c r="KR7" s="3"/>
      <c r="KS7" s="3"/>
      <c r="KT7" s="3"/>
      <c r="KU7" s="3"/>
      <c r="KV7" s="3"/>
      <c r="KW7" s="3"/>
      <c r="KX7" s="3"/>
      <c r="KY7" s="3"/>
      <c r="KZ7" s="3"/>
      <c r="LA7" s="3"/>
      <c r="LB7" s="3"/>
      <c r="LC7" s="3"/>
      <c r="LD7" s="3"/>
      <c r="LE7" s="3"/>
      <c r="LF7" s="3"/>
      <c r="LG7" s="3"/>
      <c r="LH7" s="3"/>
      <c r="LI7" s="3"/>
      <c r="LJ7" s="3"/>
      <c r="LK7" s="3"/>
      <c r="LL7" s="3"/>
      <c r="LM7" s="3"/>
      <c r="LN7" s="3"/>
      <c r="LO7" s="3"/>
      <c r="LP7" s="3"/>
      <c r="LQ7" s="3"/>
      <c r="LR7" s="3"/>
      <c r="LS7" s="3"/>
      <c r="LT7" s="3"/>
      <c r="LU7" s="3"/>
      <c r="LV7" s="3"/>
      <c r="LW7" s="3"/>
      <c r="LX7" s="3"/>
      <c r="LY7" s="3"/>
      <c r="LZ7" s="3"/>
      <c r="MA7" s="3"/>
      <c r="MB7" s="3"/>
      <c r="MC7" s="3"/>
      <c r="MD7" s="3"/>
      <c r="ME7" s="3"/>
      <c r="MF7" s="3"/>
      <c r="MG7" s="3"/>
      <c r="MH7" s="3"/>
      <c r="MI7" s="3"/>
      <c r="MJ7" s="3"/>
      <c r="MK7" s="3"/>
      <c r="ML7" s="3"/>
      <c r="MM7" s="3"/>
      <c r="MN7" s="3"/>
      <c r="MO7" s="3"/>
      <c r="MP7" s="3"/>
      <c r="MQ7" s="3"/>
      <c r="MR7" s="3"/>
      <c r="MS7" s="3"/>
      <c r="MT7" s="3"/>
      <c r="MU7" s="3"/>
      <c r="MV7" s="3"/>
      <c r="MW7" s="3"/>
      <c r="MX7" s="3"/>
      <c r="MY7" s="3"/>
      <c r="MZ7" s="3"/>
      <c r="NA7" s="3"/>
      <c r="NB7" s="3"/>
      <c r="NC7" s="3"/>
      <c r="ND7" s="3"/>
      <c r="NE7" s="3"/>
      <c r="NF7" s="3"/>
      <c r="NG7" s="3"/>
      <c r="NH7" s="3"/>
      <c r="NI7" s="3"/>
      <c r="NJ7" s="3"/>
      <c r="NK7" s="3"/>
      <c r="NL7" s="3"/>
      <c r="NM7" s="3"/>
      <c r="NN7" s="3"/>
      <c r="NO7" s="3"/>
      <c r="NP7" s="3"/>
      <c r="NQ7" s="3"/>
      <c r="NR7" s="3"/>
      <c r="NS7" s="3"/>
      <c r="NT7" s="3"/>
      <c r="NU7" s="3"/>
      <c r="NV7" s="3"/>
      <c r="NW7" s="3"/>
      <c r="NX7" s="3"/>
      <c r="NY7" s="3"/>
      <c r="NZ7" s="3"/>
      <c r="OA7" s="3"/>
      <c r="OB7" s="3"/>
      <c r="OC7" s="3"/>
      <c r="OD7" s="3"/>
      <c r="OE7" s="3"/>
      <c r="OF7" s="3"/>
      <c r="OG7" s="3"/>
      <c r="OH7" s="3"/>
      <c r="OI7" s="3"/>
      <c r="OJ7" s="3"/>
      <c r="OK7" s="3"/>
      <c r="OL7" s="3"/>
      <c r="OM7" s="3"/>
      <c r="ON7" s="3"/>
      <c r="OO7" s="3"/>
      <c r="OP7" s="3"/>
      <c r="OQ7" s="3"/>
      <c r="OR7" s="3"/>
      <c r="OS7" s="3"/>
      <c r="OT7" s="3"/>
      <c r="OU7" s="3"/>
      <c r="OV7" s="3"/>
      <c r="OW7" s="3"/>
      <c r="OX7" s="3"/>
      <c r="OY7" s="3"/>
      <c r="OZ7" s="3"/>
      <c r="PA7" s="3"/>
      <c r="PB7" s="3"/>
      <c r="PC7" s="3"/>
      <c r="PD7" s="3"/>
      <c r="PE7" s="3"/>
      <c r="PF7" s="3"/>
      <c r="PG7" s="3"/>
      <c r="PH7" s="3"/>
      <c r="PI7" s="3"/>
      <c r="PJ7" s="3"/>
      <c r="PK7" s="3"/>
      <c r="PL7" s="3"/>
      <c r="PM7" s="3"/>
      <c r="PN7" s="3"/>
      <c r="PO7" s="3"/>
      <c r="PP7" s="3"/>
      <c r="PQ7" s="3"/>
      <c r="PR7" s="3"/>
      <c r="PS7" s="3"/>
      <c r="PT7" s="3"/>
      <c r="PU7" s="3"/>
      <c r="PV7" s="3"/>
      <c r="PW7" s="3"/>
      <c r="PX7" s="3"/>
      <c r="PY7" s="3"/>
      <c r="PZ7" s="3"/>
      <c r="QA7" s="3"/>
      <c r="QB7" s="3"/>
      <c r="QC7" s="3"/>
      <c r="QD7" s="3"/>
      <c r="QE7" s="3"/>
      <c r="QF7" s="3"/>
      <c r="QG7" s="3"/>
      <c r="QH7" s="3"/>
      <c r="QI7" s="3"/>
      <c r="QJ7" s="3"/>
      <c r="QK7" s="3"/>
      <c r="QL7" s="3"/>
      <c r="QM7" s="3"/>
      <c r="QN7" s="3"/>
      <c r="QO7" s="3"/>
      <c r="QP7" s="3"/>
      <c r="QQ7" s="3"/>
      <c r="QR7" s="3"/>
      <c r="QS7" s="3"/>
      <c r="QT7" s="3"/>
      <c r="QU7" s="3"/>
      <c r="QV7" s="3"/>
      <c r="QW7" s="3"/>
      <c r="QX7" s="3"/>
      <c r="QY7" s="3"/>
      <c r="QZ7" s="3"/>
      <c r="RA7" s="3"/>
      <c r="RB7" s="3"/>
      <c r="RC7" s="3"/>
      <c r="RD7" s="3"/>
      <c r="RE7" s="3"/>
      <c r="RF7" s="3"/>
      <c r="RG7" s="3"/>
      <c r="RH7" s="3"/>
      <c r="RI7" s="3"/>
      <c r="RJ7" s="3"/>
      <c r="RK7" s="3"/>
      <c r="RL7" s="3"/>
      <c r="RM7" s="3"/>
      <c r="RN7" s="3"/>
      <c r="RO7" s="3"/>
      <c r="RP7" s="3"/>
      <c r="RQ7" s="3"/>
      <c r="RR7" s="3"/>
      <c r="RS7" s="3"/>
      <c r="RT7" s="3"/>
      <c r="RU7" s="3"/>
      <c r="RV7" s="3"/>
      <c r="RW7" s="3"/>
      <c r="RX7" s="3"/>
      <c r="RY7" s="3"/>
      <c r="RZ7" s="3"/>
      <c r="SA7" s="3"/>
      <c r="SB7" s="3"/>
      <c r="SC7" s="3"/>
      <c r="SD7" s="3"/>
      <c r="SE7" s="3"/>
      <c r="SF7" s="3"/>
      <c r="SG7" s="3"/>
      <c r="SH7" s="3"/>
      <c r="SI7" s="3"/>
      <c r="SJ7" s="3"/>
      <c r="SK7" s="3"/>
      <c r="SL7" s="3"/>
      <c r="SM7" s="3"/>
      <c r="SN7" s="3"/>
      <c r="SO7" s="3"/>
      <c r="SP7" s="3"/>
      <c r="SQ7" s="3"/>
      <c r="SR7" s="3"/>
      <c r="SS7" s="3"/>
      <c r="ST7" s="3"/>
      <c r="SU7" s="3"/>
      <c r="SV7" s="3"/>
      <c r="SW7" s="3"/>
      <c r="SX7" s="3"/>
      <c r="SY7" s="3"/>
      <c r="SZ7" s="3"/>
      <c r="TA7" s="3"/>
      <c r="TB7" s="3"/>
      <c r="TC7" s="3"/>
      <c r="TD7" s="3"/>
      <c r="TE7" s="3"/>
      <c r="TF7" s="3"/>
      <c r="TG7" s="3"/>
      <c r="TH7" s="3"/>
      <c r="TI7" s="3"/>
      <c r="TJ7" s="3"/>
      <c r="TK7" s="3"/>
      <c r="TL7" s="3"/>
      <c r="TM7" s="3"/>
      <c r="TN7" s="3"/>
      <c r="TO7" s="3"/>
      <c r="TP7" s="3"/>
      <c r="TQ7" s="3"/>
      <c r="TR7" s="3"/>
      <c r="TS7" s="3"/>
      <c r="TT7" s="3"/>
      <c r="TU7" s="3"/>
      <c r="TV7" s="3"/>
      <c r="TW7" s="3"/>
      <c r="TX7" s="3"/>
      <c r="TY7" s="3"/>
      <c r="TZ7" s="3"/>
      <c r="UA7" s="3"/>
      <c r="UB7" s="3"/>
      <c r="UC7" s="3"/>
      <c r="UD7" s="3"/>
      <c r="UE7" s="3"/>
      <c r="UF7" s="3"/>
      <c r="UG7" s="3"/>
      <c r="UH7" s="3"/>
      <c r="UI7" s="3"/>
      <c r="UJ7" s="3"/>
      <c r="UK7" s="3"/>
      <c r="UL7" s="3"/>
      <c r="UM7" s="3"/>
      <c r="UN7" s="3"/>
      <c r="UO7" s="3"/>
      <c r="UP7" s="3"/>
      <c r="UQ7" s="3"/>
      <c r="UR7" s="3"/>
      <c r="US7" s="3"/>
      <c r="UT7" s="3"/>
      <c r="UU7" s="3"/>
      <c r="UV7" s="3"/>
      <c r="UW7" s="3"/>
      <c r="UX7" s="3"/>
      <c r="UY7" s="3"/>
      <c r="UZ7" s="3"/>
      <c r="VA7" s="3"/>
      <c r="VB7" s="3"/>
      <c r="VC7" s="3"/>
      <c r="VD7" s="3"/>
      <c r="VE7" s="3"/>
      <c r="VF7" s="3"/>
      <c r="VG7" s="3"/>
      <c r="VH7" s="3"/>
      <c r="VI7" s="3"/>
      <c r="VJ7" s="3"/>
      <c r="VK7" s="3"/>
      <c r="VL7" s="3"/>
      <c r="VM7" s="3"/>
      <c r="VN7" s="3"/>
      <c r="VO7" s="3"/>
      <c r="VP7" s="3"/>
      <c r="VQ7" s="3"/>
      <c r="VR7" s="3"/>
      <c r="VS7" s="3"/>
      <c r="VT7" s="3"/>
      <c r="VU7" s="3"/>
      <c r="VV7" s="3"/>
    </row>
    <row r="8" spans="1:594" s="4" customFormat="1" x14ac:dyDescent="0.25">
      <c r="A8" s="2"/>
      <c r="B8" s="6" t="s">
        <v>4</v>
      </c>
      <c r="C8" s="7" t="s">
        <v>5</v>
      </c>
      <c r="D8" s="7"/>
      <c r="E8" s="7"/>
      <c r="F8" s="7"/>
      <c r="G8" s="7"/>
      <c r="H8" s="7"/>
      <c r="I8" s="7"/>
      <c r="J8" s="8"/>
      <c r="K8" s="9" t="s">
        <v>6</v>
      </c>
      <c r="L8" s="9" t="s">
        <v>7</v>
      </c>
      <c r="M8" s="9" t="s">
        <v>8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  <c r="IX8" s="3"/>
      <c r="IY8" s="3"/>
      <c r="IZ8" s="3"/>
      <c r="JA8" s="3"/>
      <c r="JB8" s="3"/>
      <c r="JC8" s="3"/>
      <c r="JD8" s="3"/>
      <c r="JE8" s="3"/>
      <c r="JF8" s="3"/>
      <c r="JG8" s="3"/>
      <c r="JH8" s="3"/>
      <c r="JI8" s="3"/>
      <c r="JJ8" s="3"/>
      <c r="JK8" s="3"/>
      <c r="JL8" s="3"/>
      <c r="JM8" s="3"/>
      <c r="JN8" s="3"/>
      <c r="JO8" s="3"/>
      <c r="JP8" s="3"/>
      <c r="JQ8" s="3"/>
      <c r="JR8" s="3"/>
      <c r="JS8" s="3"/>
      <c r="JT8" s="3"/>
      <c r="JU8" s="3"/>
      <c r="JV8" s="3"/>
      <c r="JW8" s="3"/>
      <c r="JX8" s="3"/>
      <c r="JY8" s="3"/>
      <c r="JZ8" s="3"/>
      <c r="KA8" s="3"/>
      <c r="KB8" s="3"/>
      <c r="KC8" s="3"/>
      <c r="KD8" s="3"/>
      <c r="KE8" s="3"/>
      <c r="KF8" s="3"/>
      <c r="KG8" s="3"/>
      <c r="KH8" s="3"/>
      <c r="KI8" s="3"/>
      <c r="KJ8" s="3"/>
      <c r="KK8" s="3"/>
      <c r="KL8" s="3"/>
      <c r="KM8" s="3"/>
      <c r="KN8" s="3"/>
      <c r="KO8" s="3"/>
      <c r="KP8" s="3"/>
      <c r="KQ8" s="3"/>
      <c r="KR8" s="3"/>
      <c r="KS8" s="3"/>
      <c r="KT8" s="3"/>
      <c r="KU8" s="3"/>
      <c r="KV8" s="3"/>
      <c r="KW8" s="3"/>
      <c r="KX8" s="3"/>
      <c r="KY8" s="3"/>
      <c r="KZ8" s="3"/>
      <c r="LA8" s="3"/>
      <c r="LB8" s="3"/>
      <c r="LC8" s="3"/>
      <c r="LD8" s="3"/>
      <c r="LE8" s="3"/>
      <c r="LF8" s="3"/>
      <c r="LG8" s="3"/>
      <c r="LH8" s="3"/>
      <c r="LI8" s="3"/>
      <c r="LJ8" s="3"/>
      <c r="LK8" s="3"/>
      <c r="LL8" s="3"/>
      <c r="LM8" s="3"/>
      <c r="LN8" s="3"/>
      <c r="LO8" s="3"/>
      <c r="LP8" s="3"/>
      <c r="LQ8" s="3"/>
      <c r="LR8" s="3"/>
      <c r="LS8" s="3"/>
      <c r="LT8" s="3"/>
      <c r="LU8" s="3"/>
      <c r="LV8" s="3"/>
      <c r="LW8" s="3"/>
      <c r="LX8" s="3"/>
      <c r="LY8" s="3"/>
      <c r="LZ8" s="3"/>
      <c r="MA8" s="3"/>
      <c r="MB8" s="3"/>
      <c r="MC8" s="3"/>
      <c r="MD8" s="3"/>
      <c r="ME8" s="3"/>
      <c r="MF8" s="3"/>
      <c r="MG8" s="3"/>
      <c r="MH8" s="3"/>
      <c r="MI8" s="3"/>
      <c r="MJ8" s="3"/>
      <c r="MK8" s="3"/>
      <c r="ML8" s="3"/>
      <c r="MM8" s="3"/>
      <c r="MN8" s="3"/>
      <c r="MO8" s="3"/>
      <c r="MP8" s="3"/>
      <c r="MQ8" s="3"/>
      <c r="MR8" s="3"/>
      <c r="MS8" s="3"/>
      <c r="MT8" s="3"/>
      <c r="MU8" s="3"/>
      <c r="MV8" s="3"/>
      <c r="MW8" s="3"/>
      <c r="MX8" s="3"/>
      <c r="MY8" s="3"/>
      <c r="MZ8" s="3"/>
      <c r="NA8" s="3"/>
      <c r="NB8" s="3"/>
      <c r="NC8" s="3"/>
      <c r="ND8" s="3"/>
      <c r="NE8" s="3"/>
      <c r="NF8" s="3"/>
      <c r="NG8" s="3"/>
      <c r="NH8" s="3"/>
      <c r="NI8" s="3"/>
      <c r="NJ8" s="3"/>
      <c r="NK8" s="3"/>
      <c r="NL8" s="3"/>
      <c r="NM8" s="3"/>
      <c r="NN8" s="3"/>
      <c r="NO8" s="3"/>
      <c r="NP8" s="3"/>
      <c r="NQ8" s="3"/>
      <c r="NR8" s="3"/>
      <c r="NS8" s="3"/>
      <c r="NT8" s="3"/>
      <c r="NU8" s="3"/>
      <c r="NV8" s="3"/>
      <c r="NW8" s="3"/>
      <c r="NX8" s="3"/>
      <c r="NY8" s="3"/>
      <c r="NZ8" s="3"/>
      <c r="OA8" s="3"/>
      <c r="OB8" s="3"/>
      <c r="OC8" s="3"/>
      <c r="OD8" s="3"/>
      <c r="OE8" s="3"/>
      <c r="OF8" s="3"/>
      <c r="OG8" s="3"/>
      <c r="OH8" s="3"/>
      <c r="OI8" s="3"/>
      <c r="OJ8" s="3"/>
      <c r="OK8" s="3"/>
      <c r="OL8" s="3"/>
      <c r="OM8" s="3"/>
      <c r="ON8" s="3"/>
      <c r="OO8" s="3"/>
      <c r="OP8" s="3"/>
      <c r="OQ8" s="3"/>
      <c r="OR8" s="3"/>
      <c r="OS8" s="3"/>
      <c r="OT8" s="3"/>
      <c r="OU8" s="3"/>
      <c r="OV8" s="3"/>
      <c r="OW8" s="3"/>
      <c r="OX8" s="3"/>
      <c r="OY8" s="3"/>
      <c r="OZ8" s="3"/>
      <c r="PA8" s="3"/>
      <c r="PB8" s="3"/>
      <c r="PC8" s="3"/>
      <c r="PD8" s="3"/>
      <c r="PE8" s="3"/>
      <c r="PF8" s="3"/>
      <c r="PG8" s="3"/>
      <c r="PH8" s="3"/>
      <c r="PI8" s="3"/>
      <c r="PJ8" s="3"/>
      <c r="PK8" s="3"/>
      <c r="PL8" s="3"/>
      <c r="PM8" s="3"/>
      <c r="PN8" s="3"/>
      <c r="PO8" s="3"/>
      <c r="PP8" s="3"/>
      <c r="PQ8" s="3"/>
      <c r="PR8" s="3"/>
      <c r="PS8" s="3"/>
      <c r="PT8" s="3"/>
      <c r="PU8" s="3"/>
      <c r="PV8" s="3"/>
      <c r="PW8" s="3"/>
      <c r="PX8" s="3"/>
      <c r="PY8" s="3"/>
      <c r="PZ8" s="3"/>
      <c r="QA8" s="3"/>
      <c r="QB8" s="3"/>
      <c r="QC8" s="3"/>
      <c r="QD8" s="3"/>
      <c r="QE8" s="3"/>
      <c r="QF8" s="3"/>
      <c r="QG8" s="3"/>
      <c r="QH8" s="3"/>
      <c r="QI8" s="3"/>
      <c r="QJ8" s="3"/>
      <c r="QK8" s="3"/>
      <c r="QL8" s="3"/>
      <c r="QM8" s="3"/>
      <c r="QN8" s="3"/>
      <c r="QO8" s="3"/>
      <c r="QP8" s="3"/>
      <c r="QQ8" s="3"/>
      <c r="QR8" s="3"/>
      <c r="QS8" s="3"/>
      <c r="QT8" s="3"/>
      <c r="QU8" s="3"/>
      <c r="QV8" s="3"/>
      <c r="QW8" s="3"/>
      <c r="QX8" s="3"/>
      <c r="QY8" s="3"/>
      <c r="QZ8" s="3"/>
      <c r="RA8" s="3"/>
      <c r="RB8" s="3"/>
      <c r="RC8" s="3"/>
      <c r="RD8" s="3"/>
      <c r="RE8" s="3"/>
      <c r="RF8" s="3"/>
      <c r="RG8" s="3"/>
      <c r="RH8" s="3"/>
      <c r="RI8" s="3"/>
      <c r="RJ8" s="3"/>
      <c r="RK8" s="3"/>
      <c r="RL8" s="3"/>
      <c r="RM8" s="3"/>
      <c r="RN8" s="3"/>
      <c r="RO8" s="3"/>
      <c r="RP8" s="3"/>
      <c r="RQ8" s="3"/>
      <c r="RR8" s="3"/>
      <c r="RS8" s="3"/>
      <c r="RT8" s="3"/>
      <c r="RU8" s="3"/>
      <c r="RV8" s="3"/>
      <c r="RW8" s="3"/>
      <c r="RX8" s="3"/>
      <c r="RY8" s="3"/>
      <c r="RZ8" s="3"/>
      <c r="SA8" s="3"/>
      <c r="SB8" s="3"/>
      <c r="SC8" s="3"/>
      <c r="SD8" s="3"/>
      <c r="SE8" s="3"/>
      <c r="SF8" s="3"/>
      <c r="SG8" s="3"/>
      <c r="SH8" s="3"/>
      <c r="SI8" s="3"/>
      <c r="SJ8" s="3"/>
      <c r="SK8" s="3"/>
      <c r="SL8" s="3"/>
      <c r="SM8" s="3"/>
      <c r="SN8" s="3"/>
      <c r="SO8" s="3"/>
      <c r="SP8" s="3"/>
      <c r="SQ8" s="3"/>
      <c r="SR8" s="3"/>
      <c r="SS8" s="3"/>
      <c r="ST8" s="3"/>
      <c r="SU8" s="3"/>
      <c r="SV8" s="3"/>
      <c r="SW8" s="3"/>
      <c r="SX8" s="3"/>
      <c r="SY8" s="3"/>
      <c r="SZ8" s="3"/>
      <c r="TA8" s="3"/>
      <c r="TB8" s="3"/>
      <c r="TC8" s="3"/>
      <c r="TD8" s="3"/>
      <c r="TE8" s="3"/>
      <c r="TF8" s="3"/>
      <c r="TG8" s="3"/>
      <c r="TH8" s="3"/>
      <c r="TI8" s="3"/>
      <c r="TJ8" s="3"/>
      <c r="TK8" s="3"/>
      <c r="TL8" s="3"/>
      <c r="TM8" s="3"/>
      <c r="TN8" s="3"/>
      <c r="TO8" s="3"/>
      <c r="TP8" s="3"/>
      <c r="TQ8" s="3"/>
      <c r="TR8" s="3"/>
      <c r="TS8" s="3"/>
      <c r="TT8" s="3"/>
      <c r="TU8" s="3"/>
      <c r="TV8" s="3"/>
      <c r="TW8" s="3"/>
      <c r="TX8" s="3"/>
      <c r="TY8" s="3"/>
      <c r="TZ8" s="3"/>
      <c r="UA8" s="3"/>
      <c r="UB8" s="3"/>
      <c r="UC8" s="3"/>
      <c r="UD8" s="3"/>
      <c r="UE8" s="3"/>
      <c r="UF8" s="3"/>
      <c r="UG8" s="3"/>
      <c r="UH8" s="3"/>
      <c r="UI8" s="3"/>
      <c r="UJ8" s="3"/>
      <c r="UK8" s="3"/>
      <c r="UL8" s="3"/>
      <c r="UM8" s="3"/>
      <c r="UN8" s="3"/>
      <c r="UO8" s="3"/>
      <c r="UP8" s="3"/>
      <c r="UQ8" s="3"/>
      <c r="UR8" s="3"/>
      <c r="US8" s="3"/>
      <c r="UT8" s="3"/>
      <c r="UU8" s="3"/>
      <c r="UV8" s="3"/>
      <c r="UW8" s="3"/>
      <c r="UX8" s="3"/>
      <c r="UY8" s="3"/>
      <c r="UZ8" s="3"/>
      <c r="VA8" s="3"/>
      <c r="VB8" s="3"/>
      <c r="VC8" s="3"/>
      <c r="VD8" s="3"/>
      <c r="VE8" s="3"/>
      <c r="VF8" s="3"/>
      <c r="VG8" s="3"/>
      <c r="VH8" s="3"/>
      <c r="VI8" s="3"/>
      <c r="VJ8" s="3"/>
      <c r="VK8" s="3"/>
      <c r="VL8" s="3"/>
      <c r="VM8" s="3"/>
      <c r="VN8" s="3"/>
      <c r="VO8" s="3"/>
      <c r="VP8" s="3"/>
      <c r="VQ8" s="3"/>
      <c r="VR8" s="3"/>
      <c r="VS8" s="3"/>
      <c r="VT8" s="3"/>
      <c r="VU8" s="3"/>
      <c r="VV8" s="3"/>
    </row>
    <row r="9" spans="1:594" s="4" customFormat="1" ht="45" x14ac:dyDescent="0.25">
      <c r="A9" s="2"/>
      <c r="B9" s="10" t="s">
        <v>9</v>
      </c>
      <c r="C9" s="11" t="s">
        <v>10</v>
      </c>
      <c r="D9" s="11" t="s">
        <v>11</v>
      </c>
      <c r="E9" s="11" t="s">
        <v>12</v>
      </c>
      <c r="F9" s="12" t="s">
        <v>13</v>
      </c>
      <c r="G9" s="11" t="s">
        <v>14</v>
      </c>
      <c r="H9" s="12" t="s">
        <v>15</v>
      </c>
      <c r="I9" s="11" t="s">
        <v>16</v>
      </c>
      <c r="J9" s="11" t="s">
        <v>17</v>
      </c>
      <c r="K9" s="11" t="s">
        <v>18</v>
      </c>
      <c r="L9" s="11" t="s">
        <v>19</v>
      </c>
      <c r="M9" s="11" t="s">
        <v>19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  <c r="IX9" s="3"/>
      <c r="IY9" s="3"/>
      <c r="IZ9" s="3"/>
      <c r="JA9" s="3"/>
      <c r="JB9" s="3"/>
      <c r="JC9" s="3"/>
      <c r="JD9" s="3"/>
      <c r="JE9" s="3"/>
      <c r="JF9" s="3"/>
      <c r="JG9" s="3"/>
      <c r="JH9" s="3"/>
      <c r="JI9" s="3"/>
      <c r="JJ9" s="3"/>
      <c r="JK9" s="3"/>
      <c r="JL9" s="3"/>
      <c r="JM9" s="3"/>
      <c r="JN9" s="3"/>
      <c r="JO9" s="3"/>
      <c r="JP9" s="3"/>
      <c r="JQ9" s="3"/>
      <c r="JR9" s="3"/>
      <c r="JS9" s="3"/>
      <c r="JT9" s="3"/>
      <c r="JU9" s="3"/>
      <c r="JV9" s="3"/>
      <c r="JW9" s="3"/>
      <c r="JX9" s="3"/>
      <c r="JY9" s="3"/>
      <c r="JZ9" s="3"/>
      <c r="KA9" s="3"/>
      <c r="KB9" s="3"/>
      <c r="KC9" s="3"/>
      <c r="KD9" s="3"/>
      <c r="KE9" s="3"/>
      <c r="KF9" s="3"/>
      <c r="KG9" s="3"/>
      <c r="KH9" s="3"/>
      <c r="KI9" s="3"/>
      <c r="KJ9" s="3"/>
      <c r="KK9" s="3"/>
      <c r="KL9" s="3"/>
      <c r="KM9" s="3"/>
      <c r="KN9" s="3"/>
      <c r="KO9" s="3"/>
      <c r="KP9" s="3"/>
      <c r="KQ9" s="3"/>
      <c r="KR9" s="3"/>
      <c r="KS9" s="3"/>
      <c r="KT9" s="3"/>
      <c r="KU9" s="3"/>
      <c r="KV9" s="3"/>
      <c r="KW9" s="3"/>
      <c r="KX9" s="3"/>
      <c r="KY9" s="3"/>
      <c r="KZ9" s="3"/>
      <c r="LA9" s="3"/>
      <c r="LB9" s="3"/>
      <c r="LC9" s="3"/>
      <c r="LD9" s="3"/>
      <c r="LE9" s="3"/>
      <c r="LF9" s="3"/>
      <c r="LG9" s="3"/>
      <c r="LH9" s="3"/>
      <c r="LI9" s="3"/>
      <c r="LJ9" s="3"/>
      <c r="LK9" s="3"/>
      <c r="LL9" s="3"/>
      <c r="LM9" s="3"/>
      <c r="LN9" s="3"/>
      <c r="LO9" s="3"/>
      <c r="LP9" s="3"/>
      <c r="LQ9" s="3"/>
      <c r="LR9" s="3"/>
      <c r="LS9" s="3"/>
      <c r="LT9" s="3"/>
      <c r="LU9" s="3"/>
      <c r="LV9" s="3"/>
      <c r="LW9" s="3"/>
      <c r="LX9" s="3"/>
      <c r="LY9" s="3"/>
      <c r="LZ9" s="3"/>
      <c r="MA9" s="3"/>
      <c r="MB9" s="3"/>
      <c r="MC9" s="3"/>
      <c r="MD9" s="3"/>
      <c r="ME9" s="3"/>
      <c r="MF9" s="3"/>
      <c r="MG9" s="3"/>
      <c r="MH9" s="3"/>
      <c r="MI9" s="3"/>
      <c r="MJ9" s="3"/>
      <c r="MK9" s="3"/>
      <c r="ML9" s="3"/>
      <c r="MM9" s="3"/>
      <c r="MN9" s="3"/>
      <c r="MO9" s="3"/>
      <c r="MP9" s="3"/>
      <c r="MQ9" s="3"/>
      <c r="MR9" s="3"/>
      <c r="MS9" s="3"/>
      <c r="MT9" s="3"/>
      <c r="MU9" s="3"/>
      <c r="MV9" s="3"/>
      <c r="MW9" s="3"/>
      <c r="MX9" s="3"/>
      <c r="MY9" s="3"/>
      <c r="MZ9" s="3"/>
      <c r="NA9" s="3"/>
      <c r="NB9" s="3"/>
      <c r="NC9" s="3"/>
      <c r="ND9" s="3"/>
      <c r="NE9" s="3"/>
      <c r="NF9" s="3"/>
      <c r="NG9" s="3"/>
      <c r="NH9" s="3"/>
      <c r="NI9" s="3"/>
      <c r="NJ9" s="3"/>
      <c r="NK9" s="3"/>
      <c r="NL9" s="3"/>
      <c r="NM9" s="3"/>
      <c r="NN9" s="3"/>
      <c r="NO9" s="3"/>
      <c r="NP9" s="3"/>
      <c r="NQ9" s="3"/>
      <c r="NR9" s="3"/>
      <c r="NS9" s="3"/>
      <c r="NT9" s="3"/>
      <c r="NU9" s="3"/>
      <c r="NV9" s="3"/>
      <c r="NW9" s="3"/>
      <c r="NX9" s="3"/>
      <c r="NY9" s="3"/>
      <c r="NZ9" s="3"/>
      <c r="OA9" s="3"/>
      <c r="OB9" s="3"/>
      <c r="OC9" s="3"/>
      <c r="OD9" s="3"/>
      <c r="OE9" s="3"/>
      <c r="OF9" s="3"/>
      <c r="OG9" s="3"/>
      <c r="OH9" s="3"/>
      <c r="OI9" s="3"/>
      <c r="OJ9" s="3"/>
      <c r="OK9" s="3"/>
      <c r="OL9" s="3"/>
      <c r="OM9" s="3"/>
      <c r="ON9" s="3"/>
      <c r="OO9" s="3"/>
      <c r="OP9" s="3"/>
      <c r="OQ9" s="3"/>
      <c r="OR9" s="3"/>
      <c r="OS9" s="3"/>
      <c r="OT9" s="3"/>
      <c r="OU9" s="3"/>
      <c r="OV9" s="3"/>
      <c r="OW9" s="3"/>
      <c r="OX9" s="3"/>
      <c r="OY9" s="3"/>
      <c r="OZ9" s="3"/>
      <c r="PA9" s="3"/>
      <c r="PB9" s="3"/>
      <c r="PC9" s="3"/>
      <c r="PD9" s="3"/>
      <c r="PE9" s="3"/>
      <c r="PF9" s="3"/>
      <c r="PG9" s="3"/>
      <c r="PH9" s="3"/>
      <c r="PI9" s="3"/>
      <c r="PJ9" s="3"/>
      <c r="PK9" s="3"/>
      <c r="PL9" s="3"/>
      <c r="PM9" s="3"/>
      <c r="PN9" s="3"/>
      <c r="PO9" s="3"/>
      <c r="PP9" s="3"/>
      <c r="PQ9" s="3"/>
      <c r="PR9" s="3"/>
      <c r="PS9" s="3"/>
      <c r="PT9" s="3"/>
      <c r="PU9" s="3"/>
      <c r="PV9" s="3"/>
      <c r="PW9" s="3"/>
      <c r="PX9" s="3"/>
      <c r="PY9" s="3"/>
      <c r="PZ9" s="3"/>
      <c r="QA9" s="3"/>
      <c r="QB9" s="3"/>
      <c r="QC9" s="3"/>
      <c r="QD9" s="3"/>
      <c r="QE9" s="3"/>
      <c r="QF9" s="3"/>
      <c r="QG9" s="3"/>
      <c r="QH9" s="3"/>
      <c r="QI9" s="3"/>
      <c r="QJ9" s="3"/>
      <c r="QK9" s="3"/>
      <c r="QL9" s="3"/>
      <c r="QM9" s="3"/>
      <c r="QN9" s="3"/>
      <c r="QO9" s="3"/>
      <c r="QP9" s="3"/>
      <c r="QQ9" s="3"/>
      <c r="QR9" s="3"/>
      <c r="QS9" s="3"/>
      <c r="QT9" s="3"/>
      <c r="QU9" s="3"/>
      <c r="QV9" s="3"/>
      <c r="QW9" s="3"/>
      <c r="QX9" s="3"/>
      <c r="QY9" s="3"/>
      <c r="QZ9" s="3"/>
      <c r="RA9" s="3"/>
      <c r="RB9" s="3"/>
      <c r="RC9" s="3"/>
      <c r="RD9" s="3"/>
      <c r="RE9" s="3"/>
      <c r="RF9" s="3"/>
      <c r="RG9" s="3"/>
      <c r="RH9" s="3"/>
      <c r="RI9" s="3"/>
      <c r="RJ9" s="3"/>
      <c r="RK9" s="3"/>
      <c r="RL9" s="3"/>
      <c r="RM9" s="3"/>
      <c r="RN9" s="3"/>
      <c r="RO9" s="3"/>
      <c r="RP9" s="3"/>
      <c r="RQ9" s="3"/>
      <c r="RR9" s="3"/>
      <c r="RS9" s="3"/>
      <c r="RT9" s="3"/>
      <c r="RU9" s="3"/>
      <c r="RV9" s="3"/>
      <c r="RW9" s="3"/>
      <c r="RX9" s="3"/>
      <c r="RY9" s="3"/>
      <c r="RZ9" s="3"/>
      <c r="SA9" s="3"/>
      <c r="SB9" s="3"/>
      <c r="SC9" s="3"/>
      <c r="SD9" s="3"/>
      <c r="SE9" s="3"/>
      <c r="SF9" s="3"/>
      <c r="SG9" s="3"/>
      <c r="SH9" s="3"/>
      <c r="SI9" s="3"/>
      <c r="SJ9" s="3"/>
      <c r="SK9" s="3"/>
      <c r="SL9" s="3"/>
      <c r="SM9" s="3"/>
      <c r="SN9" s="3"/>
      <c r="SO9" s="3"/>
      <c r="SP9" s="3"/>
      <c r="SQ9" s="3"/>
      <c r="SR9" s="3"/>
      <c r="SS9" s="3"/>
      <c r="ST9" s="3"/>
      <c r="SU9" s="3"/>
      <c r="SV9" s="3"/>
      <c r="SW9" s="3"/>
      <c r="SX9" s="3"/>
      <c r="SY9" s="3"/>
      <c r="SZ9" s="3"/>
      <c r="TA9" s="3"/>
      <c r="TB9" s="3"/>
      <c r="TC9" s="3"/>
      <c r="TD9" s="3"/>
      <c r="TE9" s="3"/>
      <c r="TF9" s="3"/>
      <c r="TG9" s="3"/>
      <c r="TH9" s="3"/>
      <c r="TI9" s="3"/>
      <c r="TJ9" s="3"/>
      <c r="TK9" s="3"/>
      <c r="TL9" s="3"/>
      <c r="TM9" s="3"/>
      <c r="TN9" s="3"/>
      <c r="TO9" s="3"/>
      <c r="TP9" s="3"/>
      <c r="TQ9" s="3"/>
      <c r="TR9" s="3"/>
      <c r="TS9" s="3"/>
      <c r="TT9" s="3"/>
      <c r="TU9" s="3"/>
      <c r="TV9" s="3"/>
      <c r="TW9" s="3"/>
      <c r="TX9" s="3"/>
      <c r="TY9" s="3"/>
      <c r="TZ9" s="3"/>
      <c r="UA9" s="3"/>
      <c r="UB9" s="3"/>
      <c r="UC9" s="3"/>
      <c r="UD9" s="3"/>
      <c r="UE9" s="3"/>
      <c r="UF9" s="3"/>
      <c r="UG9" s="3"/>
      <c r="UH9" s="3"/>
      <c r="UI9" s="3"/>
      <c r="UJ9" s="3"/>
      <c r="UK9" s="3"/>
      <c r="UL9" s="3"/>
      <c r="UM9" s="3"/>
      <c r="UN9" s="3"/>
      <c r="UO9" s="3"/>
      <c r="UP9" s="3"/>
      <c r="UQ9" s="3"/>
      <c r="UR9" s="3"/>
      <c r="US9" s="3"/>
      <c r="UT9" s="3"/>
      <c r="UU9" s="3"/>
      <c r="UV9" s="3"/>
      <c r="UW9" s="3"/>
      <c r="UX9" s="3"/>
      <c r="UY9" s="3"/>
      <c r="UZ9" s="3"/>
      <c r="VA9" s="3"/>
      <c r="VB9" s="3"/>
      <c r="VC9" s="3"/>
      <c r="VD9" s="3"/>
      <c r="VE9" s="3"/>
      <c r="VF9" s="3"/>
      <c r="VG9" s="3"/>
      <c r="VH9" s="3"/>
      <c r="VI9" s="3"/>
      <c r="VJ9" s="3"/>
      <c r="VK9" s="3"/>
      <c r="VL9" s="3"/>
      <c r="VM9" s="3"/>
      <c r="VN9" s="3"/>
      <c r="VO9" s="3"/>
      <c r="VP9" s="3"/>
      <c r="VQ9" s="3"/>
      <c r="VR9" s="3"/>
      <c r="VS9" s="3"/>
      <c r="VT9" s="3"/>
      <c r="VU9" s="3"/>
      <c r="VV9" s="3"/>
    </row>
    <row r="10" spans="1:594" ht="30" x14ac:dyDescent="0.25">
      <c r="A10" s="2"/>
      <c r="B10" s="13" t="s">
        <v>20</v>
      </c>
      <c r="C10" s="14" t="s">
        <v>36</v>
      </c>
      <c r="D10" s="15">
        <v>1</v>
      </c>
      <c r="E10" s="16">
        <v>9408</v>
      </c>
      <c r="F10" s="16">
        <v>5048</v>
      </c>
      <c r="G10" s="16">
        <v>9408</v>
      </c>
      <c r="H10" s="16">
        <v>5048</v>
      </c>
      <c r="I10" s="16"/>
      <c r="J10" s="16" t="s">
        <v>21</v>
      </c>
      <c r="K10" s="17">
        <v>8</v>
      </c>
      <c r="L10" s="17">
        <v>32</v>
      </c>
      <c r="M10" s="17">
        <v>512</v>
      </c>
      <c r="N10" s="17"/>
      <c r="O10" s="65">
        <f>SUMPRODUCT(K10:M10,$O$7:$Q$7)*D10</f>
        <v>2824</v>
      </c>
      <c r="P10" s="3"/>
      <c r="Q10" s="3"/>
    </row>
    <row r="11" spans="1:594" ht="30" x14ac:dyDescent="0.25">
      <c r="A11" s="2"/>
      <c r="B11" s="13" t="s">
        <v>22</v>
      </c>
      <c r="C11" s="14" t="s">
        <v>36</v>
      </c>
      <c r="D11" s="15">
        <v>1</v>
      </c>
      <c r="E11" s="16">
        <v>9408</v>
      </c>
      <c r="F11" s="16">
        <v>5048</v>
      </c>
      <c r="G11" s="16">
        <v>9408</v>
      </c>
      <c r="H11" s="16">
        <v>5048</v>
      </c>
      <c r="I11" s="16"/>
      <c r="J11" s="16" t="s">
        <v>21</v>
      </c>
      <c r="K11" s="17">
        <v>8</v>
      </c>
      <c r="L11" s="17">
        <v>32</v>
      </c>
      <c r="M11" s="17">
        <v>512</v>
      </c>
      <c r="N11" s="21"/>
      <c r="O11" s="65">
        <f t="shared" ref="O11:O12" si="0">SUMPRODUCT(K11:M11,$O$7:$Q$7)*D11</f>
        <v>2824</v>
      </c>
      <c r="P11" s="3"/>
      <c r="Q11" s="3"/>
    </row>
    <row r="12" spans="1:594" ht="30" x14ac:dyDescent="0.25">
      <c r="A12" s="2"/>
      <c r="B12" s="13" t="s">
        <v>23</v>
      </c>
      <c r="C12" s="14" t="s">
        <v>37</v>
      </c>
      <c r="D12" s="15">
        <v>1</v>
      </c>
      <c r="E12" s="16">
        <v>14208</v>
      </c>
      <c r="F12" s="16">
        <v>8048</v>
      </c>
      <c r="G12" s="16">
        <v>14208</v>
      </c>
      <c r="H12" s="16">
        <v>8048</v>
      </c>
      <c r="I12" s="16"/>
      <c r="J12" s="16" t="s">
        <v>21</v>
      </c>
      <c r="K12" s="17">
        <v>16</v>
      </c>
      <c r="L12" s="17">
        <v>64</v>
      </c>
      <c r="M12" s="17">
        <v>512</v>
      </c>
      <c r="N12" s="21"/>
      <c r="O12" s="65">
        <f t="shared" si="0"/>
        <v>4624</v>
      </c>
      <c r="P12" s="3"/>
      <c r="Q12" s="3"/>
    </row>
    <row r="13" spans="1:594" ht="45" x14ac:dyDescent="0.25">
      <c r="A13" s="2"/>
      <c r="B13" s="10" t="s">
        <v>9</v>
      </c>
      <c r="C13" s="11" t="s">
        <v>10</v>
      </c>
      <c r="D13" s="11" t="s">
        <v>11</v>
      </c>
      <c r="E13" s="11" t="s">
        <v>12</v>
      </c>
      <c r="F13" s="12" t="s">
        <v>13</v>
      </c>
      <c r="G13" s="11" t="s">
        <v>14</v>
      </c>
      <c r="H13" s="12" t="s">
        <v>15</v>
      </c>
      <c r="I13" s="11" t="s">
        <v>16</v>
      </c>
      <c r="J13" s="11" t="s">
        <v>17</v>
      </c>
      <c r="K13" s="21"/>
      <c r="L13" s="21"/>
      <c r="M13" s="21"/>
      <c r="N13" s="18"/>
      <c r="O13" s="18"/>
      <c r="P13" s="3"/>
      <c r="Q13" s="3"/>
    </row>
    <row r="14" spans="1:594" x14ac:dyDescent="0.25">
      <c r="A14" s="2"/>
      <c r="B14" s="53" t="s">
        <v>24</v>
      </c>
      <c r="C14" s="22" t="s">
        <v>25</v>
      </c>
      <c r="D14" s="15">
        <v>1</v>
      </c>
      <c r="E14" s="15"/>
      <c r="F14" s="23"/>
      <c r="G14" s="23"/>
      <c r="H14" s="16">
        <v>0</v>
      </c>
      <c r="I14" s="24">
        <v>1650</v>
      </c>
      <c r="J14" s="25"/>
      <c r="K14" s="21"/>
      <c r="L14" s="21"/>
      <c r="M14" s="21"/>
      <c r="N14" s="18"/>
      <c r="O14" s="18"/>
      <c r="P14" s="3"/>
      <c r="Q14" s="3"/>
    </row>
    <row r="15" spans="1:594" x14ac:dyDescent="0.25">
      <c r="A15" s="2"/>
      <c r="B15" s="54"/>
      <c r="C15" s="22" t="s">
        <v>26</v>
      </c>
      <c r="D15" s="15">
        <v>3</v>
      </c>
      <c r="E15" s="23">
        <v>1500</v>
      </c>
      <c r="F15" s="23">
        <v>550</v>
      </c>
      <c r="G15" s="23">
        <v>4500</v>
      </c>
      <c r="H15" s="16">
        <v>1650</v>
      </c>
      <c r="I15" s="24"/>
      <c r="J15" s="25"/>
      <c r="K15" s="21"/>
      <c r="L15" s="21"/>
      <c r="M15" s="21"/>
      <c r="N15" s="18"/>
      <c r="O15" s="65">
        <f>P15*D15</f>
        <v>1014.5081577434601</v>
      </c>
      <c r="P15" s="3">
        <v>338.16938591448667</v>
      </c>
      <c r="Q15" s="66" t="s">
        <v>40</v>
      </c>
    </row>
    <row r="16" spans="1:594" x14ac:dyDescent="0.25">
      <c r="A16" s="2"/>
      <c r="B16" s="54"/>
      <c r="C16" s="22" t="s">
        <v>27</v>
      </c>
      <c r="D16" s="15">
        <v>3</v>
      </c>
      <c r="E16" s="23">
        <v>550</v>
      </c>
      <c r="F16" s="23">
        <v>550</v>
      </c>
      <c r="G16" s="23">
        <v>1650</v>
      </c>
      <c r="H16" s="16">
        <v>1650</v>
      </c>
      <c r="I16" s="24"/>
      <c r="J16" s="25"/>
      <c r="K16" s="21"/>
      <c r="L16" s="21"/>
      <c r="M16" s="21"/>
      <c r="N16" s="18"/>
      <c r="O16" s="65">
        <f t="shared" ref="O16:O17" si="1">P16*D16</f>
        <v>350.42035881741958</v>
      </c>
      <c r="P16" s="3">
        <v>116.8067862724732</v>
      </c>
      <c r="Q16" s="66" t="s">
        <v>41</v>
      </c>
    </row>
    <row r="17" spans="1:17" x14ac:dyDescent="0.25">
      <c r="A17" s="2"/>
      <c r="B17" s="55"/>
      <c r="C17" s="26" t="s">
        <v>28</v>
      </c>
      <c r="D17" s="15">
        <v>3</v>
      </c>
      <c r="E17" s="23">
        <v>1000</v>
      </c>
      <c r="F17" s="23">
        <v>310</v>
      </c>
      <c r="G17" s="23">
        <v>3000</v>
      </c>
      <c r="H17" s="16">
        <v>930</v>
      </c>
      <c r="I17" s="24"/>
      <c r="J17" s="25"/>
      <c r="K17" s="21"/>
      <c r="L17" s="21"/>
      <c r="M17" s="21"/>
      <c r="N17" s="18"/>
      <c r="O17" s="65">
        <f t="shared" si="1"/>
        <v>900</v>
      </c>
      <c r="P17" s="3">
        <v>300</v>
      </c>
      <c r="Q17" s="66" t="s">
        <v>42</v>
      </c>
    </row>
    <row r="18" spans="1:17" s="19" customFormat="1" x14ac:dyDescent="0.25">
      <c r="A18" s="2"/>
      <c r="B18" s="27" t="s">
        <v>29</v>
      </c>
      <c r="C18" s="56" t="s">
        <v>30</v>
      </c>
      <c r="D18" s="57"/>
      <c r="E18" s="57"/>
      <c r="F18" s="58"/>
      <c r="G18" s="27" t="s">
        <v>14</v>
      </c>
      <c r="H18" s="27" t="s">
        <v>15</v>
      </c>
      <c r="I18" s="27" t="s">
        <v>16</v>
      </c>
      <c r="J18" s="28"/>
    </row>
    <row r="19" spans="1:17" s="19" customFormat="1" x14ac:dyDescent="0.25">
      <c r="A19" s="2"/>
      <c r="B19" s="29">
        <v>1</v>
      </c>
      <c r="C19" s="59" t="s">
        <v>31</v>
      </c>
      <c r="D19" s="60"/>
      <c r="E19" s="60"/>
      <c r="F19" s="61"/>
      <c r="G19" s="30">
        <v>33024</v>
      </c>
      <c r="H19" s="30">
        <v>18144</v>
      </c>
      <c r="I19" s="30"/>
      <c r="J19" s="31"/>
      <c r="O19" s="67">
        <f>SUM(O10:O12)</f>
        <v>10272</v>
      </c>
    </row>
    <row r="20" spans="1:17" s="19" customFormat="1" x14ac:dyDescent="0.25">
      <c r="A20" s="2"/>
      <c r="B20" s="29">
        <v>2</v>
      </c>
      <c r="C20" s="59" t="s">
        <v>32</v>
      </c>
      <c r="D20" s="60"/>
      <c r="E20" s="60"/>
      <c r="F20" s="61"/>
      <c r="G20" s="30">
        <v>9150</v>
      </c>
      <c r="H20" s="30">
        <v>4230</v>
      </c>
      <c r="I20" s="30"/>
      <c r="J20" s="31"/>
      <c r="O20" s="67">
        <f>SUM(O15:O17)</f>
        <v>2264.9285165608799</v>
      </c>
    </row>
    <row r="21" spans="1:17" s="19" customFormat="1" x14ac:dyDescent="0.25">
      <c r="B21" s="32"/>
      <c r="C21" s="44" t="s">
        <v>33</v>
      </c>
      <c r="D21" s="45"/>
      <c r="E21" s="45"/>
      <c r="F21" s="46"/>
      <c r="G21" s="32">
        <v>42174</v>
      </c>
      <c r="H21" s="32">
        <v>22374</v>
      </c>
      <c r="I21" s="32">
        <v>1650</v>
      </c>
      <c r="J21" s="33"/>
      <c r="O21" s="67">
        <f>SUM(O19:O20)</f>
        <v>12536.92851656088</v>
      </c>
    </row>
    <row r="22" spans="1:17" s="19" customFormat="1" x14ac:dyDescent="0.25">
      <c r="B22" s="32"/>
      <c r="C22" s="44" t="s">
        <v>34</v>
      </c>
      <c r="D22" s="45"/>
      <c r="E22" s="45"/>
      <c r="F22" s="46"/>
      <c r="G22" s="32">
        <v>506088</v>
      </c>
      <c r="H22" s="32">
        <v>268488</v>
      </c>
      <c r="I22" s="32"/>
      <c r="J22" s="33"/>
      <c r="O22" s="19">
        <f>O21*12</f>
        <v>150443.14219873055</v>
      </c>
    </row>
    <row r="23" spans="1:17" s="19" customFormat="1" x14ac:dyDescent="0.25">
      <c r="B23" s="32"/>
      <c r="C23" s="44" t="s">
        <v>35</v>
      </c>
      <c r="D23" s="45"/>
      <c r="E23" s="47"/>
      <c r="F23" s="48"/>
      <c r="G23" s="42">
        <v>2530440</v>
      </c>
      <c r="H23" s="32">
        <v>1342440</v>
      </c>
      <c r="I23" s="32"/>
      <c r="J23" s="33"/>
      <c r="M23" s="34"/>
      <c r="O23" s="19">
        <f>O22*5</f>
        <v>752215.7109936527</v>
      </c>
    </row>
    <row r="24" spans="1:17" s="19" customFormat="1" ht="28.9" customHeight="1" x14ac:dyDescent="0.25">
      <c r="B24" s="35"/>
      <c r="C24" s="36"/>
      <c r="D24" s="36"/>
      <c r="E24" s="49" t="s">
        <v>38</v>
      </c>
      <c r="F24" s="49"/>
      <c r="G24" s="43">
        <v>46.983600000000003</v>
      </c>
      <c r="H24" s="37"/>
      <c r="I24" s="36"/>
      <c r="J24" s="38"/>
    </row>
    <row r="25" spans="1:17" s="19" customFormat="1" x14ac:dyDescent="0.25">
      <c r="B25" s="35"/>
      <c r="C25" s="36"/>
      <c r="D25" s="36"/>
      <c r="E25" s="49" t="s">
        <v>39</v>
      </c>
      <c r="F25" s="49"/>
      <c r="G25" s="32">
        <v>1342440</v>
      </c>
      <c r="H25" s="64"/>
      <c r="I25" s="36"/>
      <c r="J25" s="38"/>
    </row>
    <row r="26" spans="1:17" s="19" customFormat="1" x14ac:dyDescent="0.25">
      <c r="B26" s="35"/>
      <c r="C26" s="36"/>
      <c r="D26" s="36"/>
      <c r="E26" s="36"/>
      <c r="F26" s="36"/>
      <c r="G26" s="37"/>
      <c r="H26" s="37"/>
      <c r="I26" s="36"/>
      <c r="J26" s="38"/>
    </row>
    <row r="27" spans="1:17" s="19" customFormat="1" x14ac:dyDescent="0.25">
      <c r="B27" s="35"/>
      <c r="C27" s="36"/>
      <c r="D27" s="36"/>
      <c r="E27" s="36"/>
      <c r="F27" s="36"/>
      <c r="G27" s="37"/>
      <c r="I27" s="36"/>
      <c r="J27" s="38"/>
    </row>
    <row r="28" spans="1:17" s="19" customFormat="1" x14ac:dyDescent="0.25">
      <c r="B28" s="35"/>
      <c r="C28" s="36"/>
      <c r="J28" s="38"/>
    </row>
    <row r="29" spans="1:17" s="19" customFormat="1" x14ac:dyDescent="0.25">
      <c r="B29" s="35"/>
      <c r="C29" s="36"/>
      <c r="J29" s="38"/>
    </row>
    <row r="30" spans="1:17" s="19" customFormat="1" x14ac:dyDescent="0.25">
      <c r="B30" s="35"/>
      <c r="C30" s="36"/>
      <c r="J30" s="38"/>
    </row>
    <row r="31" spans="1:17" s="19" customFormat="1" x14ac:dyDescent="0.25">
      <c r="B31" s="35"/>
      <c r="C31" s="36"/>
      <c r="J31" s="38"/>
    </row>
    <row r="32" spans="1:17" s="19" customFormat="1" x14ac:dyDescent="0.25">
      <c r="B32" s="35"/>
      <c r="C32" s="36"/>
      <c r="J32" s="38"/>
    </row>
    <row r="33" spans="2:10" s="19" customFormat="1" x14ac:dyDescent="0.25">
      <c r="B33" s="35"/>
      <c r="C33" s="36"/>
      <c r="J33" s="38"/>
    </row>
    <row r="34" spans="2:10" s="19" customFormat="1" x14ac:dyDescent="0.25">
      <c r="B34" s="35"/>
      <c r="C34" s="36"/>
      <c r="J34" s="38"/>
    </row>
    <row r="35" spans="2:10" s="19" customFormat="1" x14ac:dyDescent="0.25">
      <c r="B35" s="35"/>
      <c r="C35" s="36"/>
      <c r="J35" s="38"/>
    </row>
    <row r="36" spans="2:10" s="19" customFormat="1" x14ac:dyDescent="0.25">
      <c r="B36" s="35"/>
      <c r="C36" s="36"/>
      <c r="J36" s="38"/>
    </row>
    <row r="37" spans="2:10" s="19" customFormat="1" x14ac:dyDescent="0.25">
      <c r="B37" s="35"/>
      <c r="C37" s="36"/>
      <c r="J37" s="38"/>
    </row>
    <row r="38" spans="2:10" s="19" customFormat="1" x14ac:dyDescent="0.25">
      <c r="B38" s="35"/>
      <c r="C38" s="36"/>
      <c r="J38" s="38"/>
    </row>
    <row r="39" spans="2:10" s="19" customFormat="1" x14ac:dyDescent="0.25">
      <c r="B39" s="35"/>
      <c r="C39" s="36"/>
      <c r="J39" s="38"/>
    </row>
    <row r="40" spans="2:10" s="19" customFormat="1" x14ac:dyDescent="0.25">
      <c r="B40" s="35"/>
      <c r="C40" s="36"/>
      <c r="J40" s="38"/>
    </row>
    <row r="41" spans="2:10" s="19" customFormat="1" x14ac:dyDescent="0.25">
      <c r="B41" s="35"/>
      <c r="C41" s="36"/>
      <c r="J41" s="38"/>
    </row>
    <row r="42" spans="2:10" s="19" customFormat="1" x14ac:dyDescent="0.25">
      <c r="B42" s="35"/>
      <c r="C42" s="36"/>
      <c r="J42" s="38"/>
    </row>
    <row r="43" spans="2:10" s="19" customFormat="1" x14ac:dyDescent="0.25">
      <c r="B43" s="35"/>
      <c r="C43" s="36"/>
      <c r="J43" s="38"/>
    </row>
    <row r="44" spans="2:10" s="19" customFormat="1" x14ac:dyDescent="0.25">
      <c r="B44" s="35"/>
      <c r="C44" s="36"/>
      <c r="J44" s="38"/>
    </row>
    <row r="45" spans="2:10" s="19" customFormat="1" x14ac:dyDescent="0.25">
      <c r="B45" s="35"/>
      <c r="C45" s="36"/>
      <c r="J45" s="38"/>
    </row>
    <row r="46" spans="2:10" s="19" customFormat="1" x14ac:dyDescent="0.25">
      <c r="B46" s="35"/>
      <c r="C46" s="36"/>
      <c r="J46" s="38"/>
    </row>
    <row r="47" spans="2:10" s="19" customFormat="1" x14ac:dyDescent="0.25">
      <c r="B47" s="35"/>
      <c r="C47" s="36"/>
      <c r="J47" s="38"/>
    </row>
    <row r="48" spans="2:10" s="19" customFormat="1" x14ac:dyDescent="0.25">
      <c r="B48" s="35"/>
      <c r="C48" s="36"/>
      <c r="J48" s="38"/>
    </row>
    <row r="49" spans="2:10" s="19" customFormat="1" x14ac:dyDescent="0.25">
      <c r="B49" s="35"/>
      <c r="C49" s="36"/>
      <c r="J49" s="38"/>
    </row>
    <row r="50" spans="2:10" s="19" customFormat="1" x14ac:dyDescent="0.25">
      <c r="B50" s="35"/>
      <c r="C50" s="36"/>
      <c r="J50" s="38"/>
    </row>
    <row r="51" spans="2:10" s="19" customFormat="1" x14ac:dyDescent="0.25">
      <c r="B51" s="35"/>
      <c r="C51" s="36"/>
      <c r="J51" s="38"/>
    </row>
    <row r="52" spans="2:10" s="19" customFormat="1" x14ac:dyDescent="0.25">
      <c r="B52" s="35"/>
      <c r="C52" s="36"/>
      <c r="J52" s="38"/>
    </row>
    <row r="53" spans="2:10" s="19" customFormat="1" x14ac:dyDescent="0.25">
      <c r="B53" s="35"/>
      <c r="C53" s="36"/>
      <c r="J53" s="38"/>
    </row>
    <row r="54" spans="2:10" s="19" customFormat="1" x14ac:dyDescent="0.25">
      <c r="B54" s="35"/>
      <c r="C54" s="36"/>
      <c r="J54" s="38"/>
    </row>
    <row r="55" spans="2:10" s="19" customFormat="1" x14ac:dyDescent="0.25">
      <c r="B55" s="35"/>
      <c r="C55" s="36"/>
      <c r="J55" s="38"/>
    </row>
    <row r="56" spans="2:10" s="19" customFormat="1" x14ac:dyDescent="0.25">
      <c r="B56" s="35"/>
      <c r="C56" s="36"/>
      <c r="J56" s="38"/>
    </row>
    <row r="57" spans="2:10" s="19" customFormat="1" x14ac:dyDescent="0.25">
      <c r="B57" s="35"/>
      <c r="C57" s="36"/>
      <c r="J57" s="38"/>
    </row>
    <row r="58" spans="2:10" s="19" customFormat="1" x14ac:dyDescent="0.25">
      <c r="B58" s="35"/>
      <c r="C58" s="36"/>
      <c r="J58" s="38"/>
    </row>
    <row r="59" spans="2:10" s="19" customFormat="1" x14ac:dyDescent="0.25">
      <c r="B59" s="35"/>
      <c r="C59" s="36"/>
      <c r="J59" s="38"/>
    </row>
    <row r="60" spans="2:10" s="19" customFormat="1" x14ac:dyDescent="0.25">
      <c r="B60" s="35"/>
      <c r="C60" s="36"/>
      <c r="J60" s="38"/>
    </row>
    <row r="61" spans="2:10" s="19" customFormat="1" x14ac:dyDescent="0.25">
      <c r="B61" s="35"/>
      <c r="C61" s="36"/>
      <c r="J61" s="38"/>
    </row>
    <row r="62" spans="2:10" s="19" customFormat="1" x14ac:dyDescent="0.25">
      <c r="B62" s="35"/>
      <c r="C62" s="36"/>
      <c r="J62" s="38"/>
    </row>
    <row r="63" spans="2:10" s="19" customFormat="1" x14ac:dyDescent="0.25">
      <c r="B63" s="35"/>
      <c r="C63" s="36"/>
      <c r="J63" s="38"/>
    </row>
    <row r="64" spans="2:10" s="19" customFormat="1" x14ac:dyDescent="0.25">
      <c r="B64" s="35"/>
      <c r="C64" s="36"/>
      <c r="J64" s="38"/>
    </row>
    <row r="65" spans="2:10" s="19" customFormat="1" x14ac:dyDescent="0.25">
      <c r="B65" s="35"/>
      <c r="C65" s="36"/>
      <c r="J65" s="38"/>
    </row>
    <row r="66" spans="2:10" s="19" customFormat="1" x14ac:dyDescent="0.25">
      <c r="B66" s="35"/>
      <c r="C66" s="36"/>
      <c r="J66" s="38"/>
    </row>
    <row r="67" spans="2:10" s="19" customFormat="1" x14ac:dyDescent="0.25">
      <c r="B67" s="35"/>
      <c r="C67" s="36"/>
      <c r="J67" s="38"/>
    </row>
    <row r="68" spans="2:10" s="19" customFormat="1" x14ac:dyDescent="0.25">
      <c r="B68" s="35"/>
      <c r="C68" s="36"/>
      <c r="J68" s="38"/>
    </row>
    <row r="69" spans="2:10" s="19" customFormat="1" x14ac:dyDescent="0.25">
      <c r="B69" s="35"/>
      <c r="C69" s="36"/>
      <c r="J69" s="38"/>
    </row>
    <row r="70" spans="2:10" s="19" customFormat="1" x14ac:dyDescent="0.25">
      <c r="B70" s="35"/>
      <c r="C70" s="36"/>
      <c r="J70" s="38"/>
    </row>
    <row r="71" spans="2:10" s="19" customFormat="1" x14ac:dyDescent="0.25">
      <c r="B71" s="35"/>
      <c r="C71" s="36"/>
      <c r="J71" s="38"/>
    </row>
    <row r="72" spans="2:10" s="19" customFormat="1" x14ac:dyDescent="0.25">
      <c r="B72" s="35"/>
      <c r="C72" s="36"/>
      <c r="J72" s="38"/>
    </row>
    <row r="73" spans="2:10" s="19" customFormat="1" x14ac:dyDescent="0.25">
      <c r="B73" s="35"/>
      <c r="C73" s="36"/>
      <c r="J73" s="38"/>
    </row>
    <row r="74" spans="2:10" s="19" customFormat="1" x14ac:dyDescent="0.25">
      <c r="B74" s="35"/>
      <c r="C74" s="36"/>
      <c r="J74" s="38"/>
    </row>
    <row r="75" spans="2:10" s="19" customFormat="1" x14ac:dyDescent="0.25">
      <c r="B75" s="35"/>
      <c r="C75" s="36"/>
      <c r="J75" s="38"/>
    </row>
    <row r="76" spans="2:10" s="19" customFormat="1" x14ac:dyDescent="0.25">
      <c r="B76" s="35"/>
      <c r="C76" s="36"/>
      <c r="J76" s="38"/>
    </row>
    <row r="77" spans="2:10" s="19" customFormat="1" x14ac:dyDescent="0.25">
      <c r="B77" s="35"/>
      <c r="C77" s="36"/>
      <c r="J77" s="38"/>
    </row>
    <row r="78" spans="2:10" s="19" customFormat="1" x14ac:dyDescent="0.25">
      <c r="B78" s="35"/>
      <c r="C78" s="36"/>
      <c r="J78" s="38"/>
    </row>
    <row r="79" spans="2:10" s="19" customFormat="1" x14ac:dyDescent="0.25">
      <c r="B79" s="35"/>
      <c r="C79" s="36"/>
      <c r="J79" s="38"/>
    </row>
    <row r="80" spans="2:10" s="19" customFormat="1" x14ac:dyDescent="0.25">
      <c r="B80" s="35"/>
      <c r="C80" s="36"/>
      <c r="J80" s="38"/>
    </row>
    <row r="81" spans="2:13" s="19" customFormat="1" x14ac:dyDescent="0.25">
      <c r="B81" s="35"/>
      <c r="C81" s="36"/>
      <c r="J81" s="38"/>
    </row>
    <row r="82" spans="2:13" s="19" customFormat="1" x14ac:dyDescent="0.25">
      <c r="B82" s="35"/>
      <c r="C82" s="36"/>
      <c r="J82" s="38"/>
    </row>
    <row r="83" spans="2:13" s="19" customFormat="1" x14ac:dyDescent="0.25">
      <c r="B83" s="35"/>
      <c r="C83" s="36"/>
      <c r="J83" s="38"/>
    </row>
    <row r="84" spans="2:13" s="19" customFormat="1" x14ac:dyDescent="0.25">
      <c r="B84" s="35"/>
      <c r="C84" s="36"/>
      <c r="J84" s="38"/>
    </row>
    <row r="85" spans="2:13" s="19" customFormat="1" x14ac:dyDescent="0.25">
      <c r="B85" s="35"/>
      <c r="C85" s="36"/>
      <c r="J85" s="38"/>
    </row>
    <row r="86" spans="2:13" s="19" customFormat="1" x14ac:dyDescent="0.25">
      <c r="B86" s="35"/>
      <c r="C86" s="36"/>
      <c r="J86" s="38"/>
    </row>
    <row r="87" spans="2:13" s="19" customFormat="1" x14ac:dyDescent="0.25">
      <c r="B87" s="35"/>
      <c r="C87" s="36"/>
      <c r="J87" s="38"/>
    </row>
    <row r="88" spans="2:13" s="19" customFormat="1" x14ac:dyDescent="0.25">
      <c r="B88" s="35"/>
      <c r="C88" s="36"/>
      <c r="J88" s="38"/>
    </row>
    <row r="89" spans="2:13" s="19" customFormat="1" x14ac:dyDescent="0.25">
      <c r="B89" s="35"/>
      <c r="C89" s="36"/>
      <c r="J89" s="38"/>
    </row>
    <row r="90" spans="2:13" s="19" customFormat="1" x14ac:dyDescent="0.25">
      <c r="B90" s="35"/>
      <c r="C90" s="36"/>
      <c r="J90" s="38"/>
    </row>
    <row r="91" spans="2:13" s="19" customFormat="1" x14ac:dyDescent="0.25">
      <c r="B91" s="35"/>
      <c r="C91" s="36"/>
      <c r="J91" s="38"/>
    </row>
    <row r="92" spans="2:13" s="19" customFormat="1" x14ac:dyDescent="0.25">
      <c r="B92" s="35"/>
      <c r="C92" s="36"/>
      <c r="J92" s="38"/>
    </row>
    <row r="93" spans="2:13" s="19" customFormat="1" x14ac:dyDescent="0.25">
      <c r="B93" s="35"/>
      <c r="C93" s="36"/>
      <c r="J93" s="38"/>
    </row>
    <row r="94" spans="2:13" s="19" customFormat="1" x14ac:dyDescent="0.25">
      <c r="B94" s="35"/>
      <c r="C94" s="36"/>
      <c r="J94" s="38"/>
    </row>
    <row r="95" spans="2:13" s="19" customFormat="1" x14ac:dyDescent="0.25">
      <c r="B95" s="35"/>
      <c r="C95" s="36"/>
      <c r="J95" s="38"/>
    </row>
    <row r="96" spans="2:13" s="19" customFormat="1" x14ac:dyDescent="0.25">
      <c r="B96" s="35"/>
      <c r="C96" s="36"/>
      <c r="J96" s="38"/>
      <c r="K96" s="38"/>
      <c r="L96" s="38"/>
      <c r="M96" s="38"/>
    </row>
    <row r="97" spans="2:13" s="19" customFormat="1" x14ac:dyDescent="0.25">
      <c r="B97" s="35"/>
      <c r="C97" s="36"/>
      <c r="J97" s="38"/>
      <c r="K97" s="38"/>
      <c r="L97" s="38"/>
      <c r="M97" s="38"/>
    </row>
    <row r="98" spans="2:13" s="19" customFormat="1" x14ac:dyDescent="0.25">
      <c r="B98" s="35"/>
      <c r="C98" s="36"/>
      <c r="J98" s="38"/>
      <c r="K98" s="38"/>
      <c r="L98" s="38"/>
      <c r="M98" s="38"/>
    </row>
    <row r="99" spans="2:13" s="19" customFormat="1" x14ac:dyDescent="0.25">
      <c r="B99" s="35"/>
      <c r="C99" s="36"/>
      <c r="J99" s="38"/>
      <c r="K99" s="38"/>
      <c r="L99" s="38"/>
      <c r="M99" s="38"/>
    </row>
    <row r="100" spans="2:13" s="19" customFormat="1" x14ac:dyDescent="0.25">
      <c r="B100" s="35"/>
      <c r="C100" s="36"/>
      <c r="J100" s="38"/>
      <c r="K100" s="38"/>
      <c r="L100" s="38"/>
      <c r="M100" s="38"/>
    </row>
    <row r="101" spans="2:13" s="19" customFormat="1" x14ac:dyDescent="0.25">
      <c r="B101" s="35"/>
      <c r="C101" s="36"/>
      <c r="J101" s="38"/>
      <c r="K101" s="38"/>
      <c r="L101" s="38"/>
      <c r="M101" s="38"/>
    </row>
    <row r="102" spans="2:13" s="19" customFormat="1" x14ac:dyDescent="0.25">
      <c r="B102" s="35"/>
      <c r="C102" s="36"/>
      <c r="J102" s="38"/>
      <c r="K102" s="38"/>
      <c r="L102" s="38"/>
      <c r="M102" s="38"/>
    </row>
    <row r="103" spans="2:13" s="19" customFormat="1" x14ac:dyDescent="0.25">
      <c r="B103" s="35"/>
      <c r="C103" s="36"/>
      <c r="J103" s="38"/>
      <c r="K103" s="38"/>
      <c r="L103" s="38"/>
      <c r="M103" s="38"/>
    </row>
    <row r="104" spans="2:13" s="19" customFormat="1" x14ac:dyDescent="0.25">
      <c r="B104" s="35"/>
      <c r="C104" s="36"/>
      <c r="J104" s="38"/>
      <c r="K104" s="38"/>
      <c r="L104" s="38"/>
      <c r="M104" s="38"/>
    </row>
    <row r="105" spans="2:13" s="19" customFormat="1" x14ac:dyDescent="0.25">
      <c r="B105" s="35"/>
      <c r="C105" s="36"/>
      <c r="J105" s="38"/>
      <c r="K105" s="38"/>
      <c r="L105" s="38"/>
      <c r="M105" s="38"/>
    </row>
    <row r="106" spans="2:13" s="19" customFormat="1" x14ac:dyDescent="0.25">
      <c r="B106" s="35"/>
      <c r="C106" s="36"/>
      <c r="J106" s="38"/>
      <c r="K106" s="38"/>
      <c r="L106" s="38"/>
      <c r="M106" s="38"/>
    </row>
    <row r="107" spans="2:13" s="19" customFormat="1" x14ac:dyDescent="0.25">
      <c r="B107" s="35"/>
      <c r="C107" s="36"/>
      <c r="J107" s="38"/>
      <c r="K107" s="38"/>
      <c r="L107" s="38"/>
      <c r="M107" s="38"/>
    </row>
    <row r="108" spans="2:13" s="19" customFormat="1" x14ac:dyDescent="0.25">
      <c r="B108" s="35"/>
      <c r="C108" s="36"/>
      <c r="J108" s="38"/>
      <c r="K108" s="38"/>
      <c r="L108" s="38"/>
      <c r="M108" s="38"/>
    </row>
    <row r="109" spans="2:13" s="19" customFormat="1" x14ac:dyDescent="0.25">
      <c r="B109" s="35"/>
      <c r="C109" s="36"/>
      <c r="J109" s="38"/>
      <c r="K109" s="38"/>
      <c r="L109" s="38"/>
      <c r="M109" s="38"/>
    </row>
    <row r="110" spans="2:13" s="19" customFormat="1" x14ac:dyDescent="0.25">
      <c r="B110" s="35"/>
      <c r="C110" s="36"/>
      <c r="J110" s="38"/>
      <c r="K110" s="38"/>
      <c r="L110" s="38"/>
      <c r="M110" s="38"/>
    </row>
    <row r="111" spans="2:13" s="19" customFormat="1" x14ac:dyDescent="0.25">
      <c r="B111" s="35"/>
      <c r="C111" s="36"/>
      <c r="J111" s="38"/>
      <c r="K111" s="38"/>
      <c r="L111" s="38"/>
      <c r="M111" s="38"/>
    </row>
    <row r="112" spans="2:13" s="19" customFormat="1" x14ac:dyDescent="0.25">
      <c r="B112" s="35"/>
      <c r="C112" s="36"/>
      <c r="J112" s="38"/>
      <c r="K112" s="38"/>
      <c r="L112" s="38"/>
      <c r="M112" s="38"/>
    </row>
    <row r="113" spans="2:13" s="19" customFormat="1" x14ac:dyDescent="0.25">
      <c r="B113" s="35"/>
      <c r="C113" s="36"/>
      <c r="J113" s="38"/>
      <c r="K113" s="38"/>
      <c r="L113" s="38"/>
      <c r="M113" s="38"/>
    </row>
    <row r="114" spans="2:13" s="19" customFormat="1" x14ac:dyDescent="0.25">
      <c r="B114" s="35"/>
      <c r="C114" s="36"/>
      <c r="J114" s="38"/>
      <c r="K114" s="38"/>
      <c r="L114" s="38"/>
      <c r="M114" s="38"/>
    </row>
    <row r="115" spans="2:13" s="19" customFormat="1" x14ac:dyDescent="0.25">
      <c r="B115" s="35"/>
      <c r="C115" s="36"/>
      <c r="J115" s="38"/>
      <c r="K115" s="38"/>
      <c r="L115" s="38"/>
      <c r="M115" s="38"/>
    </row>
    <row r="116" spans="2:13" s="19" customFormat="1" x14ac:dyDescent="0.25">
      <c r="B116" s="35"/>
      <c r="C116" s="36"/>
      <c r="J116" s="38"/>
      <c r="K116" s="38"/>
      <c r="L116" s="38"/>
      <c r="M116" s="38"/>
    </row>
    <row r="117" spans="2:13" s="19" customFormat="1" x14ac:dyDescent="0.25">
      <c r="B117" s="35"/>
      <c r="C117" s="36"/>
      <c r="J117" s="38"/>
      <c r="K117" s="38"/>
      <c r="L117" s="38"/>
      <c r="M117" s="38"/>
    </row>
    <row r="118" spans="2:13" s="19" customFormat="1" x14ac:dyDescent="0.25">
      <c r="B118" s="35"/>
      <c r="C118" s="36"/>
      <c r="J118" s="38"/>
      <c r="K118" s="38"/>
      <c r="L118" s="38"/>
      <c r="M118" s="38"/>
    </row>
    <row r="119" spans="2:13" s="19" customFormat="1" x14ac:dyDescent="0.25">
      <c r="B119" s="35"/>
      <c r="C119" s="36"/>
      <c r="J119" s="38"/>
      <c r="K119" s="38"/>
      <c r="L119" s="38"/>
      <c r="M119" s="38"/>
    </row>
    <row r="120" spans="2:13" s="19" customFormat="1" x14ac:dyDescent="0.25">
      <c r="B120" s="35"/>
      <c r="C120" s="36"/>
      <c r="J120" s="38"/>
      <c r="K120" s="38"/>
      <c r="L120" s="38"/>
      <c r="M120" s="38"/>
    </row>
    <row r="121" spans="2:13" s="19" customFormat="1" x14ac:dyDescent="0.25">
      <c r="B121" s="35"/>
      <c r="C121" s="36"/>
      <c r="J121" s="38"/>
      <c r="K121" s="38"/>
      <c r="L121" s="38"/>
      <c r="M121" s="38"/>
    </row>
    <row r="122" spans="2:13" s="19" customFormat="1" x14ac:dyDescent="0.25">
      <c r="B122" s="35"/>
      <c r="C122" s="36"/>
      <c r="J122" s="38"/>
      <c r="K122" s="38"/>
      <c r="L122" s="38"/>
      <c r="M122" s="38"/>
    </row>
    <row r="123" spans="2:13" s="19" customFormat="1" x14ac:dyDescent="0.25">
      <c r="B123" s="35"/>
      <c r="C123" s="36"/>
      <c r="J123" s="38"/>
      <c r="K123" s="38"/>
      <c r="L123" s="38"/>
      <c r="M123" s="38"/>
    </row>
    <row r="124" spans="2:13" s="19" customFormat="1" x14ac:dyDescent="0.25">
      <c r="B124" s="35"/>
      <c r="C124" s="36"/>
      <c r="J124" s="38"/>
      <c r="K124" s="38"/>
      <c r="L124" s="38"/>
      <c r="M124" s="38"/>
    </row>
    <row r="125" spans="2:13" s="19" customFormat="1" x14ac:dyDescent="0.25">
      <c r="B125" s="35"/>
      <c r="C125" s="36"/>
      <c r="J125" s="38"/>
      <c r="K125" s="38"/>
      <c r="L125" s="38"/>
      <c r="M125" s="38"/>
    </row>
    <row r="126" spans="2:13" s="19" customFormat="1" x14ac:dyDescent="0.25">
      <c r="B126" s="35"/>
      <c r="C126" s="36"/>
      <c r="J126" s="38"/>
      <c r="K126" s="38"/>
      <c r="L126" s="38"/>
      <c r="M126" s="38"/>
    </row>
    <row r="127" spans="2:13" s="19" customFormat="1" x14ac:dyDescent="0.25">
      <c r="B127" s="35"/>
      <c r="C127" s="36"/>
      <c r="J127" s="38"/>
      <c r="K127" s="38"/>
      <c r="L127" s="38"/>
      <c r="M127" s="38"/>
    </row>
    <row r="128" spans="2:13" s="19" customFormat="1" x14ac:dyDescent="0.25">
      <c r="B128" s="35"/>
      <c r="C128" s="36"/>
      <c r="J128" s="38"/>
      <c r="K128" s="38"/>
      <c r="L128" s="38"/>
      <c r="M128" s="38"/>
    </row>
    <row r="129" spans="2:13" s="19" customFormat="1" x14ac:dyDescent="0.25">
      <c r="B129" s="35"/>
      <c r="C129" s="36"/>
      <c r="J129" s="38"/>
      <c r="K129" s="38"/>
      <c r="L129" s="38"/>
      <c r="M129" s="38"/>
    </row>
    <row r="130" spans="2:13" s="19" customFormat="1" x14ac:dyDescent="0.25">
      <c r="B130" s="35"/>
      <c r="C130" s="36"/>
      <c r="J130" s="38"/>
      <c r="K130" s="38"/>
      <c r="L130" s="38"/>
      <c r="M130" s="38"/>
    </row>
    <row r="131" spans="2:13" s="19" customFormat="1" x14ac:dyDescent="0.25">
      <c r="B131" s="35"/>
      <c r="C131" s="36"/>
      <c r="J131" s="38"/>
      <c r="K131" s="38"/>
      <c r="L131" s="38"/>
      <c r="M131" s="38"/>
    </row>
    <row r="132" spans="2:13" s="19" customFormat="1" x14ac:dyDescent="0.25">
      <c r="B132" s="35"/>
      <c r="C132" s="36"/>
      <c r="J132" s="38"/>
      <c r="K132" s="38"/>
      <c r="L132" s="38"/>
      <c r="M132" s="38"/>
    </row>
    <row r="133" spans="2:13" s="19" customFormat="1" x14ac:dyDescent="0.25">
      <c r="B133" s="35"/>
      <c r="C133" s="36"/>
      <c r="J133" s="38"/>
      <c r="K133" s="38"/>
      <c r="L133" s="38"/>
      <c r="M133" s="38"/>
    </row>
    <row r="134" spans="2:13" s="19" customFormat="1" x14ac:dyDescent="0.25">
      <c r="B134" s="35"/>
      <c r="C134" s="36"/>
      <c r="J134" s="38"/>
      <c r="K134" s="38"/>
      <c r="L134" s="38"/>
      <c r="M134" s="38"/>
    </row>
    <row r="135" spans="2:13" s="19" customFormat="1" x14ac:dyDescent="0.25">
      <c r="B135" s="35"/>
      <c r="C135" s="36"/>
      <c r="J135" s="38"/>
      <c r="K135" s="38"/>
      <c r="L135" s="38"/>
      <c r="M135" s="38"/>
    </row>
    <row r="136" spans="2:13" s="19" customFormat="1" x14ac:dyDescent="0.25">
      <c r="B136" s="35"/>
      <c r="C136" s="36"/>
      <c r="J136" s="38"/>
      <c r="K136" s="38"/>
      <c r="L136" s="38"/>
      <c r="M136" s="38"/>
    </row>
    <row r="137" spans="2:13" s="19" customFormat="1" x14ac:dyDescent="0.25">
      <c r="B137" s="35"/>
      <c r="C137" s="36"/>
      <c r="J137" s="38"/>
      <c r="K137" s="38"/>
      <c r="L137" s="38"/>
      <c r="M137" s="38"/>
    </row>
    <row r="138" spans="2:13" s="19" customFormat="1" x14ac:dyDescent="0.25">
      <c r="B138" s="35"/>
      <c r="C138" s="36"/>
      <c r="J138" s="38"/>
      <c r="K138" s="38"/>
      <c r="L138" s="38"/>
      <c r="M138" s="38"/>
    </row>
    <row r="139" spans="2:13" s="19" customFormat="1" x14ac:dyDescent="0.25">
      <c r="B139" s="35"/>
      <c r="C139" s="36"/>
      <c r="J139" s="38"/>
      <c r="K139" s="38"/>
      <c r="L139" s="38"/>
      <c r="M139" s="38"/>
    </row>
    <row r="140" spans="2:13" s="19" customFormat="1" x14ac:dyDescent="0.25">
      <c r="B140" s="35"/>
      <c r="C140" s="36"/>
      <c r="J140" s="38"/>
      <c r="K140" s="38"/>
      <c r="L140" s="38"/>
      <c r="M140" s="38"/>
    </row>
    <row r="141" spans="2:13" s="19" customFormat="1" x14ac:dyDescent="0.25">
      <c r="B141" s="35"/>
      <c r="C141" s="36"/>
      <c r="J141" s="38"/>
      <c r="K141" s="38"/>
      <c r="L141" s="38"/>
      <c r="M141" s="38"/>
    </row>
    <row r="142" spans="2:13" s="19" customFormat="1" x14ac:dyDescent="0.25">
      <c r="B142" s="35"/>
      <c r="C142" s="36"/>
      <c r="J142" s="38"/>
      <c r="K142" s="38"/>
      <c r="L142" s="38"/>
      <c r="M142" s="38"/>
    </row>
    <row r="143" spans="2:13" s="19" customFormat="1" x14ac:dyDescent="0.25">
      <c r="B143" s="35"/>
      <c r="C143" s="36"/>
      <c r="J143" s="38"/>
      <c r="K143" s="38"/>
      <c r="L143" s="38"/>
      <c r="M143" s="38"/>
    </row>
    <row r="144" spans="2:13" s="19" customFormat="1" x14ac:dyDescent="0.25">
      <c r="B144" s="35"/>
      <c r="C144" s="36"/>
      <c r="J144" s="38"/>
      <c r="K144" s="38"/>
      <c r="L144" s="38"/>
      <c r="M144" s="38"/>
    </row>
    <row r="145" spans="2:13" s="19" customFormat="1" x14ac:dyDescent="0.25">
      <c r="B145" s="35"/>
      <c r="C145" s="36"/>
      <c r="J145" s="38"/>
      <c r="K145" s="38"/>
      <c r="L145" s="38"/>
      <c r="M145" s="38"/>
    </row>
    <row r="146" spans="2:13" s="19" customFormat="1" x14ac:dyDescent="0.25">
      <c r="B146" s="35"/>
      <c r="C146" s="36"/>
      <c r="J146" s="38"/>
      <c r="K146" s="38"/>
      <c r="L146" s="38"/>
      <c r="M146" s="38"/>
    </row>
    <row r="147" spans="2:13" s="19" customFormat="1" x14ac:dyDescent="0.25">
      <c r="B147" s="35"/>
      <c r="C147" s="36"/>
      <c r="J147" s="38"/>
      <c r="K147" s="38"/>
      <c r="L147" s="38"/>
      <c r="M147" s="38"/>
    </row>
    <row r="148" spans="2:13" s="19" customFormat="1" x14ac:dyDescent="0.25">
      <c r="B148" s="35"/>
      <c r="C148" s="36"/>
      <c r="J148" s="38"/>
      <c r="K148" s="38"/>
      <c r="L148" s="38"/>
      <c r="M148" s="38"/>
    </row>
    <row r="149" spans="2:13" s="19" customFormat="1" x14ac:dyDescent="0.25">
      <c r="B149" s="35"/>
      <c r="C149" s="36"/>
      <c r="J149" s="38"/>
      <c r="K149" s="38"/>
      <c r="L149" s="38"/>
      <c r="M149" s="38"/>
    </row>
    <row r="150" spans="2:13" s="19" customFormat="1" x14ac:dyDescent="0.25">
      <c r="B150" s="35"/>
      <c r="C150" s="36"/>
      <c r="J150" s="38"/>
      <c r="K150" s="38"/>
      <c r="L150" s="38"/>
      <c r="M150" s="38"/>
    </row>
    <row r="151" spans="2:13" s="19" customFormat="1" x14ac:dyDescent="0.25">
      <c r="B151" s="35"/>
      <c r="C151" s="36"/>
      <c r="J151" s="38"/>
      <c r="K151" s="38"/>
      <c r="L151" s="38"/>
      <c r="M151" s="38"/>
    </row>
    <row r="152" spans="2:13" s="19" customFormat="1" x14ac:dyDescent="0.25">
      <c r="B152" s="35"/>
      <c r="C152" s="36"/>
      <c r="J152" s="38"/>
      <c r="K152" s="38"/>
      <c r="L152" s="38"/>
      <c r="M152" s="38"/>
    </row>
    <row r="153" spans="2:13" s="19" customFormat="1" x14ac:dyDescent="0.25">
      <c r="B153" s="35"/>
      <c r="C153" s="36"/>
      <c r="J153" s="38"/>
      <c r="K153" s="38"/>
      <c r="L153" s="38"/>
      <c r="M153" s="38"/>
    </row>
    <row r="154" spans="2:13" s="19" customFormat="1" x14ac:dyDescent="0.25">
      <c r="B154" s="35"/>
      <c r="C154" s="36"/>
      <c r="J154" s="38"/>
      <c r="K154" s="38"/>
      <c r="L154" s="38"/>
      <c r="M154" s="38"/>
    </row>
    <row r="155" spans="2:13" s="19" customFormat="1" x14ac:dyDescent="0.25">
      <c r="B155" s="35"/>
      <c r="C155" s="36"/>
      <c r="J155" s="38"/>
      <c r="K155" s="38"/>
      <c r="L155" s="38"/>
      <c r="M155" s="38"/>
    </row>
    <row r="156" spans="2:13" s="19" customFormat="1" x14ac:dyDescent="0.25">
      <c r="B156" s="35"/>
      <c r="C156" s="36"/>
      <c r="J156" s="38"/>
      <c r="K156" s="38"/>
      <c r="L156" s="38"/>
      <c r="M156" s="38"/>
    </row>
    <row r="157" spans="2:13" s="19" customFormat="1" x14ac:dyDescent="0.25">
      <c r="B157" s="35"/>
      <c r="C157" s="36"/>
      <c r="J157" s="38"/>
      <c r="K157" s="38"/>
      <c r="L157" s="38"/>
      <c r="M157" s="38"/>
    </row>
    <row r="158" spans="2:13" s="19" customFormat="1" x14ac:dyDescent="0.25">
      <c r="B158" s="35"/>
      <c r="C158" s="36"/>
      <c r="J158" s="38"/>
      <c r="K158" s="38"/>
      <c r="L158" s="38"/>
      <c r="M158" s="38"/>
    </row>
    <row r="159" spans="2:13" s="19" customFormat="1" x14ac:dyDescent="0.25">
      <c r="B159" s="35"/>
      <c r="C159" s="36"/>
      <c r="J159" s="38"/>
      <c r="K159" s="38"/>
      <c r="L159" s="38"/>
      <c r="M159" s="38"/>
    </row>
    <row r="160" spans="2:13" s="19" customFormat="1" x14ac:dyDescent="0.25">
      <c r="B160" s="35"/>
      <c r="C160" s="36"/>
      <c r="J160" s="38"/>
      <c r="K160" s="38"/>
      <c r="L160" s="38"/>
      <c r="M160" s="38"/>
    </row>
    <row r="161" spans="2:13" s="19" customFormat="1" x14ac:dyDescent="0.25">
      <c r="B161" s="35"/>
      <c r="C161" s="36"/>
      <c r="J161" s="38"/>
      <c r="K161" s="38"/>
      <c r="L161" s="38"/>
      <c r="M161" s="38"/>
    </row>
    <row r="162" spans="2:13" s="19" customFormat="1" x14ac:dyDescent="0.25">
      <c r="B162" s="35"/>
      <c r="C162" s="36"/>
      <c r="J162" s="38"/>
      <c r="K162" s="38"/>
      <c r="L162" s="38"/>
      <c r="M162" s="38"/>
    </row>
    <row r="163" spans="2:13" s="19" customFormat="1" x14ac:dyDescent="0.25">
      <c r="B163" s="35"/>
      <c r="C163" s="36"/>
      <c r="J163" s="38"/>
      <c r="K163" s="38"/>
      <c r="L163" s="38"/>
      <c r="M163" s="38"/>
    </row>
    <row r="164" spans="2:13" s="19" customFormat="1" x14ac:dyDescent="0.25">
      <c r="B164" s="35"/>
      <c r="C164" s="36"/>
      <c r="J164" s="38"/>
      <c r="K164" s="38"/>
      <c r="L164" s="38"/>
      <c r="M164" s="38"/>
    </row>
    <row r="165" spans="2:13" s="19" customFormat="1" x14ac:dyDescent="0.25">
      <c r="B165" s="35"/>
      <c r="C165" s="36"/>
      <c r="J165" s="38"/>
      <c r="K165" s="38"/>
      <c r="L165" s="38"/>
      <c r="M165" s="38"/>
    </row>
    <row r="166" spans="2:13" s="19" customFormat="1" x14ac:dyDescent="0.25">
      <c r="B166" s="35"/>
      <c r="C166" s="36"/>
      <c r="J166" s="38"/>
      <c r="K166" s="38"/>
      <c r="L166" s="38"/>
      <c r="M166" s="38"/>
    </row>
    <row r="167" spans="2:13" s="19" customFormat="1" x14ac:dyDescent="0.25">
      <c r="B167" s="35"/>
      <c r="C167" s="36"/>
      <c r="J167" s="38"/>
      <c r="K167" s="38"/>
      <c r="L167" s="38"/>
      <c r="M167" s="38"/>
    </row>
    <row r="168" spans="2:13" s="19" customFormat="1" x14ac:dyDescent="0.25">
      <c r="B168" s="35"/>
      <c r="C168" s="36"/>
      <c r="J168" s="38"/>
      <c r="K168" s="38"/>
      <c r="L168" s="38"/>
      <c r="M168" s="38"/>
    </row>
    <row r="169" spans="2:13" s="19" customFormat="1" x14ac:dyDescent="0.25">
      <c r="B169" s="35"/>
      <c r="C169" s="36"/>
      <c r="J169" s="38"/>
      <c r="K169" s="38"/>
      <c r="L169" s="38"/>
      <c r="M169" s="38"/>
    </row>
    <row r="170" spans="2:13" s="19" customFormat="1" x14ac:dyDescent="0.25">
      <c r="B170" s="35"/>
      <c r="C170" s="36"/>
      <c r="J170" s="38"/>
      <c r="K170" s="38"/>
      <c r="L170" s="38"/>
      <c r="M170" s="38"/>
    </row>
    <row r="171" spans="2:13" s="19" customFormat="1" x14ac:dyDescent="0.25">
      <c r="B171" s="35"/>
      <c r="C171" s="36"/>
      <c r="J171" s="38"/>
      <c r="K171" s="38"/>
      <c r="L171" s="38"/>
      <c r="M171" s="38"/>
    </row>
    <row r="172" spans="2:13" s="19" customFormat="1" x14ac:dyDescent="0.25">
      <c r="B172" s="35"/>
      <c r="C172" s="36"/>
      <c r="J172" s="38"/>
      <c r="K172" s="38"/>
      <c r="L172" s="38"/>
      <c r="M172" s="38"/>
    </row>
    <row r="173" spans="2:13" s="19" customFormat="1" x14ac:dyDescent="0.25">
      <c r="B173" s="35"/>
      <c r="C173" s="36"/>
      <c r="J173" s="38"/>
      <c r="K173" s="38"/>
      <c r="L173" s="38"/>
      <c r="M173" s="38"/>
    </row>
    <row r="174" spans="2:13" s="19" customFormat="1" x14ac:dyDescent="0.25">
      <c r="B174" s="35"/>
      <c r="C174" s="36"/>
      <c r="J174" s="38"/>
      <c r="K174" s="38"/>
      <c r="L174" s="38"/>
      <c r="M174" s="38"/>
    </row>
    <row r="175" spans="2:13" s="19" customFormat="1" x14ac:dyDescent="0.25">
      <c r="B175" s="35"/>
      <c r="C175" s="36"/>
      <c r="J175" s="38"/>
      <c r="K175" s="38"/>
      <c r="L175" s="38"/>
      <c r="M175" s="38"/>
    </row>
    <row r="176" spans="2:13" s="19" customFormat="1" x14ac:dyDescent="0.25">
      <c r="B176" s="35"/>
      <c r="C176" s="36"/>
      <c r="J176" s="38"/>
      <c r="K176" s="38"/>
      <c r="L176" s="38"/>
      <c r="M176" s="38"/>
    </row>
    <row r="177" spans="2:13" s="19" customFormat="1" x14ac:dyDescent="0.25">
      <c r="B177" s="35"/>
      <c r="C177" s="36"/>
      <c r="J177" s="38"/>
      <c r="K177" s="38"/>
      <c r="L177" s="38"/>
      <c r="M177" s="38"/>
    </row>
    <row r="178" spans="2:13" s="19" customFormat="1" x14ac:dyDescent="0.25">
      <c r="B178" s="35"/>
      <c r="C178" s="36"/>
      <c r="J178" s="38"/>
      <c r="K178" s="38"/>
      <c r="L178" s="38"/>
      <c r="M178" s="38"/>
    </row>
    <row r="179" spans="2:13" s="19" customFormat="1" x14ac:dyDescent="0.25">
      <c r="B179" s="35"/>
      <c r="C179" s="36"/>
      <c r="J179" s="38"/>
      <c r="K179" s="38"/>
      <c r="L179" s="38"/>
      <c r="M179" s="38"/>
    </row>
    <row r="180" spans="2:13" s="19" customFormat="1" x14ac:dyDescent="0.25">
      <c r="B180" s="35"/>
      <c r="C180" s="36"/>
      <c r="J180" s="38"/>
      <c r="K180" s="38"/>
      <c r="L180" s="38"/>
      <c r="M180" s="38"/>
    </row>
    <row r="181" spans="2:13" s="19" customFormat="1" x14ac:dyDescent="0.25">
      <c r="B181" s="35"/>
      <c r="C181" s="36"/>
      <c r="J181" s="38"/>
      <c r="K181" s="38"/>
      <c r="L181" s="38"/>
      <c r="M181" s="38"/>
    </row>
    <row r="182" spans="2:13" s="19" customFormat="1" x14ac:dyDescent="0.25">
      <c r="B182" s="35"/>
      <c r="C182" s="36"/>
      <c r="J182" s="38"/>
      <c r="K182" s="38"/>
      <c r="L182" s="38"/>
      <c r="M182" s="38"/>
    </row>
    <row r="183" spans="2:13" s="19" customFormat="1" x14ac:dyDescent="0.25">
      <c r="B183" s="35"/>
      <c r="C183" s="36"/>
      <c r="J183" s="38"/>
      <c r="K183" s="38"/>
      <c r="L183" s="38"/>
      <c r="M183" s="38"/>
    </row>
    <row r="184" spans="2:13" s="19" customFormat="1" x14ac:dyDescent="0.25">
      <c r="B184" s="35"/>
      <c r="C184" s="36"/>
      <c r="J184" s="38"/>
      <c r="K184" s="38"/>
      <c r="L184" s="38"/>
      <c r="M184" s="38"/>
    </row>
    <row r="185" spans="2:13" s="19" customFormat="1" x14ac:dyDescent="0.25">
      <c r="B185" s="35"/>
      <c r="C185" s="36"/>
      <c r="J185" s="38"/>
      <c r="K185" s="38"/>
      <c r="L185" s="38"/>
      <c r="M185" s="38"/>
    </row>
    <row r="186" spans="2:13" s="19" customFormat="1" x14ac:dyDescent="0.25">
      <c r="B186" s="35"/>
      <c r="C186" s="36"/>
      <c r="J186" s="38"/>
      <c r="K186" s="38"/>
      <c r="L186" s="38"/>
      <c r="M186" s="38"/>
    </row>
    <row r="187" spans="2:13" s="19" customFormat="1" x14ac:dyDescent="0.25">
      <c r="B187" s="35"/>
      <c r="C187" s="36"/>
      <c r="J187" s="38"/>
      <c r="K187" s="38"/>
      <c r="L187" s="38"/>
      <c r="M187" s="38"/>
    </row>
    <row r="188" spans="2:13" s="19" customFormat="1" x14ac:dyDescent="0.25">
      <c r="B188" s="35"/>
      <c r="C188" s="36"/>
      <c r="J188" s="38"/>
      <c r="K188" s="38"/>
      <c r="L188" s="38"/>
      <c r="M188" s="38"/>
    </row>
    <row r="189" spans="2:13" s="19" customFormat="1" x14ac:dyDescent="0.25">
      <c r="B189" s="35"/>
      <c r="C189" s="36"/>
      <c r="J189" s="38"/>
      <c r="K189" s="38"/>
      <c r="L189" s="38"/>
      <c r="M189" s="38"/>
    </row>
    <row r="190" spans="2:13" s="19" customFormat="1" x14ac:dyDescent="0.25">
      <c r="B190" s="35"/>
      <c r="C190" s="36"/>
      <c r="J190" s="38"/>
      <c r="K190" s="38"/>
      <c r="L190" s="38"/>
      <c r="M190" s="38"/>
    </row>
    <row r="191" spans="2:13" s="19" customFormat="1" x14ac:dyDescent="0.25">
      <c r="B191" s="35"/>
      <c r="C191" s="36"/>
      <c r="J191" s="38"/>
      <c r="K191" s="38"/>
      <c r="L191" s="38"/>
      <c r="M191" s="38"/>
    </row>
    <row r="192" spans="2:13" s="19" customFormat="1" x14ac:dyDescent="0.25">
      <c r="B192" s="35"/>
      <c r="C192" s="36"/>
      <c r="J192" s="38"/>
      <c r="K192" s="38"/>
      <c r="L192" s="38"/>
      <c r="M192" s="38"/>
    </row>
    <row r="193" spans="2:13" s="19" customFormat="1" x14ac:dyDescent="0.25">
      <c r="B193" s="35"/>
      <c r="C193" s="36"/>
      <c r="J193" s="38"/>
      <c r="K193" s="38"/>
      <c r="L193" s="38"/>
      <c r="M193" s="38"/>
    </row>
    <row r="194" spans="2:13" s="19" customFormat="1" x14ac:dyDescent="0.25">
      <c r="B194" s="35"/>
      <c r="C194" s="36"/>
      <c r="J194" s="38"/>
      <c r="K194" s="38"/>
      <c r="L194" s="38"/>
      <c r="M194" s="38"/>
    </row>
    <row r="195" spans="2:13" s="19" customFormat="1" x14ac:dyDescent="0.25">
      <c r="B195" s="35"/>
      <c r="C195" s="36"/>
      <c r="J195" s="38"/>
      <c r="K195" s="38"/>
      <c r="L195" s="38"/>
      <c r="M195" s="38"/>
    </row>
    <row r="196" spans="2:13" s="19" customFormat="1" x14ac:dyDescent="0.25">
      <c r="B196" s="35"/>
      <c r="C196" s="36"/>
      <c r="J196" s="38"/>
      <c r="K196" s="38"/>
      <c r="L196" s="38"/>
      <c r="M196" s="38"/>
    </row>
    <row r="197" spans="2:13" s="19" customFormat="1" x14ac:dyDescent="0.25">
      <c r="B197" s="35"/>
      <c r="C197" s="36"/>
      <c r="J197" s="38"/>
      <c r="K197" s="38"/>
      <c r="L197" s="38"/>
      <c r="M197" s="38"/>
    </row>
    <row r="198" spans="2:13" s="19" customFormat="1" x14ac:dyDescent="0.25">
      <c r="B198" s="35"/>
      <c r="C198" s="36"/>
      <c r="J198" s="38"/>
      <c r="K198" s="38"/>
      <c r="L198" s="38"/>
      <c r="M198" s="38"/>
    </row>
    <row r="199" spans="2:13" s="19" customFormat="1" x14ac:dyDescent="0.25">
      <c r="B199" s="35"/>
      <c r="C199" s="36"/>
      <c r="J199" s="38"/>
      <c r="K199" s="38"/>
      <c r="L199" s="38"/>
      <c r="M199" s="38"/>
    </row>
    <row r="200" spans="2:13" s="19" customFormat="1" x14ac:dyDescent="0.25">
      <c r="B200" s="35"/>
      <c r="C200" s="36"/>
      <c r="J200" s="38"/>
      <c r="K200" s="38"/>
      <c r="L200" s="38"/>
      <c r="M200" s="38"/>
    </row>
    <row r="201" spans="2:13" s="19" customFormat="1" x14ac:dyDescent="0.25">
      <c r="B201" s="35"/>
      <c r="C201" s="36"/>
      <c r="J201" s="38"/>
      <c r="K201" s="38"/>
      <c r="L201" s="38"/>
      <c r="M201" s="38"/>
    </row>
    <row r="202" spans="2:13" s="19" customFormat="1" x14ac:dyDescent="0.25">
      <c r="B202" s="35"/>
      <c r="C202" s="36"/>
      <c r="J202" s="38"/>
      <c r="K202" s="38"/>
      <c r="L202" s="38"/>
      <c r="M202" s="38"/>
    </row>
    <row r="203" spans="2:13" s="19" customFormat="1" x14ac:dyDescent="0.25">
      <c r="B203" s="35"/>
      <c r="C203" s="36"/>
      <c r="J203" s="38"/>
      <c r="K203" s="38"/>
      <c r="L203" s="38"/>
      <c r="M203" s="38"/>
    </row>
    <row r="204" spans="2:13" s="19" customFormat="1" x14ac:dyDescent="0.25">
      <c r="B204" s="35"/>
      <c r="C204" s="36"/>
      <c r="J204" s="38"/>
      <c r="K204" s="38"/>
      <c r="L204" s="38"/>
      <c r="M204" s="38"/>
    </row>
    <row r="205" spans="2:13" s="19" customFormat="1" x14ac:dyDescent="0.25">
      <c r="B205" s="35"/>
      <c r="C205" s="36"/>
      <c r="J205" s="38"/>
      <c r="K205" s="38"/>
      <c r="L205" s="38"/>
      <c r="M205" s="38"/>
    </row>
    <row r="206" spans="2:13" s="19" customFormat="1" x14ac:dyDescent="0.25">
      <c r="B206" s="35"/>
      <c r="C206" s="36"/>
      <c r="J206" s="38"/>
      <c r="K206" s="38"/>
      <c r="L206" s="38"/>
      <c r="M206" s="38"/>
    </row>
    <row r="207" spans="2:13" s="19" customFormat="1" x14ac:dyDescent="0.25">
      <c r="B207" s="35"/>
      <c r="C207" s="36"/>
      <c r="J207" s="38"/>
      <c r="K207" s="38"/>
      <c r="L207" s="38"/>
      <c r="M207" s="38"/>
    </row>
    <row r="208" spans="2:13" s="19" customFormat="1" x14ac:dyDescent="0.25">
      <c r="B208" s="35"/>
      <c r="C208" s="36"/>
      <c r="J208" s="38"/>
      <c r="K208" s="38"/>
      <c r="L208" s="38"/>
      <c r="M208" s="38"/>
    </row>
    <row r="209" spans="2:13" s="19" customFormat="1" x14ac:dyDescent="0.25">
      <c r="B209" s="35"/>
      <c r="C209" s="36"/>
      <c r="J209" s="38"/>
      <c r="K209" s="38"/>
      <c r="L209" s="38"/>
      <c r="M209" s="38"/>
    </row>
    <row r="210" spans="2:13" s="19" customFormat="1" x14ac:dyDescent="0.25">
      <c r="B210" s="35"/>
      <c r="C210" s="36"/>
      <c r="J210" s="38"/>
      <c r="K210" s="38"/>
      <c r="L210" s="38"/>
      <c r="M210" s="38"/>
    </row>
    <row r="211" spans="2:13" s="19" customFormat="1" x14ac:dyDescent="0.25">
      <c r="B211" s="35"/>
      <c r="C211" s="36"/>
      <c r="J211" s="38"/>
      <c r="K211" s="38"/>
      <c r="L211" s="38"/>
      <c r="M211" s="38"/>
    </row>
    <row r="212" spans="2:13" s="19" customFormat="1" x14ac:dyDescent="0.25">
      <c r="B212" s="35"/>
      <c r="C212" s="36"/>
      <c r="J212" s="38"/>
      <c r="K212" s="38"/>
      <c r="L212" s="38"/>
      <c r="M212" s="38"/>
    </row>
    <row r="213" spans="2:13" s="19" customFormat="1" x14ac:dyDescent="0.25">
      <c r="B213" s="35"/>
      <c r="C213" s="36"/>
      <c r="J213" s="38"/>
      <c r="K213" s="38"/>
      <c r="L213" s="38"/>
      <c r="M213" s="38"/>
    </row>
    <row r="214" spans="2:13" s="19" customFormat="1" x14ac:dyDescent="0.25">
      <c r="B214" s="35"/>
      <c r="C214" s="36"/>
      <c r="J214" s="38"/>
      <c r="K214" s="38"/>
      <c r="L214" s="38"/>
      <c r="M214" s="38"/>
    </row>
    <row r="215" spans="2:13" s="19" customFormat="1" x14ac:dyDescent="0.25">
      <c r="B215" s="35"/>
      <c r="C215" s="36"/>
      <c r="J215" s="38"/>
      <c r="K215" s="38"/>
      <c r="L215" s="38"/>
      <c r="M215" s="38"/>
    </row>
    <row r="216" spans="2:13" s="19" customFormat="1" x14ac:dyDescent="0.25">
      <c r="B216" s="35"/>
      <c r="C216" s="36"/>
      <c r="J216" s="38"/>
      <c r="K216" s="38"/>
      <c r="L216" s="38"/>
      <c r="M216" s="38"/>
    </row>
    <row r="217" spans="2:13" s="19" customFormat="1" x14ac:dyDescent="0.25">
      <c r="B217" s="35"/>
      <c r="C217" s="36"/>
      <c r="J217" s="38"/>
      <c r="K217" s="38"/>
      <c r="L217" s="38"/>
      <c r="M217" s="38"/>
    </row>
    <row r="218" spans="2:13" s="19" customFormat="1" x14ac:dyDescent="0.25">
      <c r="B218" s="35"/>
      <c r="C218" s="36"/>
      <c r="J218" s="38"/>
      <c r="K218" s="38"/>
      <c r="L218" s="38"/>
      <c r="M218" s="38"/>
    </row>
    <row r="219" spans="2:13" s="19" customFormat="1" x14ac:dyDescent="0.25">
      <c r="B219" s="35"/>
      <c r="C219" s="36"/>
      <c r="J219" s="38"/>
      <c r="K219" s="38"/>
      <c r="L219" s="38"/>
      <c r="M219" s="38"/>
    </row>
    <row r="220" spans="2:13" s="19" customFormat="1" x14ac:dyDescent="0.25">
      <c r="B220" s="35"/>
      <c r="C220" s="36"/>
      <c r="J220" s="38"/>
      <c r="K220" s="38"/>
      <c r="L220" s="38"/>
      <c r="M220" s="38"/>
    </row>
    <row r="221" spans="2:13" s="19" customFormat="1" x14ac:dyDescent="0.25">
      <c r="B221" s="35"/>
      <c r="C221" s="36"/>
      <c r="J221" s="38"/>
      <c r="K221" s="38"/>
      <c r="L221" s="38"/>
      <c r="M221" s="38"/>
    </row>
    <row r="222" spans="2:13" s="19" customFormat="1" x14ac:dyDescent="0.25">
      <c r="B222" s="35"/>
      <c r="C222" s="36"/>
      <c r="J222" s="38"/>
      <c r="K222" s="38"/>
      <c r="L222" s="38"/>
      <c r="M222" s="38"/>
    </row>
    <row r="223" spans="2:13" s="19" customFormat="1" x14ac:dyDescent="0.25">
      <c r="B223" s="35"/>
      <c r="C223" s="36"/>
      <c r="J223" s="38"/>
      <c r="K223" s="38"/>
      <c r="L223" s="38"/>
      <c r="M223" s="38"/>
    </row>
    <row r="224" spans="2:13" s="19" customFormat="1" x14ac:dyDescent="0.25">
      <c r="B224" s="35"/>
      <c r="C224" s="36"/>
      <c r="J224" s="38"/>
      <c r="K224" s="38"/>
      <c r="L224" s="38"/>
      <c r="M224" s="38"/>
    </row>
    <row r="225" spans="2:13" s="19" customFormat="1" x14ac:dyDescent="0.25">
      <c r="B225" s="35"/>
      <c r="C225" s="36"/>
      <c r="J225" s="38"/>
      <c r="K225" s="38"/>
      <c r="L225" s="38"/>
      <c r="M225" s="38"/>
    </row>
    <row r="226" spans="2:13" s="19" customFormat="1" x14ac:dyDescent="0.25">
      <c r="B226" s="35"/>
      <c r="C226" s="36"/>
      <c r="J226" s="38"/>
      <c r="K226" s="38"/>
      <c r="L226" s="38"/>
      <c r="M226" s="38"/>
    </row>
    <row r="227" spans="2:13" s="19" customFormat="1" x14ac:dyDescent="0.25">
      <c r="B227" s="35"/>
      <c r="C227" s="36"/>
      <c r="J227" s="38"/>
      <c r="K227" s="38"/>
      <c r="L227" s="38"/>
      <c r="M227" s="38"/>
    </row>
    <row r="228" spans="2:13" s="19" customFormat="1" x14ac:dyDescent="0.25">
      <c r="B228" s="35"/>
      <c r="C228" s="36"/>
      <c r="J228" s="38"/>
      <c r="K228" s="38"/>
      <c r="L228" s="38"/>
      <c r="M228" s="38"/>
    </row>
    <row r="229" spans="2:13" s="19" customFormat="1" x14ac:dyDescent="0.25">
      <c r="B229" s="35"/>
      <c r="C229" s="36"/>
      <c r="J229" s="38"/>
      <c r="K229" s="38"/>
      <c r="L229" s="38"/>
      <c r="M229" s="38"/>
    </row>
    <row r="230" spans="2:13" s="19" customFormat="1" x14ac:dyDescent="0.25">
      <c r="B230" s="35"/>
      <c r="C230" s="36"/>
      <c r="J230" s="38"/>
      <c r="K230" s="38"/>
      <c r="L230" s="38"/>
      <c r="M230" s="38"/>
    </row>
    <row r="231" spans="2:13" s="19" customFormat="1" x14ac:dyDescent="0.25">
      <c r="B231" s="35"/>
      <c r="C231" s="36"/>
      <c r="J231" s="38"/>
      <c r="K231" s="38"/>
      <c r="L231" s="38"/>
      <c r="M231" s="38"/>
    </row>
    <row r="232" spans="2:13" s="19" customFormat="1" x14ac:dyDescent="0.25">
      <c r="B232" s="35"/>
      <c r="C232" s="36"/>
      <c r="J232" s="38"/>
      <c r="K232" s="38"/>
      <c r="L232" s="38"/>
      <c r="M232" s="38"/>
    </row>
    <row r="233" spans="2:13" s="19" customFormat="1" x14ac:dyDescent="0.25">
      <c r="B233" s="35"/>
      <c r="C233" s="36"/>
      <c r="J233" s="38"/>
      <c r="K233" s="38"/>
      <c r="L233" s="38"/>
      <c r="M233" s="38"/>
    </row>
    <row r="234" spans="2:13" s="19" customFormat="1" x14ac:dyDescent="0.25">
      <c r="B234" s="35"/>
      <c r="C234" s="36"/>
      <c r="J234" s="38"/>
      <c r="K234" s="38"/>
      <c r="L234" s="38"/>
      <c r="M234" s="38"/>
    </row>
    <row r="235" spans="2:13" s="19" customFormat="1" x14ac:dyDescent="0.25">
      <c r="B235" s="35"/>
      <c r="C235" s="36"/>
      <c r="J235" s="38"/>
      <c r="K235" s="38"/>
      <c r="L235" s="38"/>
      <c r="M235" s="38"/>
    </row>
    <row r="236" spans="2:13" s="19" customFormat="1" x14ac:dyDescent="0.25">
      <c r="B236" s="35"/>
      <c r="C236" s="36"/>
      <c r="J236" s="38"/>
      <c r="K236" s="38"/>
      <c r="L236" s="38"/>
      <c r="M236" s="38"/>
    </row>
    <row r="237" spans="2:13" s="19" customFormat="1" x14ac:dyDescent="0.25">
      <c r="B237" s="35"/>
      <c r="C237" s="36"/>
      <c r="J237" s="38"/>
      <c r="K237" s="38"/>
      <c r="L237" s="38"/>
      <c r="M237" s="38"/>
    </row>
    <row r="238" spans="2:13" s="19" customFormat="1" x14ac:dyDescent="0.25">
      <c r="B238" s="35"/>
      <c r="C238" s="36"/>
      <c r="J238" s="38"/>
      <c r="K238" s="38"/>
      <c r="L238" s="38"/>
      <c r="M238" s="38"/>
    </row>
    <row r="239" spans="2:13" s="19" customFormat="1" x14ac:dyDescent="0.25">
      <c r="B239" s="35"/>
      <c r="C239" s="36"/>
      <c r="J239" s="38"/>
      <c r="K239" s="38"/>
      <c r="L239" s="38"/>
      <c r="M239" s="38"/>
    </row>
    <row r="240" spans="2:13" s="19" customFormat="1" x14ac:dyDescent="0.25">
      <c r="B240" s="35"/>
      <c r="C240" s="36"/>
      <c r="J240" s="38"/>
      <c r="K240" s="38"/>
      <c r="L240" s="38"/>
      <c r="M240" s="38"/>
    </row>
    <row r="241" spans="2:13" s="19" customFormat="1" x14ac:dyDescent="0.25">
      <c r="B241" s="35"/>
      <c r="C241" s="36"/>
      <c r="J241" s="38"/>
      <c r="K241" s="38"/>
      <c r="L241" s="38"/>
      <c r="M241" s="38"/>
    </row>
    <row r="242" spans="2:13" s="19" customFormat="1" x14ac:dyDescent="0.25">
      <c r="B242" s="35"/>
      <c r="C242" s="36"/>
      <c r="J242" s="38"/>
      <c r="K242" s="38"/>
      <c r="L242" s="38"/>
      <c r="M242" s="38"/>
    </row>
    <row r="243" spans="2:13" s="19" customFormat="1" x14ac:dyDescent="0.25">
      <c r="B243" s="35"/>
      <c r="C243" s="36"/>
      <c r="J243" s="38"/>
      <c r="K243" s="38"/>
      <c r="L243" s="38"/>
      <c r="M243" s="38"/>
    </row>
    <row r="244" spans="2:13" s="19" customFormat="1" x14ac:dyDescent="0.25">
      <c r="B244" s="35"/>
      <c r="C244" s="36"/>
      <c r="J244" s="38"/>
      <c r="K244" s="38"/>
      <c r="L244" s="38"/>
      <c r="M244" s="38"/>
    </row>
    <row r="245" spans="2:13" s="19" customFormat="1" x14ac:dyDescent="0.25">
      <c r="B245" s="35"/>
      <c r="C245" s="36"/>
      <c r="J245" s="38"/>
      <c r="K245" s="38"/>
      <c r="L245" s="38"/>
      <c r="M245" s="38"/>
    </row>
    <row r="246" spans="2:13" s="19" customFormat="1" x14ac:dyDescent="0.25">
      <c r="B246" s="35"/>
      <c r="C246" s="36"/>
      <c r="J246" s="38"/>
      <c r="K246" s="38"/>
      <c r="L246" s="38"/>
      <c r="M246" s="38"/>
    </row>
    <row r="247" spans="2:13" s="19" customFormat="1" x14ac:dyDescent="0.25">
      <c r="B247" s="35"/>
      <c r="C247" s="36"/>
      <c r="J247" s="38"/>
      <c r="K247" s="38"/>
      <c r="L247" s="38"/>
      <c r="M247" s="38"/>
    </row>
    <row r="248" spans="2:13" s="19" customFormat="1" x14ac:dyDescent="0.25">
      <c r="B248" s="35"/>
      <c r="C248" s="36"/>
      <c r="J248" s="38"/>
      <c r="K248" s="38"/>
      <c r="L248" s="38"/>
      <c r="M248" s="38"/>
    </row>
    <row r="249" spans="2:13" s="19" customFormat="1" x14ac:dyDescent="0.25">
      <c r="B249" s="35"/>
      <c r="C249" s="36"/>
      <c r="J249" s="38"/>
      <c r="K249" s="38"/>
      <c r="L249" s="38"/>
      <c r="M249" s="38"/>
    </row>
    <row r="250" spans="2:13" s="19" customFormat="1" x14ac:dyDescent="0.25">
      <c r="B250" s="35"/>
      <c r="C250" s="36"/>
      <c r="J250" s="38"/>
      <c r="K250" s="38"/>
      <c r="L250" s="38"/>
      <c r="M250" s="38"/>
    </row>
    <row r="251" spans="2:13" s="19" customFormat="1" x14ac:dyDescent="0.25">
      <c r="B251" s="35"/>
      <c r="C251" s="36"/>
      <c r="J251" s="38"/>
      <c r="K251" s="38"/>
      <c r="L251" s="38"/>
      <c r="M251" s="38"/>
    </row>
    <row r="252" spans="2:13" s="19" customFormat="1" x14ac:dyDescent="0.25">
      <c r="B252" s="35"/>
      <c r="C252" s="36"/>
      <c r="J252" s="38"/>
      <c r="K252" s="38"/>
      <c r="L252" s="38"/>
      <c r="M252" s="38"/>
    </row>
    <row r="253" spans="2:13" s="19" customFormat="1" x14ac:dyDescent="0.25">
      <c r="B253" s="35"/>
      <c r="C253" s="36"/>
      <c r="J253" s="38"/>
      <c r="K253" s="38"/>
      <c r="L253" s="38"/>
      <c r="M253" s="38"/>
    </row>
    <row r="254" spans="2:13" s="19" customFormat="1" x14ac:dyDescent="0.25">
      <c r="B254" s="35"/>
      <c r="C254" s="36"/>
      <c r="J254" s="38"/>
      <c r="K254" s="38"/>
      <c r="L254" s="38"/>
      <c r="M254" s="38"/>
    </row>
    <row r="255" spans="2:13" s="19" customFormat="1" x14ac:dyDescent="0.25">
      <c r="B255" s="35"/>
      <c r="C255" s="36"/>
      <c r="J255" s="38"/>
      <c r="K255" s="38"/>
      <c r="L255" s="38"/>
      <c r="M255" s="38"/>
    </row>
    <row r="256" spans="2:13" s="19" customFormat="1" x14ac:dyDescent="0.25">
      <c r="B256" s="35"/>
      <c r="C256" s="36"/>
      <c r="J256" s="38"/>
      <c r="K256" s="38"/>
      <c r="L256" s="38"/>
      <c r="M256" s="38"/>
    </row>
    <row r="257" spans="2:13" s="19" customFormat="1" x14ac:dyDescent="0.25">
      <c r="B257" s="35"/>
      <c r="C257" s="36"/>
      <c r="J257" s="38"/>
      <c r="K257" s="38"/>
      <c r="L257" s="38"/>
      <c r="M257" s="38"/>
    </row>
    <row r="258" spans="2:13" s="19" customFormat="1" x14ac:dyDescent="0.25">
      <c r="B258" s="35"/>
      <c r="C258" s="36"/>
      <c r="J258" s="38"/>
      <c r="K258" s="38"/>
      <c r="L258" s="38"/>
      <c r="M258" s="38"/>
    </row>
    <row r="259" spans="2:13" s="19" customFormat="1" x14ac:dyDescent="0.25">
      <c r="B259" s="35"/>
      <c r="C259" s="36"/>
      <c r="J259" s="38"/>
      <c r="K259" s="38"/>
      <c r="L259" s="38"/>
      <c r="M259" s="38"/>
    </row>
    <row r="260" spans="2:13" s="19" customFormat="1" x14ac:dyDescent="0.25">
      <c r="B260" s="35"/>
      <c r="C260" s="36"/>
      <c r="J260" s="38"/>
      <c r="K260" s="38"/>
      <c r="L260" s="38"/>
      <c r="M260" s="38"/>
    </row>
    <row r="261" spans="2:13" s="19" customFormat="1" x14ac:dyDescent="0.25">
      <c r="B261" s="35"/>
      <c r="C261" s="36"/>
      <c r="J261" s="38"/>
      <c r="K261" s="38"/>
      <c r="L261" s="38"/>
      <c r="M261" s="38"/>
    </row>
    <row r="262" spans="2:13" s="19" customFormat="1" x14ac:dyDescent="0.25">
      <c r="B262" s="35"/>
      <c r="C262" s="36"/>
      <c r="J262" s="38"/>
      <c r="K262" s="38"/>
      <c r="L262" s="38"/>
      <c r="M262" s="38"/>
    </row>
    <row r="263" spans="2:13" s="19" customFormat="1" x14ac:dyDescent="0.25">
      <c r="B263" s="35"/>
      <c r="C263" s="36"/>
      <c r="J263" s="38"/>
      <c r="K263" s="38"/>
      <c r="L263" s="38"/>
      <c r="M263" s="38"/>
    </row>
    <row r="264" spans="2:13" s="19" customFormat="1" x14ac:dyDescent="0.25">
      <c r="B264" s="35"/>
      <c r="C264" s="36"/>
      <c r="J264" s="38"/>
      <c r="K264" s="38"/>
      <c r="L264" s="38"/>
      <c r="M264" s="38"/>
    </row>
    <row r="265" spans="2:13" s="19" customFormat="1" x14ac:dyDescent="0.25">
      <c r="B265" s="35"/>
      <c r="C265" s="36"/>
      <c r="J265" s="38"/>
      <c r="K265" s="38"/>
      <c r="L265" s="38"/>
      <c r="M265" s="38"/>
    </row>
    <row r="266" spans="2:13" s="19" customFormat="1" x14ac:dyDescent="0.25">
      <c r="B266" s="35"/>
      <c r="C266" s="36"/>
      <c r="J266" s="38"/>
      <c r="K266" s="38"/>
      <c r="L266" s="38"/>
      <c r="M266" s="38"/>
    </row>
    <row r="267" spans="2:13" s="19" customFormat="1" x14ac:dyDescent="0.25">
      <c r="B267" s="35"/>
      <c r="C267" s="36"/>
      <c r="J267" s="38"/>
      <c r="K267" s="38"/>
      <c r="L267" s="38"/>
      <c r="M267" s="38"/>
    </row>
    <row r="268" spans="2:13" s="19" customFormat="1" x14ac:dyDescent="0.25">
      <c r="B268" s="35"/>
      <c r="C268" s="36"/>
      <c r="J268" s="38"/>
      <c r="K268" s="38"/>
      <c r="L268" s="38"/>
      <c r="M268" s="38"/>
    </row>
    <row r="269" spans="2:13" s="19" customFormat="1" x14ac:dyDescent="0.25">
      <c r="B269" s="35"/>
      <c r="C269" s="36"/>
      <c r="J269" s="38"/>
      <c r="K269" s="38"/>
      <c r="L269" s="38"/>
      <c r="M269" s="38"/>
    </row>
    <row r="270" spans="2:13" s="19" customFormat="1" x14ac:dyDescent="0.25">
      <c r="B270" s="35"/>
      <c r="C270" s="36"/>
      <c r="J270" s="38"/>
      <c r="K270" s="38"/>
      <c r="L270" s="38"/>
      <c r="M270" s="38"/>
    </row>
    <row r="271" spans="2:13" s="19" customFormat="1" x14ac:dyDescent="0.25">
      <c r="B271" s="35"/>
      <c r="C271" s="36"/>
      <c r="J271" s="38"/>
      <c r="K271" s="38"/>
      <c r="L271" s="38"/>
      <c r="M271" s="38"/>
    </row>
    <row r="272" spans="2:13" s="19" customFormat="1" x14ac:dyDescent="0.25">
      <c r="B272" s="35"/>
      <c r="C272" s="36"/>
      <c r="J272" s="38"/>
      <c r="K272" s="38"/>
      <c r="L272" s="38"/>
      <c r="M272" s="38"/>
    </row>
    <row r="273" spans="2:13" s="19" customFormat="1" x14ac:dyDescent="0.25">
      <c r="B273" s="35"/>
      <c r="C273" s="36"/>
      <c r="J273" s="38"/>
      <c r="K273" s="38"/>
      <c r="L273" s="38"/>
      <c r="M273" s="38"/>
    </row>
    <row r="274" spans="2:13" s="19" customFormat="1" x14ac:dyDescent="0.25">
      <c r="B274" s="35"/>
      <c r="C274" s="36"/>
      <c r="J274" s="38"/>
      <c r="K274" s="38"/>
      <c r="L274" s="38"/>
      <c r="M274" s="38"/>
    </row>
    <row r="275" spans="2:13" s="19" customFormat="1" x14ac:dyDescent="0.25">
      <c r="B275" s="35"/>
      <c r="C275" s="36"/>
      <c r="J275" s="38"/>
      <c r="K275" s="38"/>
      <c r="L275" s="38"/>
      <c r="M275" s="38"/>
    </row>
    <row r="276" spans="2:13" s="19" customFormat="1" x14ac:dyDescent="0.25">
      <c r="B276" s="35"/>
      <c r="C276" s="36"/>
      <c r="J276" s="38"/>
      <c r="K276" s="38"/>
      <c r="L276" s="38"/>
      <c r="M276" s="38"/>
    </row>
    <row r="277" spans="2:13" s="19" customFormat="1" x14ac:dyDescent="0.25">
      <c r="B277" s="35"/>
      <c r="C277" s="36"/>
      <c r="J277" s="38"/>
      <c r="K277" s="38"/>
      <c r="L277" s="38"/>
      <c r="M277" s="38"/>
    </row>
    <row r="278" spans="2:13" s="19" customFormat="1" x14ac:dyDescent="0.25">
      <c r="B278" s="35"/>
      <c r="C278" s="36"/>
      <c r="J278" s="38"/>
      <c r="K278" s="38"/>
      <c r="L278" s="38"/>
      <c r="M278" s="38"/>
    </row>
    <row r="279" spans="2:13" s="19" customFormat="1" x14ac:dyDescent="0.25">
      <c r="B279" s="35"/>
      <c r="C279" s="36"/>
      <c r="J279" s="38"/>
      <c r="K279" s="38"/>
      <c r="L279" s="38"/>
      <c r="M279" s="38"/>
    </row>
    <row r="280" spans="2:13" s="19" customFormat="1" x14ac:dyDescent="0.25">
      <c r="B280" s="35"/>
      <c r="C280" s="36"/>
      <c r="J280" s="38"/>
      <c r="K280" s="38"/>
      <c r="L280" s="38"/>
      <c r="M280" s="38"/>
    </row>
    <row r="281" spans="2:13" s="19" customFormat="1" x14ac:dyDescent="0.25">
      <c r="B281" s="35"/>
      <c r="C281" s="36"/>
      <c r="J281" s="38"/>
      <c r="K281" s="38"/>
      <c r="L281" s="38"/>
      <c r="M281" s="38"/>
    </row>
    <row r="282" spans="2:13" s="19" customFormat="1" x14ac:dyDescent="0.25">
      <c r="B282" s="35"/>
      <c r="C282" s="36"/>
      <c r="J282" s="38"/>
      <c r="K282" s="38"/>
      <c r="L282" s="38"/>
      <c r="M282" s="38"/>
    </row>
    <row r="283" spans="2:13" s="19" customFormat="1" x14ac:dyDescent="0.25">
      <c r="B283" s="35"/>
      <c r="C283" s="36"/>
      <c r="J283" s="38"/>
      <c r="K283" s="38"/>
      <c r="L283" s="38"/>
      <c r="M283" s="38"/>
    </row>
    <row r="284" spans="2:13" s="19" customFormat="1" x14ac:dyDescent="0.25">
      <c r="B284" s="35"/>
      <c r="C284" s="36"/>
      <c r="J284" s="38"/>
      <c r="K284" s="38"/>
      <c r="L284" s="38"/>
      <c r="M284" s="38"/>
    </row>
    <row r="285" spans="2:13" s="19" customFormat="1" x14ac:dyDescent="0.25">
      <c r="B285" s="35"/>
      <c r="C285" s="36"/>
      <c r="J285" s="38"/>
      <c r="K285" s="38"/>
      <c r="L285" s="38"/>
      <c r="M285" s="38"/>
    </row>
    <row r="286" spans="2:13" s="19" customFormat="1" x14ac:dyDescent="0.25">
      <c r="B286" s="35"/>
      <c r="C286" s="36"/>
      <c r="J286" s="38"/>
      <c r="K286" s="38"/>
      <c r="L286" s="38"/>
      <c r="M286" s="38"/>
    </row>
    <row r="287" spans="2:13" s="19" customFormat="1" x14ac:dyDescent="0.25">
      <c r="B287" s="35"/>
      <c r="C287" s="36"/>
      <c r="J287" s="38"/>
      <c r="K287" s="38"/>
      <c r="L287" s="38"/>
      <c r="M287" s="38"/>
    </row>
    <row r="288" spans="2:13" s="19" customFormat="1" x14ac:dyDescent="0.25">
      <c r="B288" s="35"/>
      <c r="C288" s="36"/>
      <c r="J288" s="38"/>
      <c r="K288" s="38"/>
      <c r="L288" s="38"/>
      <c r="M288" s="38"/>
    </row>
    <row r="289" spans="2:13" s="19" customFormat="1" x14ac:dyDescent="0.25">
      <c r="B289" s="35"/>
      <c r="C289" s="36"/>
      <c r="J289" s="38"/>
      <c r="K289" s="38"/>
      <c r="L289" s="38"/>
      <c r="M289" s="38"/>
    </row>
    <row r="290" spans="2:13" s="19" customFormat="1" x14ac:dyDescent="0.25">
      <c r="B290" s="35"/>
      <c r="C290" s="36"/>
      <c r="J290" s="38"/>
      <c r="K290" s="38"/>
      <c r="L290" s="38"/>
      <c r="M290" s="38"/>
    </row>
    <row r="291" spans="2:13" s="19" customFormat="1" x14ac:dyDescent="0.25">
      <c r="B291" s="35"/>
      <c r="C291" s="36"/>
      <c r="J291" s="38"/>
      <c r="K291" s="38"/>
      <c r="L291" s="38"/>
      <c r="M291" s="38"/>
    </row>
    <row r="292" spans="2:13" s="19" customFormat="1" x14ac:dyDescent="0.25">
      <c r="B292" s="35"/>
      <c r="C292" s="36"/>
      <c r="J292" s="38"/>
      <c r="K292" s="38"/>
      <c r="L292" s="38"/>
      <c r="M292" s="38"/>
    </row>
    <row r="293" spans="2:13" s="19" customFormat="1" x14ac:dyDescent="0.25">
      <c r="B293" s="35"/>
      <c r="C293" s="36"/>
      <c r="J293" s="38"/>
      <c r="K293" s="38"/>
      <c r="L293" s="38"/>
      <c r="M293" s="38"/>
    </row>
    <row r="294" spans="2:13" s="19" customFormat="1" x14ac:dyDescent="0.25">
      <c r="B294" s="35"/>
      <c r="C294" s="36"/>
      <c r="J294" s="38"/>
      <c r="K294" s="38"/>
      <c r="L294" s="38"/>
      <c r="M294" s="38"/>
    </row>
    <row r="295" spans="2:13" s="19" customFormat="1" x14ac:dyDescent="0.25">
      <c r="B295" s="35"/>
      <c r="C295" s="36"/>
      <c r="J295" s="38"/>
      <c r="K295" s="38"/>
      <c r="L295" s="38"/>
      <c r="M295" s="38"/>
    </row>
    <row r="296" spans="2:13" s="19" customFormat="1" x14ac:dyDescent="0.25">
      <c r="B296" s="35"/>
      <c r="C296" s="36"/>
      <c r="J296" s="38"/>
      <c r="K296" s="38"/>
      <c r="L296" s="38"/>
      <c r="M296" s="38"/>
    </row>
    <row r="297" spans="2:13" s="19" customFormat="1" x14ac:dyDescent="0.25">
      <c r="B297" s="35"/>
      <c r="C297" s="36"/>
      <c r="J297" s="38"/>
      <c r="K297" s="38"/>
      <c r="L297" s="38"/>
      <c r="M297" s="38"/>
    </row>
    <row r="298" spans="2:13" s="19" customFormat="1" x14ac:dyDescent="0.25">
      <c r="B298" s="35"/>
      <c r="C298" s="36"/>
      <c r="J298" s="38"/>
      <c r="K298" s="38"/>
      <c r="L298" s="38"/>
      <c r="M298" s="38"/>
    </row>
    <row r="299" spans="2:13" s="19" customFormat="1" x14ac:dyDescent="0.25">
      <c r="B299" s="35"/>
      <c r="C299" s="36"/>
      <c r="J299" s="38"/>
      <c r="K299" s="38"/>
      <c r="L299" s="38"/>
      <c r="M299" s="38"/>
    </row>
    <row r="300" spans="2:13" s="19" customFormat="1" x14ac:dyDescent="0.25">
      <c r="B300" s="35"/>
      <c r="C300" s="36"/>
      <c r="J300" s="38"/>
      <c r="K300" s="38"/>
      <c r="L300" s="38"/>
      <c r="M300" s="38"/>
    </row>
    <row r="301" spans="2:13" s="19" customFormat="1" x14ac:dyDescent="0.25">
      <c r="B301" s="35"/>
      <c r="C301" s="36"/>
      <c r="J301" s="38"/>
      <c r="K301" s="38"/>
      <c r="L301" s="38"/>
      <c r="M301" s="38"/>
    </row>
    <row r="302" spans="2:13" s="19" customFormat="1" x14ac:dyDescent="0.25">
      <c r="B302" s="35"/>
      <c r="C302" s="36"/>
      <c r="J302" s="38"/>
      <c r="K302" s="38"/>
      <c r="L302" s="38"/>
      <c r="M302" s="38"/>
    </row>
    <row r="303" spans="2:13" s="19" customFormat="1" x14ac:dyDescent="0.25">
      <c r="B303" s="35"/>
      <c r="C303" s="36"/>
      <c r="J303" s="38"/>
      <c r="K303" s="38"/>
      <c r="L303" s="38"/>
      <c r="M303" s="38"/>
    </row>
    <row r="304" spans="2:13" s="19" customFormat="1" x14ac:dyDescent="0.25">
      <c r="B304" s="35"/>
      <c r="C304" s="36"/>
      <c r="J304" s="38"/>
      <c r="K304" s="38"/>
      <c r="L304" s="38"/>
      <c r="M304" s="38"/>
    </row>
    <row r="305" spans="2:13" s="19" customFormat="1" x14ac:dyDescent="0.25">
      <c r="B305" s="35"/>
      <c r="C305" s="36"/>
      <c r="J305" s="38"/>
      <c r="K305" s="38"/>
      <c r="L305" s="38"/>
      <c r="M305" s="38"/>
    </row>
    <row r="306" spans="2:13" s="19" customFormat="1" x14ac:dyDescent="0.25">
      <c r="B306" s="35"/>
      <c r="C306" s="36"/>
      <c r="J306" s="38"/>
      <c r="K306" s="38"/>
      <c r="L306" s="38"/>
      <c r="M306" s="38"/>
    </row>
    <row r="307" spans="2:13" s="19" customFormat="1" x14ac:dyDescent="0.25">
      <c r="B307" s="35"/>
      <c r="C307" s="36"/>
      <c r="J307" s="38"/>
      <c r="K307" s="38"/>
      <c r="L307" s="38"/>
      <c r="M307" s="38"/>
    </row>
    <row r="308" spans="2:13" s="19" customFormat="1" x14ac:dyDescent="0.25">
      <c r="B308" s="35"/>
      <c r="C308" s="36"/>
      <c r="J308" s="38"/>
      <c r="K308" s="38"/>
      <c r="L308" s="38"/>
      <c r="M308" s="38"/>
    </row>
    <row r="309" spans="2:13" s="19" customFormat="1" x14ac:dyDescent="0.25">
      <c r="B309" s="35"/>
      <c r="C309" s="36"/>
      <c r="J309" s="38"/>
      <c r="K309" s="38"/>
      <c r="L309" s="38"/>
      <c r="M309" s="38"/>
    </row>
    <row r="310" spans="2:13" s="19" customFormat="1" x14ac:dyDescent="0.25">
      <c r="B310" s="35"/>
      <c r="C310" s="36"/>
      <c r="J310" s="38"/>
      <c r="K310" s="38"/>
      <c r="L310" s="38"/>
      <c r="M310" s="38"/>
    </row>
    <row r="311" spans="2:13" s="19" customFormat="1" x14ac:dyDescent="0.25">
      <c r="B311" s="35"/>
      <c r="C311" s="36"/>
      <c r="J311" s="38"/>
      <c r="K311" s="38"/>
      <c r="L311" s="38"/>
      <c r="M311" s="38"/>
    </row>
    <row r="312" spans="2:13" s="19" customFormat="1" x14ac:dyDescent="0.25">
      <c r="B312" s="35"/>
      <c r="C312" s="36"/>
      <c r="J312" s="38"/>
      <c r="K312" s="38"/>
      <c r="L312" s="38"/>
      <c r="M312" s="38"/>
    </row>
    <row r="313" spans="2:13" s="19" customFormat="1" x14ac:dyDescent="0.25">
      <c r="B313" s="35"/>
      <c r="C313" s="36"/>
      <c r="J313" s="38"/>
      <c r="K313" s="38"/>
      <c r="L313" s="38"/>
      <c r="M313" s="38"/>
    </row>
    <row r="314" spans="2:13" s="19" customFormat="1" x14ac:dyDescent="0.25">
      <c r="B314" s="35"/>
      <c r="C314" s="36"/>
      <c r="J314" s="38"/>
      <c r="K314" s="38"/>
      <c r="L314" s="38"/>
      <c r="M314" s="38"/>
    </row>
    <row r="315" spans="2:13" s="19" customFormat="1" x14ac:dyDescent="0.25">
      <c r="B315" s="35"/>
      <c r="C315" s="36"/>
      <c r="J315" s="38"/>
    </row>
    <row r="316" spans="2:13" s="19" customFormat="1" x14ac:dyDescent="0.25">
      <c r="B316" s="35"/>
      <c r="C316" s="36"/>
      <c r="J316" s="38"/>
    </row>
    <row r="317" spans="2:13" s="19" customFormat="1" x14ac:dyDescent="0.25">
      <c r="B317" s="35"/>
      <c r="C317" s="36"/>
      <c r="J317" s="38"/>
    </row>
    <row r="318" spans="2:13" s="19" customFormat="1" x14ac:dyDescent="0.25">
      <c r="B318" s="35"/>
      <c r="C318" s="36"/>
      <c r="J318" s="38"/>
    </row>
    <row r="319" spans="2:13" s="19" customFormat="1" x14ac:dyDescent="0.25">
      <c r="B319" s="35"/>
      <c r="C319" s="36"/>
      <c r="J319" s="38"/>
    </row>
    <row r="320" spans="2:13" s="19" customFormat="1" x14ac:dyDescent="0.25">
      <c r="B320" s="35"/>
      <c r="C320" s="36"/>
      <c r="J320" s="38"/>
    </row>
    <row r="321" spans="2:10" s="19" customFormat="1" x14ac:dyDescent="0.25">
      <c r="B321" s="35"/>
      <c r="C321" s="36"/>
      <c r="J321" s="38"/>
    </row>
    <row r="322" spans="2:10" s="19" customFormat="1" x14ac:dyDescent="0.25">
      <c r="B322" s="35"/>
      <c r="C322" s="36"/>
      <c r="J322" s="38"/>
    </row>
    <row r="323" spans="2:10" s="19" customFormat="1" x14ac:dyDescent="0.25">
      <c r="B323" s="35"/>
      <c r="C323" s="36"/>
      <c r="J323" s="38"/>
    </row>
    <row r="324" spans="2:10" s="19" customFormat="1" x14ac:dyDescent="0.25">
      <c r="B324" s="35"/>
      <c r="C324" s="36"/>
      <c r="J324" s="38"/>
    </row>
    <row r="325" spans="2:10" s="19" customFormat="1" x14ac:dyDescent="0.25">
      <c r="B325" s="35"/>
      <c r="C325" s="36"/>
      <c r="J325" s="38"/>
    </row>
    <row r="326" spans="2:10" s="19" customFormat="1" x14ac:dyDescent="0.25">
      <c r="B326" s="35"/>
      <c r="C326" s="36"/>
      <c r="J326" s="38"/>
    </row>
    <row r="327" spans="2:10" s="19" customFormat="1" x14ac:dyDescent="0.25">
      <c r="B327" s="35"/>
      <c r="C327" s="36"/>
      <c r="J327" s="38"/>
    </row>
    <row r="328" spans="2:10" s="19" customFormat="1" x14ac:dyDescent="0.25">
      <c r="B328" s="35"/>
      <c r="C328" s="36"/>
      <c r="J328" s="38"/>
    </row>
    <row r="329" spans="2:10" s="19" customFormat="1" x14ac:dyDescent="0.25">
      <c r="B329" s="35"/>
      <c r="C329" s="36"/>
      <c r="J329" s="38"/>
    </row>
    <row r="330" spans="2:10" s="19" customFormat="1" x14ac:dyDescent="0.25">
      <c r="B330" s="35"/>
      <c r="C330" s="36"/>
      <c r="J330" s="38"/>
    </row>
    <row r="331" spans="2:10" s="19" customFormat="1" x14ac:dyDescent="0.25">
      <c r="B331" s="35"/>
      <c r="C331" s="36"/>
      <c r="J331" s="38"/>
    </row>
    <row r="332" spans="2:10" s="19" customFormat="1" x14ac:dyDescent="0.25">
      <c r="B332" s="35"/>
      <c r="C332" s="36"/>
      <c r="J332" s="38"/>
    </row>
    <row r="333" spans="2:10" s="19" customFormat="1" x14ac:dyDescent="0.25">
      <c r="B333" s="35"/>
      <c r="C333" s="36"/>
      <c r="J333" s="38"/>
    </row>
    <row r="334" spans="2:10" s="19" customFormat="1" x14ac:dyDescent="0.25">
      <c r="B334" s="35"/>
      <c r="C334" s="36"/>
      <c r="J334" s="38"/>
    </row>
    <row r="335" spans="2:10" s="19" customFormat="1" x14ac:dyDescent="0.25">
      <c r="B335" s="35"/>
      <c r="C335" s="36"/>
      <c r="J335" s="38"/>
    </row>
    <row r="336" spans="2:10" s="19" customFormat="1" x14ac:dyDescent="0.25">
      <c r="B336" s="35"/>
      <c r="C336" s="36"/>
      <c r="J336" s="38"/>
    </row>
    <row r="337" spans="2:10" s="19" customFormat="1" x14ac:dyDescent="0.25">
      <c r="B337" s="35"/>
      <c r="C337" s="36"/>
      <c r="J337" s="38"/>
    </row>
    <row r="338" spans="2:10" s="19" customFormat="1" x14ac:dyDescent="0.25">
      <c r="B338" s="35"/>
      <c r="C338" s="36"/>
      <c r="J338" s="38"/>
    </row>
    <row r="339" spans="2:10" s="19" customFormat="1" x14ac:dyDescent="0.25">
      <c r="B339" s="35"/>
      <c r="C339" s="36"/>
      <c r="J339" s="38"/>
    </row>
    <row r="340" spans="2:10" s="19" customFormat="1" x14ac:dyDescent="0.25">
      <c r="B340" s="35"/>
      <c r="C340" s="36"/>
      <c r="J340" s="38"/>
    </row>
    <row r="341" spans="2:10" s="19" customFormat="1" x14ac:dyDescent="0.25">
      <c r="B341" s="35"/>
      <c r="C341" s="36"/>
      <c r="J341" s="38"/>
    </row>
    <row r="342" spans="2:10" s="19" customFormat="1" x14ac:dyDescent="0.25">
      <c r="B342" s="35"/>
      <c r="C342" s="36"/>
      <c r="J342" s="38"/>
    </row>
    <row r="343" spans="2:10" s="19" customFormat="1" x14ac:dyDescent="0.25">
      <c r="B343" s="35"/>
      <c r="C343" s="36"/>
      <c r="J343" s="38"/>
    </row>
    <row r="344" spans="2:10" s="19" customFormat="1" x14ac:dyDescent="0.25">
      <c r="B344" s="35"/>
      <c r="C344" s="36"/>
      <c r="J344" s="38"/>
    </row>
    <row r="345" spans="2:10" s="19" customFormat="1" x14ac:dyDescent="0.25">
      <c r="B345" s="35"/>
      <c r="C345" s="36"/>
      <c r="J345" s="38"/>
    </row>
    <row r="346" spans="2:10" s="19" customFormat="1" x14ac:dyDescent="0.25">
      <c r="B346" s="35"/>
      <c r="C346" s="36"/>
      <c r="J346" s="38"/>
    </row>
    <row r="347" spans="2:10" s="19" customFormat="1" x14ac:dyDescent="0.25">
      <c r="B347" s="35"/>
      <c r="C347" s="36"/>
      <c r="J347" s="38"/>
    </row>
    <row r="348" spans="2:10" s="19" customFormat="1" x14ac:dyDescent="0.25">
      <c r="B348" s="35"/>
      <c r="C348" s="36"/>
      <c r="J348" s="38"/>
    </row>
    <row r="349" spans="2:10" s="19" customFormat="1" x14ac:dyDescent="0.25">
      <c r="B349" s="35"/>
      <c r="C349" s="36"/>
      <c r="J349" s="38"/>
    </row>
    <row r="350" spans="2:10" s="19" customFormat="1" x14ac:dyDescent="0.25">
      <c r="B350" s="35"/>
      <c r="C350" s="36"/>
      <c r="J350" s="38"/>
    </row>
    <row r="351" spans="2:10" s="19" customFormat="1" x14ac:dyDescent="0.25">
      <c r="B351" s="35"/>
      <c r="C351" s="36"/>
      <c r="J351" s="38"/>
    </row>
    <row r="352" spans="2:10" s="19" customFormat="1" x14ac:dyDescent="0.25">
      <c r="B352" s="35"/>
      <c r="C352" s="36"/>
      <c r="J352" s="38"/>
    </row>
    <row r="353" spans="2:10" s="19" customFormat="1" x14ac:dyDescent="0.25">
      <c r="B353" s="35"/>
      <c r="C353" s="36"/>
      <c r="J353" s="38"/>
    </row>
    <row r="354" spans="2:10" s="19" customFormat="1" x14ac:dyDescent="0.25">
      <c r="B354" s="35"/>
      <c r="C354" s="36"/>
      <c r="J354" s="38"/>
    </row>
    <row r="355" spans="2:10" s="19" customFormat="1" x14ac:dyDescent="0.25">
      <c r="B355" s="35"/>
      <c r="C355" s="36"/>
      <c r="J355" s="38"/>
    </row>
    <row r="356" spans="2:10" s="19" customFormat="1" x14ac:dyDescent="0.25">
      <c r="B356" s="35"/>
      <c r="C356" s="36"/>
      <c r="J356" s="38"/>
    </row>
    <row r="357" spans="2:10" s="19" customFormat="1" x14ac:dyDescent="0.25">
      <c r="B357" s="35"/>
      <c r="C357" s="36"/>
      <c r="J357" s="38"/>
    </row>
    <row r="358" spans="2:10" s="19" customFormat="1" x14ac:dyDescent="0.25">
      <c r="B358" s="35"/>
      <c r="C358" s="36"/>
      <c r="J358" s="38"/>
    </row>
    <row r="359" spans="2:10" s="19" customFormat="1" x14ac:dyDescent="0.25">
      <c r="B359" s="35"/>
      <c r="C359" s="36"/>
      <c r="J359" s="38"/>
    </row>
    <row r="360" spans="2:10" s="19" customFormat="1" x14ac:dyDescent="0.25">
      <c r="B360" s="35"/>
      <c r="C360" s="36"/>
      <c r="J360" s="38"/>
    </row>
    <row r="361" spans="2:10" s="19" customFormat="1" x14ac:dyDescent="0.25">
      <c r="B361" s="35"/>
      <c r="C361" s="36"/>
      <c r="J361" s="38"/>
    </row>
    <row r="362" spans="2:10" s="19" customFormat="1" x14ac:dyDescent="0.25">
      <c r="B362" s="35"/>
      <c r="C362" s="36"/>
      <c r="J362" s="38"/>
    </row>
    <row r="363" spans="2:10" s="19" customFormat="1" x14ac:dyDescent="0.25">
      <c r="B363" s="35"/>
      <c r="C363" s="36"/>
      <c r="J363" s="38"/>
    </row>
    <row r="364" spans="2:10" s="19" customFormat="1" x14ac:dyDescent="0.25">
      <c r="B364" s="35"/>
      <c r="C364" s="36"/>
      <c r="J364" s="38"/>
    </row>
    <row r="365" spans="2:10" s="19" customFormat="1" x14ac:dyDescent="0.25">
      <c r="B365" s="35"/>
      <c r="C365" s="36"/>
      <c r="J365" s="38"/>
    </row>
    <row r="366" spans="2:10" s="19" customFormat="1" x14ac:dyDescent="0.25">
      <c r="B366" s="35"/>
      <c r="C366" s="36"/>
      <c r="J366" s="38"/>
    </row>
    <row r="367" spans="2:10" s="19" customFormat="1" x14ac:dyDescent="0.25">
      <c r="B367" s="35"/>
      <c r="C367" s="36"/>
      <c r="J367" s="38"/>
    </row>
    <row r="368" spans="2:10" s="19" customFormat="1" x14ac:dyDescent="0.25">
      <c r="B368" s="35"/>
      <c r="C368" s="36"/>
      <c r="J368" s="38"/>
    </row>
    <row r="369" spans="2:10" s="19" customFormat="1" x14ac:dyDescent="0.25">
      <c r="B369" s="35"/>
      <c r="C369" s="36"/>
      <c r="J369" s="38"/>
    </row>
    <row r="370" spans="2:10" s="19" customFormat="1" x14ac:dyDescent="0.25">
      <c r="B370" s="35"/>
      <c r="C370" s="36"/>
      <c r="J370" s="38"/>
    </row>
    <row r="371" spans="2:10" s="19" customFormat="1" x14ac:dyDescent="0.25">
      <c r="B371" s="35"/>
      <c r="C371" s="36"/>
      <c r="J371" s="38"/>
    </row>
    <row r="372" spans="2:10" s="19" customFormat="1" x14ac:dyDescent="0.25">
      <c r="B372" s="35"/>
      <c r="C372" s="36"/>
      <c r="J372" s="38"/>
    </row>
    <row r="373" spans="2:10" s="19" customFormat="1" x14ac:dyDescent="0.25">
      <c r="B373" s="35"/>
      <c r="C373" s="36"/>
      <c r="J373" s="38"/>
    </row>
    <row r="374" spans="2:10" s="19" customFormat="1" x14ac:dyDescent="0.25">
      <c r="B374" s="35"/>
      <c r="C374" s="36"/>
      <c r="J374" s="38"/>
    </row>
    <row r="375" spans="2:10" s="19" customFormat="1" x14ac:dyDescent="0.25">
      <c r="B375" s="35"/>
      <c r="C375" s="36"/>
      <c r="J375" s="38"/>
    </row>
    <row r="376" spans="2:10" s="19" customFormat="1" x14ac:dyDescent="0.25">
      <c r="B376" s="35"/>
      <c r="C376" s="36"/>
      <c r="J376" s="38"/>
    </row>
    <row r="377" spans="2:10" s="19" customFormat="1" x14ac:dyDescent="0.25">
      <c r="B377" s="35"/>
      <c r="C377" s="36"/>
      <c r="J377" s="38"/>
    </row>
    <row r="378" spans="2:10" s="19" customFormat="1" x14ac:dyDescent="0.25">
      <c r="B378" s="35"/>
      <c r="C378" s="36"/>
      <c r="J378" s="38"/>
    </row>
    <row r="379" spans="2:10" s="19" customFormat="1" x14ac:dyDescent="0.25">
      <c r="B379" s="35"/>
      <c r="C379" s="36"/>
      <c r="J379" s="38"/>
    </row>
    <row r="380" spans="2:10" s="19" customFormat="1" x14ac:dyDescent="0.25">
      <c r="B380" s="35"/>
      <c r="C380" s="36"/>
      <c r="J380" s="38"/>
    </row>
    <row r="381" spans="2:10" s="19" customFormat="1" x14ac:dyDescent="0.25">
      <c r="B381" s="35"/>
      <c r="C381" s="36"/>
      <c r="J381" s="38"/>
    </row>
    <row r="382" spans="2:10" s="19" customFormat="1" x14ac:dyDescent="0.25">
      <c r="B382" s="35"/>
      <c r="C382" s="36"/>
      <c r="J382" s="38"/>
    </row>
    <row r="383" spans="2:10" s="19" customFormat="1" x14ac:dyDescent="0.25">
      <c r="B383" s="35"/>
      <c r="C383" s="36"/>
      <c r="J383" s="38"/>
    </row>
    <row r="384" spans="2:10" s="19" customFormat="1" x14ac:dyDescent="0.25">
      <c r="B384" s="35"/>
      <c r="C384" s="36"/>
      <c r="J384" s="38"/>
    </row>
    <row r="385" spans="2:10" s="19" customFormat="1" x14ac:dyDescent="0.25">
      <c r="B385" s="35"/>
      <c r="C385" s="36"/>
      <c r="J385" s="38"/>
    </row>
    <row r="386" spans="2:10" s="19" customFormat="1" x14ac:dyDescent="0.25">
      <c r="B386" s="35"/>
      <c r="C386" s="36"/>
      <c r="J386" s="38"/>
    </row>
    <row r="387" spans="2:10" s="19" customFormat="1" x14ac:dyDescent="0.25">
      <c r="B387" s="35"/>
      <c r="C387" s="36"/>
      <c r="J387" s="38"/>
    </row>
    <row r="388" spans="2:10" s="19" customFormat="1" x14ac:dyDescent="0.25">
      <c r="B388" s="35"/>
      <c r="C388" s="36"/>
      <c r="J388" s="38"/>
    </row>
    <row r="389" spans="2:10" s="19" customFormat="1" x14ac:dyDescent="0.25">
      <c r="B389" s="35"/>
      <c r="C389" s="36"/>
      <c r="J389" s="38"/>
    </row>
    <row r="390" spans="2:10" s="19" customFormat="1" x14ac:dyDescent="0.25">
      <c r="B390" s="35"/>
      <c r="C390" s="36"/>
      <c r="J390" s="38"/>
    </row>
    <row r="391" spans="2:10" s="19" customFormat="1" x14ac:dyDescent="0.25">
      <c r="B391" s="35"/>
      <c r="C391" s="36"/>
      <c r="J391" s="38"/>
    </row>
    <row r="392" spans="2:10" s="19" customFormat="1" x14ac:dyDescent="0.25">
      <c r="B392" s="35"/>
      <c r="C392" s="36"/>
      <c r="J392" s="38"/>
    </row>
    <row r="393" spans="2:10" s="19" customFormat="1" x14ac:dyDescent="0.25">
      <c r="B393" s="35"/>
      <c r="C393" s="36"/>
      <c r="J393" s="38"/>
    </row>
    <row r="394" spans="2:10" s="19" customFormat="1" x14ac:dyDescent="0.25">
      <c r="B394" s="35"/>
      <c r="C394" s="36"/>
      <c r="J394" s="38"/>
    </row>
    <row r="395" spans="2:10" s="19" customFormat="1" x14ac:dyDescent="0.25">
      <c r="B395" s="35"/>
      <c r="C395" s="36"/>
      <c r="J395" s="38"/>
    </row>
    <row r="396" spans="2:10" s="19" customFormat="1" x14ac:dyDescent="0.25">
      <c r="B396" s="35"/>
      <c r="C396" s="36"/>
      <c r="J396" s="38"/>
    </row>
    <row r="397" spans="2:10" s="19" customFormat="1" x14ac:dyDescent="0.25">
      <c r="B397" s="35"/>
      <c r="C397" s="36"/>
      <c r="J397" s="38"/>
    </row>
    <row r="398" spans="2:10" s="19" customFormat="1" x14ac:dyDescent="0.25">
      <c r="B398" s="35"/>
      <c r="C398" s="36"/>
      <c r="J398" s="38"/>
    </row>
    <row r="399" spans="2:10" s="19" customFormat="1" x14ac:dyDescent="0.25">
      <c r="B399" s="35"/>
      <c r="C399" s="36"/>
      <c r="J399" s="38"/>
    </row>
    <row r="400" spans="2:10" s="19" customFormat="1" x14ac:dyDescent="0.25">
      <c r="B400" s="35"/>
      <c r="C400" s="36"/>
      <c r="J400" s="38"/>
    </row>
    <row r="401" spans="2:10" s="19" customFormat="1" x14ac:dyDescent="0.25">
      <c r="B401" s="35"/>
      <c r="C401" s="36"/>
      <c r="J401" s="38"/>
    </row>
    <row r="402" spans="2:10" s="19" customFormat="1" x14ac:dyDescent="0.25">
      <c r="B402" s="35"/>
      <c r="C402" s="36"/>
      <c r="J402" s="38"/>
    </row>
    <row r="403" spans="2:10" s="19" customFormat="1" x14ac:dyDescent="0.25">
      <c r="B403" s="35"/>
      <c r="C403" s="36"/>
      <c r="J403" s="38"/>
    </row>
    <row r="404" spans="2:10" s="19" customFormat="1" x14ac:dyDescent="0.25">
      <c r="B404" s="35"/>
      <c r="C404" s="36"/>
      <c r="J404" s="38"/>
    </row>
    <row r="405" spans="2:10" s="19" customFormat="1" x14ac:dyDescent="0.25">
      <c r="B405" s="35"/>
      <c r="C405" s="36"/>
      <c r="J405" s="38"/>
    </row>
    <row r="406" spans="2:10" s="19" customFormat="1" x14ac:dyDescent="0.25">
      <c r="B406" s="35"/>
      <c r="C406" s="36"/>
      <c r="J406" s="38"/>
    </row>
    <row r="407" spans="2:10" s="19" customFormat="1" x14ac:dyDescent="0.25">
      <c r="B407" s="35"/>
      <c r="C407" s="36"/>
      <c r="J407" s="38"/>
    </row>
    <row r="408" spans="2:10" s="19" customFormat="1" x14ac:dyDescent="0.25">
      <c r="B408" s="35"/>
      <c r="C408" s="36"/>
      <c r="J408" s="38"/>
    </row>
    <row r="409" spans="2:10" s="19" customFormat="1" x14ac:dyDescent="0.25">
      <c r="B409" s="35"/>
      <c r="C409" s="36"/>
      <c r="J409" s="38"/>
    </row>
    <row r="410" spans="2:10" s="19" customFormat="1" x14ac:dyDescent="0.25">
      <c r="B410" s="35"/>
      <c r="C410" s="36"/>
      <c r="J410" s="38"/>
    </row>
    <row r="411" spans="2:10" s="19" customFormat="1" x14ac:dyDescent="0.25">
      <c r="B411" s="35"/>
      <c r="C411" s="36"/>
      <c r="J411" s="38"/>
    </row>
    <row r="412" spans="2:10" s="19" customFormat="1" x14ac:dyDescent="0.25">
      <c r="B412" s="35"/>
      <c r="C412" s="36"/>
      <c r="J412" s="38"/>
    </row>
    <row r="413" spans="2:10" s="19" customFormat="1" x14ac:dyDescent="0.25">
      <c r="B413" s="35"/>
      <c r="C413" s="36"/>
      <c r="J413" s="38"/>
    </row>
    <row r="414" spans="2:10" s="19" customFormat="1" x14ac:dyDescent="0.25">
      <c r="B414" s="35"/>
      <c r="C414" s="36"/>
      <c r="J414" s="38"/>
    </row>
    <row r="415" spans="2:10" s="19" customFormat="1" x14ac:dyDescent="0.25">
      <c r="B415" s="35"/>
      <c r="C415" s="36"/>
      <c r="J415" s="38"/>
    </row>
    <row r="416" spans="2:10" s="19" customFormat="1" x14ac:dyDescent="0.25">
      <c r="B416" s="35"/>
      <c r="C416" s="36"/>
      <c r="J416" s="38"/>
    </row>
    <row r="417" spans="2:10" s="19" customFormat="1" x14ac:dyDescent="0.25">
      <c r="B417" s="35"/>
      <c r="C417" s="36"/>
      <c r="J417" s="38"/>
    </row>
    <row r="418" spans="2:10" s="19" customFormat="1" x14ac:dyDescent="0.25">
      <c r="B418" s="35"/>
      <c r="C418" s="36"/>
      <c r="J418" s="38"/>
    </row>
    <row r="419" spans="2:10" s="19" customFormat="1" x14ac:dyDescent="0.25">
      <c r="B419" s="35"/>
      <c r="C419" s="36"/>
      <c r="J419" s="38"/>
    </row>
    <row r="420" spans="2:10" s="19" customFormat="1" x14ac:dyDescent="0.25">
      <c r="B420" s="35"/>
      <c r="C420" s="36"/>
      <c r="J420" s="38"/>
    </row>
    <row r="421" spans="2:10" s="19" customFormat="1" x14ac:dyDescent="0.25">
      <c r="B421" s="35"/>
      <c r="C421" s="36"/>
      <c r="J421" s="38"/>
    </row>
    <row r="422" spans="2:10" s="19" customFormat="1" x14ac:dyDescent="0.25">
      <c r="B422" s="35"/>
      <c r="C422" s="36"/>
      <c r="J422" s="38"/>
    </row>
    <row r="423" spans="2:10" s="19" customFormat="1" x14ac:dyDescent="0.25">
      <c r="B423" s="35"/>
      <c r="C423" s="36"/>
      <c r="J423" s="38"/>
    </row>
    <row r="424" spans="2:10" s="19" customFormat="1" x14ac:dyDescent="0.25">
      <c r="B424" s="35"/>
      <c r="C424" s="36"/>
      <c r="J424" s="38"/>
    </row>
    <row r="425" spans="2:10" s="19" customFormat="1" x14ac:dyDescent="0.25">
      <c r="B425" s="35"/>
      <c r="C425" s="36"/>
      <c r="J425" s="38"/>
    </row>
    <row r="426" spans="2:10" s="19" customFormat="1" x14ac:dyDescent="0.25">
      <c r="B426" s="35"/>
      <c r="C426" s="36"/>
      <c r="J426" s="38"/>
    </row>
    <row r="427" spans="2:10" s="19" customFormat="1" x14ac:dyDescent="0.25">
      <c r="B427" s="35"/>
      <c r="C427" s="36"/>
      <c r="J427" s="38"/>
    </row>
    <row r="428" spans="2:10" s="19" customFormat="1" x14ac:dyDescent="0.25">
      <c r="B428" s="35"/>
      <c r="C428" s="36"/>
      <c r="J428" s="38"/>
    </row>
    <row r="429" spans="2:10" s="19" customFormat="1" x14ac:dyDescent="0.25">
      <c r="B429" s="35"/>
      <c r="C429" s="36"/>
      <c r="J429" s="38"/>
    </row>
    <row r="430" spans="2:10" s="19" customFormat="1" x14ac:dyDescent="0.25">
      <c r="B430" s="35"/>
      <c r="C430" s="36"/>
      <c r="J430" s="38"/>
    </row>
    <row r="431" spans="2:10" s="19" customFormat="1" x14ac:dyDescent="0.25">
      <c r="B431" s="35"/>
      <c r="C431" s="36"/>
      <c r="J431" s="38"/>
    </row>
    <row r="432" spans="2:10" s="19" customFormat="1" x14ac:dyDescent="0.25">
      <c r="B432" s="35"/>
      <c r="C432" s="36"/>
      <c r="J432" s="38"/>
    </row>
    <row r="433" spans="2:10" s="19" customFormat="1" x14ac:dyDescent="0.25">
      <c r="B433" s="35"/>
      <c r="C433" s="36"/>
      <c r="J433" s="38"/>
    </row>
    <row r="434" spans="2:10" s="19" customFormat="1" x14ac:dyDescent="0.25">
      <c r="B434" s="35"/>
      <c r="C434" s="36"/>
      <c r="J434" s="38"/>
    </row>
    <row r="435" spans="2:10" s="19" customFormat="1" x14ac:dyDescent="0.25">
      <c r="B435" s="35"/>
      <c r="C435" s="36"/>
      <c r="J435" s="38"/>
    </row>
    <row r="436" spans="2:10" s="19" customFormat="1" x14ac:dyDescent="0.25">
      <c r="B436" s="35"/>
      <c r="C436" s="36"/>
      <c r="J436" s="38"/>
    </row>
    <row r="437" spans="2:10" s="19" customFormat="1" x14ac:dyDescent="0.25">
      <c r="B437" s="35"/>
      <c r="C437" s="36"/>
      <c r="J437" s="38"/>
    </row>
    <row r="438" spans="2:10" s="19" customFormat="1" x14ac:dyDescent="0.25">
      <c r="B438" s="35"/>
      <c r="C438" s="36"/>
      <c r="J438" s="38"/>
    </row>
    <row r="439" spans="2:10" s="19" customFormat="1" x14ac:dyDescent="0.25">
      <c r="B439" s="35"/>
      <c r="C439" s="36"/>
      <c r="J439" s="38"/>
    </row>
    <row r="440" spans="2:10" s="19" customFormat="1" x14ac:dyDescent="0.25">
      <c r="B440" s="35"/>
      <c r="C440" s="36"/>
      <c r="J440" s="38"/>
    </row>
    <row r="441" spans="2:10" s="19" customFormat="1" x14ac:dyDescent="0.25">
      <c r="B441" s="35"/>
      <c r="C441" s="36"/>
      <c r="J441" s="38"/>
    </row>
    <row r="442" spans="2:10" s="19" customFormat="1" x14ac:dyDescent="0.25">
      <c r="B442" s="35"/>
      <c r="C442" s="36"/>
      <c r="J442" s="38"/>
    </row>
    <row r="443" spans="2:10" s="19" customFormat="1" x14ac:dyDescent="0.25">
      <c r="B443" s="35"/>
      <c r="C443" s="36"/>
      <c r="J443" s="38"/>
    </row>
    <row r="444" spans="2:10" s="19" customFormat="1" x14ac:dyDescent="0.25">
      <c r="B444" s="35"/>
      <c r="C444" s="36"/>
      <c r="J444" s="38"/>
    </row>
    <row r="445" spans="2:10" s="19" customFormat="1" x14ac:dyDescent="0.25">
      <c r="B445" s="35"/>
      <c r="C445" s="36"/>
      <c r="J445" s="38"/>
    </row>
    <row r="446" spans="2:10" s="19" customFormat="1" x14ac:dyDescent="0.25">
      <c r="B446" s="35"/>
      <c r="C446" s="36"/>
      <c r="J446" s="38"/>
    </row>
    <row r="447" spans="2:10" s="19" customFormat="1" x14ac:dyDescent="0.25">
      <c r="B447" s="35"/>
      <c r="C447" s="36"/>
      <c r="J447" s="38"/>
    </row>
    <row r="448" spans="2:10" s="19" customFormat="1" x14ac:dyDescent="0.25">
      <c r="B448" s="35"/>
      <c r="C448" s="36"/>
      <c r="J448" s="38"/>
    </row>
    <row r="449" spans="2:10" s="19" customFormat="1" x14ac:dyDescent="0.25">
      <c r="B449" s="35"/>
      <c r="C449" s="36"/>
      <c r="J449" s="38"/>
    </row>
    <row r="450" spans="2:10" s="19" customFormat="1" x14ac:dyDescent="0.25">
      <c r="B450" s="35"/>
      <c r="C450" s="36"/>
      <c r="J450" s="38"/>
    </row>
    <row r="451" spans="2:10" s="19" customFormat="1" x14ac:dyDescent="0.25">
      <c r="B451" s="35"/>
      <c r="C451" s="36"/>
      <c r="J451" s="38"/>
    </row>
    <row r="452" spans="2:10" s="19" customFormat="1" x14ac:dyDescent="0.25">
      <c r="B452" s="35"/>
      <c r="C452" s="36"/>
      <c r="J452" s="38"/>
    </row>
    <row r="453" spans="2:10" s="19" customFormat="1" x14ac:dyDescent="0.25">
      <c r="B453" s="35"/>
      <c r="C453" s="36"/>
      <c r="J453" s="38"/>
    </row>
    <row r="454" spans="2:10" s="19" customFormat="1" x14ac:dyDescent="0.25">
      <c r="B454" s="35"/>
      <c r="C454" s="36"/>
      <c r="J454" s="38"/>
    </row>
    <row r="455" spans="2:10" s="19" customFormat="1" x14ac:dyDescent="0.25">
      <c r="B455" s="35"/>
      <c r="C455" s="36"/>
      <c r="J455" s="38"/>
    </row>
    <row r="456" spans="2:10" s="19" customFormat="1" x14ac:dyDescent="0.25">
      <c r="B456" s="35"/>
      <c r="C456" s="36"/>
      <c r="J456" s="38"/>
    </row>
    <row r="457" spans="2:10" s="19" customFormat="1" x14ac:dyDescent="0.25">
      <c r="B457" s="35"/>
      <c r="C457" s="36"/>
      <c r="J457" s="38"/>
    </row>
    <row r="458" spans="2:10" s="19" customFormat="1" x14ac:dyDescent="0.25">
      <c r="B458" s="35"/>
      <c r="C458" s="36"/>
      <c r="J458" s="38"/>
    </row>
    <row r="459" spans="2:10" s="19" customFormat="1" x14ac:dyDescent="0.25">
      <c r="B459" s="35"/>
      <c r="C459" s="36"/>
      <c r="J459" s="38"/>
    </row>
    <row r="460" spans="2:10" s="19" customFormat="1" x14ac:dyDescent="0.25">
      <c r="B460" s="35"/>
      <c r="C460" s="36"/>
      <c r="J460" s="38"/>
    </row>
    <row r="461" spans="2:10" s="19" customFormat="1" x14ac:dyDescent="0.25">
      <c r="B461" s="35"/>
      <c r="C461" s="36"/>
      <c r="J461" s="38"/>
    </row>
    <row r="462" spans="2:10" s="19" customFormat="1" x14ac:dyDescent="0.25">
      <c r="B462" s="35"/>
      <c r="C462" s="36"/>
      <c r="J462" s="38"/>
    </row>
    <row r="463" spans="2:10" s="19" customFormat="1" x14ac:dyDescent="0.25">
      <c r="B463" s="35"/>
      <c r="C463" s="36"/>
      <c r="J463" s="38"/>
    </row>
    <row r="464" spans="2:10" s="19" customFormat="1" x14ac:dyDescent="0.25">
      <c r="B464" s="35"/>
      <c r="C464" s="36"/>
      <c r="J464" s="38"/>
    </row>
    <row r="465" spans="2:10" s="19" customFormat="1" x14ac:dyDescent="0.25">
      <c r="B465" s="35"/>
      <c r="C465" s="36"/>
      <c r="J465" s="38"/>
    </row>
    <row r="466" spans="2:10" s="19" customFormat="1" x14ac:dyDescent="0.25">
      <c r="B466" s="35"/>
      <c r="C466" s="36"/>
      <c r="J466" s="38"/>
    </row>
    <row r="467" spans="2:10" s="19" customFormat="1" x14ac:dyDescent="0.25">
      <c r="B467" s="35"/>
      <c r="C467" s="36"/>
      <c r="J467" s="38"/>
    </row>
    <row r="468" spans="2:10" s="19" customFormat="1" x14ac:dyDescent="0.25">
      <c r="B468" s="35"/>
      <c r="C468" s="36"/>
      <c r="J468" s="38"/>
    </row>
    <row r="469" spans="2:10" s="19" customFormat="1" x14ac:dyDescent="0.25">
      <c r="B469" s="35"/>
      <c r="C469" s="36"/>
      <c r="J469" s="38"/>
    </row>
    <row r="470" spans="2:10" s="19" customFormat="1" x14ac:dyDescent="0.25">
      <c r="B470" s="35"/>
      <c r="C470" s="36"/>
      <c r="J470" s="38"/>
    </row>
    <row r="471" spans="2:10" s="19" customFormat="1" x14ac:dyDescent="0.25">
      <c r="B471" s="35"/>
      <c r="C471" s="36"/>
      <c r="J471" s="38"/>
    </row>
    <row r="472" spans="2:10" s="19" customFormat="1" x14ac:dyDescent="0.25">
      <c r="B472" s="35"/>
      <c r="C472" s="36"/>
      <c r="J472" s="38"/>
    </row>
    <row r="473" spans="2:10" s="19" customFormat="1" x14ac:dyDescent="0.25">
      <c r="B473" s="35"/>
      <c r="C473" s="36"/>
      <c r="J473" s="38"/>
    </row>
    <row r="474" spans="2:10" s="19" customFormat="1" x14ac:dyDescent="0.25">
      <c r="B474" s="35"/>
      <c r="C474" s="36"/>
      <c r="J474" s="38"/>
    </row>
    <row r="475" spans="2:10" s="19" customFormat="1" x14ac:dyDescent="0.25">
      <c r="B475" s="35"/>
      <c r="C475" s="36"/>
      <c r="J475" s="38"/>
    </row>
    <row r="476" spans="2:10" s="19" customFormat="1" x14ac:dyDescent="0.25">
      <c r="B476" s="35"/>
      <c r="C476" s="36"/>
      <c r="J476" s="38"/>
    </row>
    <row r="477" spans="2:10" s="19" customFormat="1" x14ac:dyDescent="0.25">
      <c r="B477" s="35"/>
      <c r="C477" s="36"/>
      <c r="J477" s="38"/>
    </row>
    <row r="478" spans="2:10" s="19" customFormat="1" x14ac:dyDescent="0.25">
      <c r="B478" s="35"/>
      <c r="C478" s="36"/>
      <c r="J478" s="38"/>
    </row>
    <row r="479" spans="2:10" s="19" customFormat="1" x14ac:dyDescent="0.25">
      <c r="B479" s="35"/>
      <c r="C479" s="36"/>
      <c r="J479" s="38"/>
    </row>
    <row r="480" spans="2:10" s="19" customFormat="1" x14ac:dyDescent="0.25">
      <c r="B480" s="35"/>
      <c r="C480" s="36"/>
      <c r="J480" s="38"/>
    </row>
    <row r="481" spans="2:10" s="19" customFormat="1" x14ac:dyDescent="0.25">
      <c r="B481" s="35"/>
      <c r="C481" s="36"/>
      <c r="J481" s="38"/>
    </row>
    <row r="482" spans="2:10" s="19" customFormat="1" x14ac:dyDescent="0.25">
      <c r="B482" s="35"/>
      <c r="C482" s="36"/>
      <c r="J482" s="38"/>
    </row>
    <row r="483" spans="2:10" s="19" customFormat="1" x14ac:dyDescent="0.25">
      <c r="B483" s="35"/>
      <c r="C483" s="36"/>
      <c r="J483" s="38"/>
    </row>
    <row r="484" spans="2:10" s="19" customFormat="1" x14ac:dyDescent="0.25">
      <c r="B484" s="35"/>
      <c r="C484" s="36"/>
      <c r="J484" s="38"/>
    </row>
    <row r="485" spans="2:10" s="19" customFormat="1" x14ac:dyDescent="0.25">
      <c r="B485" s="35"/>
      <c r="C485" s="36"/>
      <c r="J485" s="38"/>
    </row>
    <row r="486" spans="2:10" s="19" customFormat="1" x14ac:dyDescent="0.25">
      <c r="B486" s="35"/>
      <c r="C486" s="36"/>
      <c r="J486" s="38"/>
    </row>
    <row r="487" spans="2:10" s="19" customFormat="1" x14ac:dyDescent="0.25">
      <c r="B487" s="35"/>
      <c r="C487" s="36"/>
      <c r="J487" s="38"/>
    </row>
    <row r="488" spans="2:10" s="19" customFormat="1" x14ac:dyDescent="0.25">
      <c r="B488" s="35"/>
      <c r="C488" s="36"/>
      <c r="J488" s="38"/>
    </row>
    <row r="489" spans="2:10" s="19" customFormat="1" x14ac:dyDescent="0.25">
      <c r="B489" s="35"/>
      <c r="C489" s="36"/>
      <c r="J489" s="38"/>
    </row>
    <row r="490" spans="2:10" s="19" customFormat="1" x14ac:dyDescent="0.25">
      <c r="B490" s="35"/>
      <c r="C490" s="36"/>
      <c r="J490" s="38"/>
    </row>
    <row r="491" spans="2:10" s="19" customFormat="1" x14ac:dyDescent="0.25">
      <c r="B491" s="35"/>
      <c r="C491" s="36"/>
      <c r="J491" s="38"/>
    </row>
    <row r="492" spans="2:10" s="19" customFormat="1" x14ac:dyDescent="0.25">
      <c r="B492" s="35"/>
      <c r="C492" s="36"/>
      <c r="J492" s="38"/>
    </row>
    <row r="493" spans="2:10" s="19" customFormat="1" x14ac:dyDescent="0.25">
      <c r="B493" s="35"/>
      <c r="C493" s="36"/>
      <c r="J493" s="38"/>
    </row>
    <row r="494" spans="2:10" s="19" customFormat="1" x14ac:dyDescent="0.25">
      <c r="B494" s="35"/>
      <c r="C494" s="36"/>
      <c r="J494" s="38"/>
    </row>
    <row r="495" spans="2:10" s="19" customFormat="1" x14ac:dyDescent="0.25">
      <c r="B495" s="35"/>
      <c r="C495" s="36"/>
      <c r="J495" s="38"/>
    </row>
    <row r="496" spans="2:10" s="19" customFormat="1" x14ac:dyDescent="0.25">
      <c r="B496" s="35"/>
      <c r="C496" s="36"/>
      <c r="J496" s="38"/>
    </row>
    <row r="497" spans="2:10" s="19" customFormat="1" x14ac:dyDescent="0.25">
      <c r="B497" s="35"/>
      <c r="C497" s="36"/>
      <c r="J497" s="38"/>
    </row>
    <row r="498" spans="2:10" s="19" customFormat="1" x14ac:dyDescent="0.25">
      <c r="B498" s="35"/>
      <c r="C498" s="36"/>
      <c r="J498" s="38"/>
    </row>
    <row r="499" spans="2:10" s="19" customFormat="1" x14ac:dyDescent="0.25">
      <c r="B499" s="35"/>
      <c r="C499" s="36"/>
      <c r="J499" s="38"/>
    </row>
    <row r="500" spans="2:10" s="19" customFormat="1" x14ac:dyDescent="0.25">
      <c r="B500" s="35"/>
      <c r="C500" s="36"/>
      <c r="J500" s="38"/>
    </row>
    <row r="501" spans="2:10" s="19" customFormat="1" x14ac:dyDescent="0.25">
      <c r="B501" s="35"/>
      <c r="C501" s="36"/>
      <c r="J501" s="38"/>
    </row>
    <row r="502" spans="2:10" s="19" customFormat="1" x14ac:dyDescent="0.25">
      <c r="B502" s="35"/>
      <c r="C502" s="36"/>
      <c r="J502" s="38"/>
    </row>
    <row r="503" spans="2:10" s="19" customFormat="1" x14ac:dyDescent="0.25">
      <c r="B503" s="35"/>
      <c r="C503" s="36"/>
      <c r="J503" s="38"/>
    </row>
    <row r="504" spans="2:10" s="19" customFormat="1" x14ac:dyDescent="0.25">
      <c r="B504" s="35"/>
      <c r="C504" s="36"/>
      <c r="J504" s="38"/>
    </row>
    <row r="505" spans="2:10" s="19" customFormat="1" x14ac:dyDescent="0.25">
      <c r="B505" s="35"/>
      <c r="C505" s="36"/>
      <c r="J505" s="38"/>
    </row>
    <row r="506" spans="2:10" s="19" customFormat="1" x14ac:dyDescent="0.25">
      <c r="B506" s="35"/>
      <c r="C506" s="36"/>
      <c r="J506" s="38"/>
    </row>
    <row r="507" spans="2:10" s="19" customFormat="1" x14ac:dyDescent="0.25">
      <c r="B507" s="35"/>
      <c r="C507" s="36"/>
      <c r="J507" s="38"/>
    </row>
    <row r="508" spans="2:10" s="19" customFormat="1" x14ac:dyDescent="0.25">
      <c r="B508" s="35"/>
      <c r="C508" s="36"/>
      <c r="J508" s="38"/>
    </row>
    <row r="509" spans="2:10" s="19" customFormat="1" x14ac:dyDescent="0.25">
      <c r="B509" s="35"/>
      <c r="C509" s="36"/>
      <c r="J509" s="38"/>
    </row>
    <row r="510" spans="2:10" s="19" customFormat="1" x14ac:dyDescent="0.25">
      <c r="B510" s="35"/>
      <c r="C510" s="36"/>
      <c r="J510" s="38"/>
    </row>
    <row r="511" spans="2:10" s="19" customFormat="1" x14ac:dyDescent="0.25">
      <c r="B511" s="35"/>
      <c r="C511" s="36"/>
      <c r="J511" s="38"/>
    </row>
    <row r="512" spans="2:10" s="19" customFormat="1" x14ac:dyDescent="0.25">
      <c r="B512" s="35"/>
      <c r="C512" s="36"/>
      <c r="J512" s="38"/>
    </row>
    <row r="513" spans="2:10" s="19" customFormat="1" x14ac:dyDescent="0.25">
      <c r="B513" s="35"/>
      <c r="C513" s="36"/>
      <c r="J513" s="38"/>
    </row>
    <row r="514" spans="2:10" s="19" customFormat="1" x14ac:dyDescent="0.25">
      <c r="B514" s="35"/>
      <c r="C514" s="36"/>
      <c r="J514" s="38"/>
    </row>
    <row r="515" spans="2:10" s="19" customFormat="1" x14ac:dyDescent="0.25">
      <c r="B515" s="35"/>
      <c r="C515" s="36"/>
      <c r="J515" s="38"/>
    </row>
    <row r="516" spans="2:10" s="19" customFormat="1" x14ac:dyDescent="0.25">
      <c r="B516" s="35"/>
      <c r="C516" s="36"/>
      <c r="J516" s="38"/>
    </row>
    <row r="517" spans="2:10" s="19" customFormat="1" x14ac:dyDescent="0.25">
      <c r="B517" s="35"/>
      <c r="C517" s="36"/>
      <c r="J517" s="38"/>
    </row>
    <row r="518" spans="2:10" s="19" customFormat="1" x14ac:dyDescent="0.25">
      <c r="B518" s="35"/>
      <c r="C518" s="36"/>
      <c r="J518" s="38"/>
    </row>
    <row r="519" spans="2:10" s="19" customFormat="1" x14ac:dyDescent="0.25">
      <c r="B519" s="35"/>
      <c r="C519" s="36"/>
      <c r="J519" s="38"/>
    </row>
    <row r="520" spans="2:10" s="19" customFormat="1" x14ac:dyDescent="0.25">
      <c r="B520" s="35"/>
      <c r="C520" s="36"/>
      <c r="J520" s="38"/>
    </row>
    <row r="521" spans="2:10" s="19" customFormat="1" x14ac:dyDescent="0.25">
      <c r="B521" s="35"/>
      <c r="C521" s="36"/>
      <c r="J521" s="38"/>
    </row>
    <row r="522" spans="2:10" s="19" customFormat="1" x14ac:dyDescent="0.25">
      <c r="B522" s="35"/>
      <c r="C522" s="36"/>
      <c r="J522" s="38"/>
    </row>
    <row r="523" spans="2:10" s="19" customFormat="1" x14ac:dyDescent="0.25">
      <c r="B523" s="35"/>
      <c r="C523" s="36"/>
      <c r="J523" s="38"/>
    </row>
    <row r="524" spans="2:10" s="19" customFormat="1" x14ac:dyDescent="0.25">
      <c r="B524" s="35"/>
      <c r="C524" s="36"/>
      <c r="J524" s="38"/>
    </row>
    <row r="525" spans="2:10" s="19" customFormat="1" x14ac:dyDescent="0.25">
      <c r="B525" s="35"/>
      <c r="C525" s="36"/>
      <c r="J525" s="38"/>
    </row>
    <row r="526" spans="2:10" s="19" customFormat="1" x14ac:dyDescent="0.25">
      <c r="B526" s="35"/>
      <c r="C526" s="36"/>
      <c r="J526" s="38"/>
    </row>
    <row r="527" spans="2:10" s="19" customFormat="1" x14ac:dyDescent="0.25">
      <c r="B527" s="35"/>
      <c r="C527" s="36"/>
      <c r="J527" s="38"/>
    </row>
    <row r="528" spans="2:10" s="19" customFormat="1" x14ac:dyDescent="0.25">
      <c r="B528" s="35"/>
      <c r="C528" s="36"/>
      <c r="J528" s="38"/>
    </row>
    <row r="529" spans="2:10" s="19" customFormat="1" x14ac:dyDescent="0.25">
      <c r="B529" s="35"/>
      <c r="C529" s="36"/>
      <c r="J529" s="38"/>
    </row>
    <row r="530" spans="2:10" s="19" customFormat="1" x14ac:dyDescent="0.25">
      <c r="B530" s="35"/>
      <c r="C530" s="36"/>
      <c r="J530" s="38"/>
    </row>
    <row r="531" spans="2:10" s="19" customFormat="1" x14ac:dyDescent="0.25">
      <c r="B531" s="35"/>
      <c r="C531" s="36"/>
      <c r="J531" s="38"/>
    </row>
    <row r="532" spans="2:10" s="19" customFormat="1" x14ac:dyDescent="0.25">
      <c r="B532" s="35"/>
      <c r="C532" s="36"/>
      <c r="J532" s="38"/>
    </row>
    <row r="533" spans="2:10" s="19" customFormat="1" x14ac:dyDescent="0.25">
      <c r="B533" s="35"/>
      <c r="C533" s="36"/>
      <c r="J533" s="38"/>
    </row>
    <row r="534" spans="2:10" s="19" customFormat="1" x14ac:dyDescent="0.25">
      <c r="B534" s="35"/>
      <c r="C534" s="36"/>
      <c r="J534" s="38"/>
    </row>
    <row r="535" spans="2:10" s="19" customFormat="1" x14ac:dyDescent="0.25">
      <c r="B535" s="35"/>
      <c r="C535" s="36"/>
      <c r="J535" s="38"/>
    </row>
    <row r="536" spans="2:10" s="19" customFormat="1" x14ac:dyDescent="0.25">
      <c r="B536" s="35"/>
      <c r="C536" s="36"/>
      <c r="J536" s="38"/>
    </row>
    <row r="537" spans="2:10" s="19" customFormat="1" x14ac:dyDescent="0.25">
      <c r="B537" s="35"/>
      <c r="C537" s="36"/>
      <c r="J537" s="38"/>
    </row>
    <row r="538" spans="2:10" s="19" customFormat="1" x14ac:dyDescent="0.25">
      <c r="B538" s="35"/>
      <c r="C538" s="36"/>
      <c r="J538" s="38"/>
    </row>
    <row r="539" spans="2:10" s="19" customFormat="1" x14ac:dyDescent="0.25">
      <c r="B539" s="35"/>
      <c r="C539" s="36"/>
      <c r="J539" s="38"/>
    </row>
    <row r="540" spans="2:10" s="19" customFormat="1" x14ac:dyDescent="0.25">
      <c r="B540" s="35"/>
      <c r="C540" s="36"/>
      <c r="J540" s="38"/>
    </row>
    <row r="541" spans="2:10" s="19" customFormat="1" x14ac:dyDescent="0.25">
      <c r="B541" s="35"/>
      <c r="C541" s="36"/>
      <c r="J541" s="38"/>
    </row>
    <row r="542" spans="2:10" s="19" customFormat="1" x14ac:dyDescent="0.25">
      <c r="B542" s="35"/>
      <c r="C542" s="36"/>
      <c r="J542" s="38"/>
    </row>
    <row r="543" spans="2:10" s="19" customFormat="1" x14ac:dyDescent="0.25">
      <c r="B543" s="35"/>
      <c r="C543" s="36"/>
      <c r="J543" s="38"/>
    </row>
    <row r="544" spans="2:10" s="19" customFormat="1" x14ac:dyDescent="0.25">
      <c r="B544" s="35"/>
      <c r="C544" s="36"/>
      <c r="J544" s="38"/>
    </row>
    <row r="545" spans="2:10" s="19" customFormat="1" x14ac:dyDescent="0.25">
      <c r="B545" s="35"/>
      <c r="C545" s="36"/>
      <c r="J545" s="38"/>
    </row>
    <row r="546" spans="2:10" s="19" customFormat="1" x14ac:dyDescent="0.25">
      <c r="B546" s="35"/>
      <c r="C546" s="36"/>
      <c r="J546" s="38"/>
    </row>
    <row r="547" spans="2:10" s="19" customFormat="1" x14ac:dyDescent="0.25">
      <c r="B547" s="35"/>
      <c r="C547" s="36"/>
      <c r="J547" s="38"/>
    </row>
    <row r="548" spans="2:10" s="19" customFormat="1" x14ac:dyDescent="0.25">
      <c r="B548" s="35"/>
      <c r="C548" s="36"/>
      <c r="J548" s="38"/>
    </row>
    <row r="549" spans="2:10" s="19" customFormat="1" x14ac:dyDescent="0.25">
      <c r="B549" s="35"/>
      <c r="C549" s="36"/>
      <c r="J549" s="38"/>
    </row>
    <row r="550" spans="2:10" s="19" customFormat="1" x14ac:dyDescent="0.25">
      <c r="B550" s="35"/>
      <c r="C550" s="36"/>
      <c r="J550" s="38"/>
    </row>
    <row r="551" spans="2:10" s="19" customFormat="1" x14ac:dyDescent="0.25">
      <c r="B551" s="35"/>
      <c r="C551" s="36"/>
      <c r="J551" s="38"/>
    </row>
    <row r="552" spans="2:10" s="19" customFormat="1" x14ac:dyDescent="0.25">
      <c r="B552" s="35"/>
      <c r="C552" s="36"/>
      <c r="J552" s="38"/>
    </row>
    <row r="553" spans="2:10" s="19" customFormat="1" x14ac:dyDescent="0.25">
      <c r="B553" s="35"/>
      <c r="C553" s="36"/>
      <c r="J553" s="38"/>
    </row>
    <row r="554" spans="2:10" s="19" customFormat="1" x14ac:dyDescent="0.25">
      <c r="B554" s="35"/>
      <c r="C554" s="36"/>
      <c r="J554" s="38"/>
    </row>
    <row r="555" spans="2:10" s="19" customFormat="1" x14ac:dyDescent="0.25">
      <c r="B555" s="35"/>
      <c r="C555" s="36"/>
      <c r="J555" s="38"/>
    </row>
    <row r="556" spans="2:10" s="19" customFormat="1" x14ac:dyDescent="0.25">
      <c r="B556" s="35"/>
      <c r="C556" s="36"/>
      <c r="J556" s="38"/>
    </row>
    <row r="557" spans="2:10" s="19" customFormat="1" x14ac:dyDescent="0.25">
      <c r="B557" s="35"/>
      <c r="C557" s="36"/>
      <c r="J557" s="38"/>
    </row>
    <row r="558" spans="2:10" s="19" customFormat="1" x14ac:dyDescent="0.25">
      <c r="B558" s="35"/>
      <c r="C558" s="36"/>
      <c r="J558" s="38"/>
    </row>
    <row r="559" spans="2:10" s="19" customFormat="1" x14ac:dyDescent="0.25">
      <c r="B559" s="35"/>
      <c r="C559" s="36"/>
      <c r="J559" s="38"/>
    </row>
    <row r="560" spans="2:10" s="19" customFormat="1" x14ac:dyDescent="0.25">
      <c r="B560" s="35"/>
      <c r="C560" s="36"/>
      <c r="J560" s="38"/>
    </row>
    <row r="561" spans="2:10" s="19" customFormat="1" x14ac:dyDescent="0.25">
      <c r="B561" s="35"/>
      <c r="C561" s="36"/>
      <c r="J561" s="38"/>
    </row>
    <row r="562" spans="2:10" s="19" customFormat="1" x14ac:dyDescent="0.25">
      <c r="B562" s="35"/>
      <c r="C562" s="36"/>
      <c r="J562" s="38"/>
    </row>
    <row r="563" spans="2:10" s="19" customFormat="1" x14ac:dyDescent="0.25">
      <c r="B563" s="35"/>
      <c r="C563" s="36"/>
      <c r="J563" s="38"/>
    </row>
    <row r="564" spans="2:10" s="19" customFormat="1" x14ac:dyDescent="0.25">
      <c r="B564" s="35"/>
      <c r="C564" s="36"/>
      <c r="J564" s="38"/>
    </row>
    <row r="565" spans="2:10" s="19" customFormat="1" x14ac:dyDescent="0.25">
      <c r="B565" s="35"/>
      <c r="C565" s="36"/>
      <c r="J565" s="38"/>
    </row>
    <row r="566" spans="2:10" s="19" customFormat="1" x14ac:dyDescent="0.25">
      <c r="B566" s="35"/>
      <c r="C566" s="36"/>
      <c r="J566" s="38"/>
    </row>
    <row r="567" spans="2:10" s="19" customFormat="1" x14ac:dyDescent="0.25">
      <c r="B567" s="35"/>
      <c r="C567" s="36"/>
      <c r="J567" s="38"/>
    </row>
    <row r="568" spans="2:10" s="19" customFormat="1" x14ac:dyDescent="0.25">
      <c r="B568" s="35"/>
      <c r="C568" s="36"/>
      <c r="J568" s="38"/>
    </row>
    <row r="569" spans="2:10" s="19" customFormat="1" x14ac:dyDescent="0.25">
      <c r="B569" s="35"/>
      <c r="C569" s="36"/>
      <c r="J569" s="38"/>
    </row>
    <row r="570" spans="2:10" s="19" customFormat="1" x14ac:dyDescent="0.25">
      <c r="B570" s="35"/>
      <c r="C570" s="36"/>
      <c r="J570" s="38"/>
    </row>
    <row r="571" spans="2:10" s="19" customFormat="1" x14ac:dyDescent="0.25">
      <c r="B571" s="35"/>
      <c r="C571" s="36"/>
      <c r="J571" s="38"/>
    </row>
    <row r="572" spans="2:10" s="19" customFormat="1" x14ac:dyDescent="0.25">
      <c r="B572" s="35"/>
      <c r="C572" s="36"/>
      <c r="J572" s="38"/>
    </row>
    <row r="573" spans="2:10" s="19" customFormat="1" x14ac:dyDescent="0.25">
      <c r="B573" s="35"/>
      <c r="C573" s="36"/>
      <c r="J573" s="38"/>
    </row>
    <row r="574" spans="2:10" s="19" customFormat="1" x14ac:dyDescent="0.25">
      <c r="B574" s="35"/>
      <c r="C574" s="36"/>
      <c r="J574" s="38"/>
    </row>
    <row r="575" spans="2:10" s="19" customFormat="1" x14ac:dyDescent="0.25">
      <c r="B575" s="35"/>
      <c r="C575" s="36"/>
      <c r="J575" s="38"/>
    </row>
    <row r="576" spans="2:10" s="19" customFormat="1" x14ac:dyDescent="0.25">
      <c r="B576" s="35"/>
      <c r="C576" s="36"/>
      <c r="J576" s="38"/>
    </row>
    <row r="577" spans="2:10" s="19" customFormat="1" x14ac:dyDescent="0.25">
      <c r="B577" s="35"/>
      <c r="C577" s="36"/>
      <c r="J577" s="38"/>
    </row>
    <row r="578" spans="2:10" s="19" customFormat="1" x14ac:dyDescent="0.25">
      <c r="B578" s="35"/>
      <c r="C578" s="36"/>
      <c r="J578" s="38"/>
    </row>
    <row r="579" spans="2:10" s="19" customFormat="1" x14ac:dyDescent="0.25">
      <c r="B579" s="35"/>
      <c r="C579" s="36"/>
      <c r="J579" s="38"/>
    </row>
    <row r="580" spans="2:10" s="19" customFormat="1" x14ac:dyDescent="0.25">
      <c r="B580" s="35"/>
      <c r="C580" s="36"/>
      <c r="J580" s="38"/>
    </row>
    <row r="581" spans="2:10" s="19" customFormat="1" x14ac:dyDescent="0.25">
      <c r="B581" s="35"/>
      <c r="C581" s="36"/>
      <c r="J581" s="38"/>
    </row>
    <row r="582" spans="2:10" s="19" customFormat="1" x14ac:dyDescent="0.25">
      <c r="B582" s="35"/>
      <c r="C582" s="36"/>
      <c r="J582" s="38"/>
    </row>
    <row r="583" spans="2:10" s="19" customFormat="1" x14ac:dyDescent="0.25">
      <c r="B583" s="35"/>
      <c r="C583" s="36"/>
      <c r="J583" s="38"/>
    </row>
    <row r="584" spans="2:10" s="19" customFormat="1" x14ac:dyDescent="0.25">
      <c r="B584" s="35"/>
      <c r="C584" s="36"/>
      <c r="J584" s="38"/>
    </row>
    <row r="585" spans="2:10" s="19" customFormat="1" x14ac:dyDescent="0.25">
      <c r="B585" s="35"/>
      <c r="C585" s="36"/>
      <c r="J585" s="38"/>
    </row>
    <row r="586" spans="2:10" s="19" customFormat="1" x14ac:dyDescent="0.25">
      <c r="B586" s="35"/>
      <c r="C586" s="36"/>
      <c r="J586" s="38"/>
    </row>
    <row r="587" spans="2:10" s="19" customFormat="1" x14ac:dyDescent="0.25">
      <c r="B587" s="35"/>
      <c r="C587" s="36"/>
      <c r="J587" s="38"/>
    </row>
    <row r="588" spans="2:10" s="19" customFormat="1" x14ac:dyDescent="0.25">
      <c r="B588" s="35"/>
      <c r="C588" s="36"/>
      <c r="J588" s="38"/>
    </row>
    <row r="589" spans="2:10" s="19" customFormat="1" x14ac:dyDescent="0.25">
      <c r="B589" s="35"/>
      <c r="C589" s="36"/>
      <c r="J589" s="38"/>
    </row>
    <row r="590" spans="2:10" s="19" customFormat="1" x14ac:dyDescent="0.25">
      <c r="B590" s="35"/>
      <c r="C590" s="36"/>
      <c r="J590" s="38"/>
    </row>
    <row r="591" spans="2:10" s="19" customFormat="1" x14ac:dyDescent="0.25">
      <c r="B591" s="35"/>
      <c r="C591" s="36"/>
      <c r="J591" s="38"/>
    </row>
    <row r="592" spans="2:10" s="19" customFormat="1" x14ac:dyDescent="0.25">
      <c r="B592" s="35"/>
      <c r="C592" s="36"/>
      <c r="J592" s="38"/>
    </row>
    <row r="593" spans="2:10" s="19" customFormat="1" x14ac:dyDescent="0.25">
      <c r="B593" s="35"/>
      <c r="C593" s="36"/>
      <c r="J593" s="38"/>
    </row>
    <row r="594" spans="2:10" s="19" customFormat="1" x14ac:dyDescent="0.25">
      <c r="B594" s="35"/>
      <c r="C594" s="36"/>
      <c r="J594" s="38"/>
    </row>
    <row r="595" spans="2:10" s="19" customFormat="1" x14ac:dyDescent="0.25">
      <c r="B595" s="35"/>
      <c r="C595" s="36"/>
      <c r="J595" s="38"/>
    </row>
    <row r="596" spans="2:10" s="19" customFormat="1" x14ac:dyDescent="0.25">
      <c r="B596" s="35"/>
      <c r="C596" s="36"/>
      <c r="J596" s="38"/>
    </row>
    <row r="597" spans="2:10" s="19" customFormat="1" x14ac:dyDescent="0.25">
      <c r="B597" s="35"/>
      <c r="C597" s="36"/>
      <c r="J597" s="38"/>
    </row>
    <row r="598" spans="2:10" s="19" customFormat="1" x14ac:dyDescent="0.25">
      <c r="B598" s="35"/>
      <c r="C598" s="36"/>
      <c r="J598" s="38"/>
    </row>
    <row r="599" spans="2:10" s="19" customFormat="1" x14ac:dyDescent="0.25">
      <c r="B599" s="35"/>
      <c r="C599" s="36"/>
      <c r="J599" s="38"/>
    </row>
    <row r="600" spans="2:10" s="19" customFormat="1" x14ac:dyDescent="0.25">
      <c r="B600" s="35"/>
      <c r="C600" s="36"/>
      <c r="J600" s="38"/>
    </row>
    <row r="601" spans="2:10" s="19" customFormat="1" x14ac:dyDescent="0.25">
      <c r="B601" s="35"/>
      <c r="C601" s="36"/>
      <c r="J601" s="38"/>
    </row>
    <row r="602" spans="2:10" s="19" customFormat="1" x14ac:dyDescent="0.25">
      <c r="B602" s="35"/>
      <c r="C602" s="36"/>
      <c r="J602" s="38"/>
    </row>
    <row r="603" spans="2:10" s="19" customFormat="1" x14ac:dyDescent="0.25">
      <c r="B603" s="35"/>
      <c r="C603" s="36"/>
      <c r="J603" s="38"/>
    </row>
    <row r="604" spans="2:10" s="19" customFormat="1" x14ac:dyDescent="0.25">
      <c r="B604" s="35"/>
      <c r="C604" s="36"/>
      <c r="J604" s="38"/>
    </row>
    <row r="605" spans="2:10" s="19" customFormat="1" x14ac:dyDescent="0.25">
      <c r="B605" s="35"/>
      <c r="C605" s="36"/>
      <c r="J605" s="38"/>
    </row>
    <row r="606" spans="2:10" s="19" customFormat="1" x14ac:dyDescent="0.25">
      <c r="B606" s="35"/>
      <c r="C606" s="36"/>
      <c r="J606" s="38"/>
    </row>
    <row r="607" spans="2:10" s="19" customFormat="1" x14ac:dyDescent="0.25">
      <c r="B607" s="35"/>
      <c r="C607" s="36"/>
      <c r="J607" s="38"/>
    </row>
    <row r="608" spans="2:10" s="19" customFormat="1" x14ac:dyDescent="0.25">
      <c r="B608" s="35"/>
      <c r="C608" s="36"/>
      <c r="J608" s="38"/>
    </row>
    <row r="609" spans="2:10" s="19" customFormat="1" x14ac:dyDescent="0.25">
      <c r="B609" s="35"/>
      <c r="C609" s="36"/>
      <c r="J609" s="38"/>
    </row>
    <row r="610" spans="2:10" s="19" customFormat="1" x14ac:dyDescent="0.25">
      <c r="B610" s="35"/>
      <c r="C610" s="36"/>
      <c r="J610" s="38"/>
    </row>
    <row r="611" spans="2:10" s="19" customFormat="1" x14ac:dyDescent="0.25">
      <c r="B611" s="35"/>
      <c r="C611" s="36"/>
      <c r="J611" s="38"/>
    </row>
    <row r="612" spans="2:10" s="19" customFormat="1" x14ac:dyDescent="0.25">
      <c r="B612" s="35"/>
      <c r="C612" s="36"/>
      <c r="J612" s="38"/>
    </row>
    <row r="613" spans="2:10" s="19" customFormat="1" x14ac:dyDescent="0.25">
      <c r="B613" s="35"/>
      <c r="C613" s="36"/>
      <c r="J613" s="38"/>
    </row>
    <row r="614" spans="2:10" s="19" customFormat="1" x14ac:dyDescent="0.25">
      <c r="B614" s="35"/>
      <c r="C614" s="36"/>
      <c r="J614" s="38"/>
    </row>
    <row r="615" spans="2:10" s="19" customFormat="1" x14ac:dyDescent="0.25">
      <c r="B615" s="35"/>
      <c r="C615" s="36"/>
      <c r="J615" s="38"/>
    </row>
    <row r="616" spans="2:10" s="19" customFormat="1" x14ac:dyDescent="0.25">
      <c r="B616" s="35"/>
      <c r="C616" s="36"/>
      <c r="J616" s="38"/>
    </row>
    <row r="617" spans="2:10" s="19" customFormat="1" x14ac:dyDescent="0.25">
      <c r="B617" s="35"/>
      <c r="C617" s="36"/>
      <c r="J617" s="38"/>
    </row>
    <row r="618" spans="2:10" s="19" customFormat="1" x14ac:dyDescent="0.25">
      <c r="B618" s="35"/>
      <c r="C618" s="36"/>
      <c r="J618" s="38"/>
    </row>
    <row r="619" spans="2:10" s="19" customFormat="1" x14ac:dyDescent="0.25">
      <c r="B619" s="35"/>
      <c r="C619" s="36"/>
      <c r="J619" s="38"/>
    </row>
    <row r="620" spans="2:10" s="19" customFormat="1" x14ac:dyDescent="0.25">
      <c r="B620" s="35"/>
      <c r="C620" s="36"/>
      <c r="J620" s="38"/>
    </row>
    <row r="621" spans="2:10" s="19" customFormat="1" x14ac:dyDescent="0.25">
      <c r="B621" s="35"/>
      <c r="C621" s="36"/>
      <c r="J621" s="38"/>
    </row>
    <row r="622" spans="2:10" s="19" customFormat="1" x14ac:dyDescent="0.25">
      <c r="B622" s="35"/>
      <c r="C622" s="36"/>
      <c r="J622" s="38"/>
    </row>
    <row r="623" spans="2:10" s="19" customFormat="1" x14ac:dyDescent="0.25">
      <c r="B623" s="35"/>
      <c r="C623" s="36"/>
      <c r="J623" s="38"/>
    </row>
    <row r="624" spans="2:10" s="19" customFormat="1" x14ac:dyDescent="0.25">
      <c r="B624" s="35"/>
      <c r="C624" s="36"/>
      <c r="J624" s="38"/>
    </row>
    <row r="625" spans="2:10" s="19" customFormat="1" x14ac:dyDescent="0.25">
      <c r="B625" s="35"/>
      <c r="C625" s="36"/>
      <c r="J625" s="38"/>
    </row>
    <row r="626" spans="2:10" s="19" customFormat="1" x14ac:dyDescent="0.25">
      <c r="B626" s="35"/>
      <c r="C626" s="36"/>
      <c r="J626" s="38"/>
    </row>
    <row r="627" spans="2:10" s="19" customFormat="1" x14ac:dyDescent="0.25">
      <c r="B627" s="35"/>
      <c r="C627" s="36"/>
      <c r="J627" s="38"/>
    </row>
    <row r="628" spans="2:10" s="19" customFormat="1" x14ac:dyDescent="0.25">
      <c r="B628" s="35"/>
      <c r="C628" s="36"/>
      <c r="J628" s="38"/>
    </row>
    <row r="629" spans="2:10" s="19" customFormat="1" x14ac:dyDescent="0.25">
      <c r="B629" s="35"/>
      <c r="C629" s="36"/>
      <c r="J629" s="38"/>
    </row>
    <row r="630" spans="2:10" s="19" customFormat="1" x14ac:dyDescent="0.25">
      <c r="B630" s="35"/>
      <c r="C630" s="36"/>
      <c r="J630" s="38"/>
    </row>
    <row r="631" spans="2:10" s="19" customFormat="1" x14ac:dyDescent="0.25">
      <c r="B631" s="35"/>
      <c r="C631" s="36"/>
      <c r="J631" s="38"/>
    </row>
    <row r="632" spans="2:10" s="19" customFormat="1" x14ac:dyDescent="0.25">
      <c r="B632" s="35"/>
      <c r="C632" s="36"/>
      <c r="J632" s="38"/>
    </row>
    <row r="633" spans="2:10" s="19" customFormat="1" x14ac:dyDescent="0.25">
      <c r="B633" s="35"/>
      <c r="C633" s="36"/>
      <c r="J633" s="38"/>
    </row>
    <row r="634" spans="2:10" s="19" customFormat="1" x14ac:dyDescent="0.25">
      <c r="B634" s="35"/>
      <c r="C634" s="36"/>
      <c r="J634" s="38"/>
    </row>
    <row r="635" spans="2:10" s="19" customFormat="1" x14ac:dyDescent="0.25">
      <c r="B635" s="35"/>
      <c r="C635" s="36"/>
      <c r="J635" s="38"/>
    </row>
    <row r="636" spans="2:10" s="19" customFormat="1" x14ac:dyDescent="0.25">
      <c r="B636" s="35"/>
      <c r="C636" s="36"/>
      <c r="J636" s="38"/>
    </row>
    <row r="637" spans="2:10" s="19" customFormat="1" x14ac:dyDescent="0.25">
      <c r="B637" s="35"/>
      <c r="C637" s="36"/>
      <c r="J637" s="38"/>
    </row>
    <row r="638" spans="2:10" s="19" customFormat="1" x14ac:dyDescent="0.25">
      <c r="B638" s="35"/>
      <c r="C638" s="36"/>
      <c r="J638" s="38"/>
    </row>
    <row r="639" spans="2:10" s="19" customFormat="1" x14ac:dyDescent="0.25">
      <c r="B639" s="35"/>
      <c r="C639" s="36"/>
      <c r="J639" s="38"/>
    </row>
    <row r="640" spans="2:10" s="19" customFormat="1" x14ac:dyDescent="0.25">
      <c r="B640" s="35"/>
      <c r="C640" s="36"/>
      <c r="J640" s="38"/>
    </row>
    <row r="641" spans="2:10" s="19" customFormat="1" x14ac:dyDescent="0.25">
      <c r="B641" s="35"/>
      <c r="C641" s="36"/>
      <c r="J641" s="38"/>
    </row>
    <row r="642" spans="2:10" s="19" customFormat="1" x14ac:dyDescent="0.25">
      <c r="B642" s="35"/>
      <c r="C642" s="36"/>
      <c r="J642" s="38"/>
    </row>
    <row r="643" spans="2:10" s="19" customFormat="1" x14ac:dyDescent="0.25">
      <c r="B643" s="35"/>
      <c r="C643" s="36"/>
      <c r="J643" s="38"/>
    </row>
    <row r="644" spans="2:10" s="19" customFormat="1" x14ac:dyDescent="0.25">
      <c r="B644" s="35"/>
      <c r="C644" s="36"/>
      <c r="J644" s="38"/>
    </row>
    <row r="645" spans="2:10" s="19" customFormat="1" x14ac:dyDescent="0.25">
      <c r="B645" s="35"/>
      <c r="C645" s="36"/>
      <c r="J645" s="38"/>
    </row>
    <row r="646" spans="2:10" s="19" customFormat="1" x14ac:dyDescent="0.25">
      <c r="B646" s="35"/>
      <c r="C646" s="36"/>
      <c r="J646" s="38"/>
    </row>
    <row r="647" spans="2:10" s="19" customFormat="1" x14ac:dyDescent="0.25">
      <c r="B647" s="35"/>
      <c r="C647" s="36"/>
      <c r="J647" s="38"/>
    </row>
    <row r="648" spans="2:10" s="19" customFormat="1" x14ac:dyDescent="0.25">
      <c r="B648" s="35"/>
      <c r="C648" s="36"/>
      <c r="J648" s="38"/>
    </row>
    <row r="649" spans="2:10" s="19" customFormat="1" x14ac:dyDescent="0.25">
      <c r="B649" s="35"/>
      <c r="C649" s="36"/>
      <c r="J649" s="38"/>
    </row>
    <row r="650" spans="2:10" s="19" customFormat="1" x14ac:dyDescent="0.25">
      <c r="B650" s="35"/>
      <c r="C650" s="36"/>
      <c r="J650" s="38"/>
    </row>
    <row r="651" spans="2:10" s="19" customFormat="1" x14ac:dyDescent="0.25">
      <c r="B651" s="35"/>
      <c r="C651" s="36"/>
      <c r="J651" s="38"/>
    </row>
    <row r="652" spans="2:10" s="19" customFormat="1" x14ac:dyDescent="0.25">
      <c r="B652" s="35"/>
      <c r="C652" s="36"/>
      <c r="J652" s="38"/>
    </row>
    <row r="653" spans="2:10" s="19" customFormat="1" x14ac:dyDescent="0.25">
      <c r="B653" s="35"/>
      <c r="C653" s="36"/>
      <c r="J653" s="38"/>
    </row>
    <row r="654" spans="2:10" s="19" customFormat="1" x14ac:dyDescent="0.25">
      <c r="B654" s="35"/>
      <c r="C654" s="36"/>
      <c r="J654" s="38"/>
    </row>
    <row r="655" spans="2:10" s="19" customFormat="1" x14ac:dyDescent="0.25">
      <c r="B655" s="35"/>
      <c r="C655" s="36"/>
      <c r="J655" s="38"/>
    </row>
    <row r="656" spans="2:10" s="19" customFormat="1" x14ac:dyDescent="0.25">
      <c r="B656" s="35"/>
      <c r="C656" s="36"/>
      <c r="J656" s="38"/>
    </row>
    <row r="657" spans="2:10" s="19" customFormat="1" x14ac:dyDescent="0.25">
      <c r="B657" s="35"/>
      <c r="C657" s="36"/>
      <c r="J657" s="38"/>
    </row>
    <row r="658" spans="2:10" s="19" customFormat="1" x14ac:dyDescent="0.25">
      <c r="B658" s="35"/>
      <c r="C658" s="36"/>
      <c r="J658" s="38"/>
    </row>
    <row r="659" spans="2:10" s="19" customFormat="1" x14ac:dyDescent="0.25">
      <c r="B659" s="35"/>
      <c r="C659" s="36"/>
      <c r="J659" s="38"/>
    </row>
    <row r="660" spans="2:10" s="19" customFormat="1" x14ac:dyDescent="0.25">
      <c r="B660" s="35"/>
      <c r="C660" s="36"/>
      <c r="J660" s="38"/>
    </row>
    <row r="661" spans="2:10" s="19" customFormat="1" x14ac:dyDescent="0.25">
      <c r="B661" s="35"/>
      <c r="C661" s="36"/>
      <c r="J661" s="38"/>
    </row>
    <row r="662" spans="2:10" s="19" customFormat="1" x14ac:dyDescent="0.25">
      <c r="B662" s="35"/>
      <c r="C662" s="36"/>
      <c r="J662" s="38"/>
    </row>
    <row r="663" spans="2:10" s="19" customFormat="1" x14ac:dyDescent="0.25">
      <c r="B663" s="35"/>
      <c r="C663" s="36"/>
      <c r="J663" s="38"/>
    </row>
    <row r="664" spans="2:10" s="19" customFormat="1" x14ac:dyDescent="0.25">
      <c r="B664" s="35"/>
      <c r="C664" s="36"/>
      <c r="J664" s="38"/>
    </row>
    <row r="665" spans="2:10" s="19" customFormat="1" x14ac:dyDescent="0.25">
      <c r="B665" s="35"/>
      <c r="C665" s="36"/>
      <c r="J665" s="38"/>
    </row>
    <row r="666" spans="2:10" s="19" customFormat="1" x14ac:dyDescent="0.25">
      <c r="B666" s="35"/>
      <c r="C666" s="36"/>
      <c r="J666" s="38"/>
    </row>
    <row r="667" spans="2:10" s="19" customFormat="1" x14ac:dyDescent="0.25">
      <c r="B667" s="35"/>
      <c r="C667" s="36"/>
      <c r="J667" s="38"/>
    </row>
    <row r="668" spans="2:10" s="19" customFormat="1" x14ac:dyDescent="0.25">
      <c r="B668" s="35"/>
      <c r="C668" s="36"/>
      <c r="J668" s="38"/>
    </row>
    <row r="669" spans="2:10" s="19" customFormat="1" x14ac:dyDescent="0.25">
      <c r="B669" s="35"/>
      <c r="C669" s="36"/>
      <c r="J669" s="38"/>
    </row>
    <row r="670" spans="2:10" s="19" customFormat="1" x14ac:dyDescent="0.25">
      <c r="B670" s="35"/>
      <c r="C670" s="36"/>
      <c r="J670" s="38"/>
    </row>
    <row r="671" spans="2:10" s="19" customFormat="1" x14ac:dyDescent="0.25">
      <c r="B671" s="35"/>
      <c r="C671" s="36"/>
      <c r="J671" s="38"/>
    </row>
    <row r="672" spans="2:10" s="19" customFormat="1" x14ac:dyDescent="0.25">
      <c r="B672" s="35"/>
      <c r="C672" s="36"/>
      <c r="J672" s="38"/>
    </row>
    <row r="673" spans="2:10" s="19" customFormat="1" x14ac:dyDescent="0.25">
      <c r="B673" s="35"/>
      <c r="C673" s="36"/>
      <c r="J673" s="38"/>
    </row>
    <row r="674" spans="2:10" s="19" customFormat="1" x14ac:dyDescent="0.25">
      <c r="B674" s="35"/>
      <c r="C674" s="36"/>
      <c r="J674" s="38"/>
    </row>
    <row r="675" spans="2:10" s="19" customFormat="1" x14ac:dyDescent="0.25">
      <c r="B675" s="35"/>
      <c r="C675" s="36"/>
      <c r="J675" s="38"/>
    </row>
    <row r="676" spans="2:10" s="19" customFormat="1" x14ac:dyDescent="0.25">
      <c r="B676" s="35"/>
      <c r="C676" s="36"/>
      <c r="J676" s="38"/>
    </row>
    <row r="677" spans="2:10" s="19" customFormat="1" x14ac:dyDescent="0.25">
      <c r="B677" s="35"/>
      <c r="C677" s="36"/>
      <c r="J677" s="38"/>
    </row>
    <row r="678" spans="2:10" s="19" customFormat="1" x14ac:dyDescent="0.25">
      <c r="B678" s="35"/>
      <c r="C678" s="36"/>
      <c r="J678" s="38"/>
    </row>
    <row r="679" spans="2:10" s="19" customFormat="1" x14ac:dyDescent="0.25">
      <c r="B679" s="35"/>
      <c r="C679" s="36"/>
      <c r="J679" s="38"/>
    </row>
    <row r="680" spans="2:10" s="19" customFormat="1" x14ac:dyDescent="0.25">
      <c r="B680" s="35"/>
      <c r="C680" s="36"/>
      <c r="J680" s="38"/>
    </row>
    <row r="681" spans="2:10" s="19" customFormat="1" x14ac:dyDescent="0.25">
      <c r="B681" s="35"/>
      <c r="C681" s="36"/>
      <c r="J681" s="38"/>
    </row>
    <row r="682" spans="2:10" s="19" customFormat="1" x14ac:dyDescent="0.25">
      <c r="B682" s="35"/>
      <c r="C682" s="36"/>
      <c r="J682" s="38"/>
    </row>
    <row r="683" spans="2:10" s="19" customFormat="1" x14ac:dyDescent="0.25">
      <c r="B683" s="35"/>
      <c r="C683" s="36"/>
      <c r="J683" s="38"/>
    </row>
    <row r="684" spans="2:10" s="19" customFormat="1" x14ac:dyDescent="0.25">
      <c r="B684" s="35"/>
      <c r="C684" s="36"/>
      <c r="J684" s="38"/>
    </row>
    <row r="685" spans="2:10" s="19" customFormat="1" x14ac:dyDescent="0.25">
      <c r="B685" s="35"/>
      <c r="C685" s="36"/>
      <c r="J685" s="38"/>
    </row>
    <row r="686" spans="2:10" s="19" customFormat="1" x14ac:dyDescent="0.25">
      <c r="B686" s="35"/>
      <c r="C686" s="36"/>
      <c r="J686" s="38"/>
    </row>
    <row r="687" spans="2:10" s="19" customFormat="1" x14ac:dyDescent="0.25">
      <c r="B687" s="35"/>
      <c r="C687" s="36"/>
      <c r="J687" s="38"/>
    </row>
    <row r="688" spans="2:10" s="19" customFormat="1" x14ac:dyDescent="0.25">
      <c r="B688" s="35"/>
      <c r="C688" s="36"/>
      <c r="J688" s="38"/>
    </row>
    <row r="689" spans="2:10" s="19" customFormat="1" x14ac:dyDescent="0.25">
      <c r="B689" s="35"/>
      <c r="C689" s="36"/>
      <c r="J689" s="38"/>
    </row>
    <row r="690" spans="2:10" s="19" customFormat="1" x14ac:dyDescent="0.25">
      <c r="B690" s="35"/>
      <c r="C690" s="36"/>
      <c r="J690" s="38"/>
    </row>
    <row r="691" spans="2:10" s="19" customFormat="1" x14ac:dyDescent="0.25">
      <c r="B691" s="35"/>
      <c r="C691" s="36"/>
      <c r="J691" s="38"/>
    </row>
    <row r="692" spans="2:10" s="19" customFormat="1" x14ac:dyDescent="0.25">
      <c r="B692" s="35"/>
      <c r="C692" s="36"/>
      <c r="J692" s="38"/>
    </row>
    <row r="693" spans="2:10" s="19" customFormat="1" x14ac:dyDescent="0.25">
      <c r="B693" s="35"/>
      <c r="C693" s="36"/>
      <c r="J693" s="38"/>
    </row>
    <row r="694" spans="2:10" s="19" customFormat="1" x14ac:dyDescent="0.25">
      <c r="B694" s="35"/>
      <c r="C694" s="36"/>
      <c r="J694" s="38"/>
    </row>
    <row r="695" spans="2:10" s="19" customFormat="1" x14ac:dyDescent="0.25">
      <c r="B695" s="35"/>
      <c r="C695" s="36"/>
      <c r="J695" s="38"/>
    </row>
    <row r="696" spans="2:10" s="19" customFormat="1" x14ac:dyDescent="0.25">
      <c r="B696" s="35"/>
      <c r="C696" s="36"/>
      <c r="J696" s="38"/>
    </row>
    <row r="697" spans="2:10" s="19" customFormat="1" x14ac:dyDescent="0.25">
      <c r="B697" s="35"/>
      <c r="C697" s="36"/>
      <c r="J697" s="38"/>
    </row>
    <row r="698" spans="2:10" s="19" customFormat="1" x14ac:dyDescent="0.25">
      <c r="B698" s="35"/>
      <c r="C698" s="36"/>
      <c r="J698" s="38"/>
    </row>
    <row r="699" spans="2:10" s="19" customFormat="1" x14ac:dyDescent="0.25">
      <c r="B699" s="35"/>
      <c r="C699" s="36"/>
      <c r="J699" s="38"/>
    </row>
    <row r="700" spans="2:10" s="19" customFormat="1" x14ac:dyDescent="0.25">
      <c r="B700" s="35"/>
      <c r="C700" s="36"/>
      <c r="J700" s="38"/>
    </row>
    <row r="701" spans="2:10" s="19" customFormat="1" x14ac:dyDescent="0.25">
      <c r="B701" s="35"/>
      <c r="C701" s="36"/>
      <c r="J701" s="38"/>
    </row>
    <row r="702" spans="2:10" s="19" customFormat="1" x14ac:dyDescent="0.25">
      <c r="B702" s="35"/>
      <c r="C702" s="36"/>
      <c r="J702" s="38"/>
    </row>
    <row r="703" spans="2:10" s="19" customFormat="1" x14ac:dyDescent="0.25">
      <c r="B703" s="35"/>
      <c r="C703" s="36"/>
      <c r="J703" s="38"/>
    </row>
    <row r="704" spans="2:10" s="19" customFormat="1" x14ac:dyDescent="0.25">
      <c r="B704" s="35"/>
      <c r="C704" s="36"/>
      <c r="J704" s="38"/>
    </row>
    <row r="705" spans="2:10" s="19" customFormat="1" x14ac:dyDescent="0.25">
      <c r="B705" s="35"/>
      <c r="C705" s="36"/>
      <c r="J705" s="38"/>
    </row>
    <row r="706" spans="2:10" s="19" customFormat="1" x14ac:dyDescent="0.25">
      <c r="B706" s="35"/>
      <c r="C706" s="36"/>
      <c r="J706" s="38"/>
    </row>
    <row r="707" spans="2:10" s="19" customFormat="1" x14ac:dyDescent="0.25">
      <c r="B707" s="35"/>
      <c r="C707" s="36"/>
      <c r="J707" s="38"/>
    </row>
    <row r="708" spans="2:10" s="19" customFormat="1" x14ac:dyDescent="0.25">
      <c r="B708" s="35"/>
      <c r="C708" s="36"/>
      <c r="J708" s="38"/>
    </row>
    <row r="709" spans="2:10" s="19" customFormat="1" x14ac:dyDescent="0.25">
      <c r="B709" s="35"/>
      <c r="C709" s="36"/>
      <c r="J709" s="38"/>
    </row>
    <row r="710" spans="2:10" s="19" customFormat="1" x14ac:dyDescent="0.25">
      <c r="B710" s="35"/>
      <c r="C710" s="36"/>
      <c r="J710" s="38"/>
    </row>
    <row r="711" spans="2:10" s="19" customFormat="1" x14ac:dyDescent="0.25">
      <c r="B711" s="35"/>
      <c r="C711" s="36"/>
      <c r="J711" s="38"/>
    </row>
    <row r="712" spans="2:10" s="19" customFormat="1" x14ac:dyDescent="0.25">
      <c r="B712" s="35"/>
      <c r="C712" s="36"/>
      <c r="J712" s="38"/>
    </row>
    <row r="713" spans="2:10" s="19" customFormat="1" x14ac:dyDescent="0.25">
      <c r="B713" s="35"/>
      <c r="C713" s="36"/>
      <c r="J713" s="38"/>
    </row>
    <row r="714" spans="2:10" s="19" customFormat="1" x14ac:dyDescent="0.25">
      <c r="B714" s="35"/>
      <c r="C714" s="36"/>
      <c r="J714" s="38"/>
    </row>
    <row r="715" spans="2:10" s="19" customFormat="1" x14ac:dyDescent="0.25">
      <c r="B715" s="35"/>
      <c r="C715" s="36"/>
      <c r="J715" s="38"/>
    </row>
    <row r="716" spans="2:10" s="19" customFormat="1" x14ac:dyDescent="0.25">
      <c r="B716" s="35"/>
      <c r="C716" s="36"/>
      <c r="J716" s="38"/>
    </row>
    <row r="717" spans="2:10" s="19" customFormat="1" x14ac:dyDescent="0.25">
      <c r="B717" s="35"/>
      <c r="C717" s="36"/>
      <c r="J717" s="38"/>
    </row>
    <row r="718" spans="2:10" s="19" customFormat="1" x14ac:dyDescent="0.25">
      <c r="B718" s="35"/>
      <c r="C718" s="36"/>
      <c r="J718" s="38"/>
    </row>
    <row r="719" spans="2:10" s="19" customFormat="1" x14ac:dyDescent="0.25">
      <c r="B719" s="35"/>
      <c r="C719" s="36"/>
      <c r="J719" s="38"/>
    </row>
    <row r="720" spans="2:10" s="19" customFormat="1" x14ac:dyDescent="0.25">
      <c r="B720" s="35"/>
      <c r="C720" s="36"/>
      <c r="J720" s="38"/>
    </row>
    <row r="721" spans="2:10" s="19" customFormat="1" x14ac:dyDescent="0.25">
      <c r="B721" s="35"/>
      <c r="C721" s="36"/>
      <c r="J721" s="38"/>
    </row>
    <row r="722" spans="2:10" s="19" customFormat="1" x14ac:dyDescent="0.25">
      <c r="B722" s="35"/>
      <c r="C722" s="36"/>
      <c r="J722" s="38"/>
    </row>
    <row r="723" spans="2:10" s="19" customFormat="1" x14ac:dyDescent="0.25">
      <c r="B723" s="35"/>
      <c r="C723" s="36"/>
      <c r="J723" s="38"/>
    </row>
    <row r="724" spans="2:10" s="19" customFormat="1" x14ac:dyDescent="0.25">
      <c r="B724" s="35"/>
      <c r="C724" s="36"/>
      <c r="J724" s="38"/>
    </row>
    <row r="725" spans="2:10" s="19" customFormat="1" x14ac:dyDescent="0.25">
      <c r="B725" s="35"/>
      <c r="C725" s="36"/>
      <c r="J725" s="38"/>
    </row>
    <row r="726" spans="2:10" s="19" customFormat="1" x14ac:dyDescent="0.25">
      <c r="B726" s="35"/>
      <c r="C726" s="36"/>
      <c r="J726" s="38"/>
    </row>
    <row r="727" spans="2:10" s="19" customFormat="1" x14ac:dyDescent="0.25">
      <c r="B727" s="35"/>
      <c r="C727" s="36"/>
      <c r="J727" s="38"/>
    </row>
    <row r="728" spans="2:10" s="19" customFormat="1" x14ac:dyDescent="0.25">
      <c r="B728" s="35"/>
      <c r="C728" s="36"/>
      <c r="J728" s="38"/>
    </row>
    <row r="729" spans="2:10" s="19" customFormat="1" x14ac:dyDescent="0.25">
      <c r="B729" s="35"/>
      <c r="C729" s="36"/>
      <c r="J729" s="38"/>
    </row>
    <row r="730" spans="2:10" s="19" customFormat="1" x14ac:dyDescent="0.25">
      <c r="B730" s="35"/>
      <c r="C730" s="36"/>
      <c r="J730" s="38"/>
    </row>
    <row r="731" spans="2:10" s="19" customFormat="1" x14ac:dyDescent="0.25">
      <c r="B731" s="35"/>
      <c r="C731" s="36"/>
      <c r="J731" s="38"/>
    </row>
    <row r="732" spans="2:10" s="19" customFormat="1" x14ac:dyDescent="0.25">
      <c r="B732" s="35"/>
      <c r="C732" s="36"/>
      <c r="J732" s="38"/>
    </row>
    <row r="733" spans="2:10" s="19" customFormat="1" x14ac:dyDescent="0.25">
      <c r="B733" s="35"/>
      <c r="C733" s="36"/>
      <c r="J733" s="38"/>
    </row>
    <row r="734" spans="2:10" s="19" customFormat="1" x14ac:dyDescent="0.25">
      <c r="B734" s="35"/>
      <c r="C734" s="36"/>
      <c r="J734" s="38"/>
    </row>
    <row r="735" spans="2:10" s="19" customFormat="1" x14ac:dyDescent="0.25">
      <c r="B735" s="35"/>
      <c r="C735" s="36"/>
      <c r="J735" s="38"/>
    </row>
    <row r="736" spans="2:10" s="19" customFormat="1" x14ac:dyDescent="0.25">
      <c r="B736" s="35"/>
      <c r="C736" s="36"/>
      <c r="J736" s="38"/>
    </row>
    <row r="737" spans="2:10" s="19" customFormat="1" x14ac:dyDescent="0.25">
      <c r="B737" s="35"/>
      <c r="C737" s="36"/>
      <c r="J737" s="38"/>
    </row>
    <row r="738" spans="2:10" s="19" customFormat="1" x14ac:dyDescent="0.25">
      <c r="B738" s="35"/>
      <c r="C738" s="36"/>
      <c r="J738" s="38"/>
    </row>
    <row r="739" spans="2:10" s="19" customFormat="1" x14ac:dyDescent="0.25">
      <c r="B739" s="35"/>
      <c r="C739" s="36"/>
      <c r="J739" s="38"/>
    </row>
    <row r="740" spans="2:10" s="19" customFormat="1" x14ac:dyDescent="0.25">
      <c r="B740" s="35"/>
      <c r="C740" s="36"/>
      <c r="J740" s="38"/>
    </row>
    <row r="741" spans="2:10" s="19" customFormat="1" x14ac:dyDescent="0.25">
      <c r="B741" s="35"/>
      <c r="C741" s="36"/>
      <c r="J741" s="38"/>
    </row>
    <row r="742" spans="2:10" s="19" customFormat="1" x14ac:dyDescent="0.25">
      <c r="B742" s="35"/>
      <c r="C742" s="36"/>
      <c r="J742" s="38"/>
    </row>
    <row r="743" spans="2:10" s="19" customFormat="1" x14ac:dyDescent="0.25">
      <c r="B743" s="35"/>
      <c r="C743" s="36"/>
      <c r="J743" s="38"/>
    </row>
    <row r="744" spans="2:10" s="19" customFormat="1" x14ac:dyDescent="0.25">
      <c r="B744" s="35"/>
      <c r="C744" s="36"/>
      <c r="J744" s="38"/>
    </row>
    <row r="745" spans="2:10" s="19" customFormat="1" x14ac:dyDescent="0.25">
      <c r="B745" s="35"/>
      <c r="C745" s="36"/>
      <c r="J745" s="38"/>
    </row>
    <row r="746" spans="2:10" s="19" customFormat="1" x14ac:dyDescent="0.25">
      <c r="B746" s="35"/>
      <c r="C746" s="36"/>
      <c r="J746" s="38"/>
    </row>
    <row r="747" spans="2:10" s="19" customFormat="1" x14ac:dyDescent="0.25">
      <c r="B747" s="35"/>
      <c r="C747" s="36"/>
      <c r="J747" s="38"/>
    </row>
    <row r="748" spans="2:10" s="19" customFormat="1" x14ac:dyDescent="0.25">
      <c r="B748" s="35"/>
      <c r="C748" s="36"/>
      <c r="J748" s="38"/>
    </row>
    <row r="749" spans="2:10" s="19" customFormat="1" x14ac:dyDescent="0.25">
      <c r="B749" s="35"/>
      <c r="C749" s="36"/>
      <c r="J749" s="38"/>
    </row>
    <row r="750" spans="2:10" s="19" customFormat="1" x14ac:dyDescent="0.25">
      <c r="B750" s="35"/>
      <c r="C750" s="36"/>
      <c r="J750" s="38"/>
    </row>
    <row r="751" spans="2:10" s="19" customFormat="1" x14ac:dyDescent="0.25">
      <c r="B751" s="35"/>
      <c r="C751" s="36"/>
      <c r="J751" s="38"/>
    </row>
    <row r="752" spans="2:10" s="19" customFormat="1" x14ac:dyDescent="0.25">
      <c r="B752" s="35"/>
      <c r="C752" s="36"/>
      <c r="J752" s="38"/>
    </row>
    <row r="753" spans="2:10" s="19" customFormat="1" x14ac:dyDescent="0.25">
      <c r="B753" s="35"/>
      <c r="C753" s="36"/>
      <c r="J753" s="38"/>
    </row>
    <row r="754" spans="2:10" s="19" customFormat="1" x14ac:dyDescent="0.25">
      <c r="B754" s="35"/>
      <c r="C754" s="36"/>
      <c r="J754" s="38"/>
    </row>
    <row r="755" spans="2:10" s="19" customFormat="1" x14ac:dyDescent="0.25">
      <c r="B755" s="35"/>
      <c r="C755" s="36"/>
      <c r="J755" s="38"/>
    </row>
    <row r="756" spans="2:10" s="19" customFormat="1" x14ac:dyDescent="0.25">
      <c r="B756" s="35"/>
      <c r="C756" s="36"/>
      <c r="J756" s="38"/>
    </row>
    <row r="757" spans="2:10" s="19" customFormat="1" x14ac:dyDescent="0.25">
      <c r="B757" s="35"/>
      <c r="C757" s="36"/>
      <c r="J757" s="38"/>
    </row>
    <row r="758" spans="2:10" s="19" customFormat="1" x14ac:dyDescent="0.25">
      <c r="B758" s="35"/>
      <c r="C758" s="36"/>
      <c r="J758" s="38"/>
    </row>
    <row r="759" spans="2:10" s="19" customFormat="1" x14ac:dyDescent="0.25">
      <c r="B759" s="35"/>
      <c r="C759" s="36"/>
      <c r="J759" s="38"/>
    </row>
    <row r="760" spans="2:10" s="19" customFormat="1" x14ac:dyDescent="0.25">
      <c r="B760" s="35"/>
      <c r="C760" s="36"/>
      <c r="J760" s="38"/>
    </row>
    <row r="761" spans="2:10" s="19" customFormat="1" x14ac:dyDescent="0.25">
      <c r="B761" s="35"/>
      <c r="C761" s="36"/>
      <c r="J761" s="38"/>
    </row>
    <row r="762" spans="2:10" s="19" customFormat="1" x14ac:dyDescent="0.25">
      <c r="B762" s="35"/>
      <c r="C762" s="36"/>
      <c r="J762" s="38"/>
    </row>
    <row r="763" spans="2:10" s="19" customFormat="1" x14ac:dyDescent="0.25">
      <c r="B763" s="35"/>
      <c r="C763" s="36"/>
      <c r="J763" s="38"/>
    </row>
    <row r="764" spans="2:10" s="19" customFormat="1" x14ac:dyDescent="0.25">
      <c r="B764" s="35"/>
      <c r="C764" s="36"/>
      <c r="J764" s="38"/>
    </row>
    <row r="765" spans="2:10" s="19" customFormat="1" x14ac:dyDescent="0.25">
      <c r="B765" s="35"/>
      <c r="C765" s="36"/>
      <c r="J765" s="38"/>
    </row>
    <row r="766" spans="2:10" s="19" customFormat="1" x14ac:dyDescent="0.25">
      <c r="B766" s="35"/>
      <c r="C766" s="36"/>
      <c r="J766" s="38"/>
    </row>
    <row r="767" spans="2:10" s="19" customFormat="1" x14ac:dyDescent="0.25">
      <c r="B767" s="35"/>
      <c r="C767" s="36"/>
      <c r="J767" s="38"/>
    </row>
    <row r="768" spans="2:10" s="19" customFormat="1" x14ac:dyDescent="0.25">
      <c r="B768" s="35"/>
      <c r="C768" s="36"/>
      <c r="J768" s="38"/>
    </row>
    <row r="769" spans="2:10" s="19" customFormat="1" x14ac:dyDescent="0.25">
      <c r="B769" s="35"/>
      <c r="C769" s="36"/>
      <c r="J769" s="38"/>
    </row>
    <row r="770" spans="2:10" s="19" customFormat="1" x14ac:dyDescent="0.25">
      <c r="B770" s="35"/>
      <c r="C770" s="36"/>
      <c r="J770" s="38"/>
    </row>
    <row r="771" spans="2:10" s="19" customFormat="1" x14ac:dyDescent="0.25">
      <c r="B771" s="35"/>
      <c r="C771" s="36"/>
      <c r="J771" s="38"/>
    </row>
    <row r="772" spans="2:10" s="19" customFormat="1" x14ac:dyDescent="0.25">
      <c r="B772" s="35"/>
      <c r="C772" s="36"/>
      <c r="J772" s="38"/>
    </row>
    <row r="773" spans="2:10" s="19" customFormat="1" x14ac:dyDescent="0.25">
      <c r="B773" s="35"/>
      <c r="C773" s="36"/>
      <c r="J773" s="38"/>
    </row>
    <row r="774" spans="2:10" s="19" customFormat="1" x14ac:dyDescent="0.25">
      <c r="B774" s="35"/>
      <c r="C774" s="36"/>
      <c r="J774" s="38"/>
    </row>
    <row r="775" spans="2:10" s="19" customFormat="1" x14ac:dyDescent="0.25">
      <c r="B775" s="35"/>
      <c r="C775" s="36"/>
      <c r="J775" s="38"/>
    </row>
    <row r="776" spans="2:10" s="19" customFormat="1" x14ac:dyDescent="0.25">
      <c r="B776" s="35"/>
      <c r="C776" s="36"/>
      <c r="J776" s="38"/>
    </row>
    <row r="777" spans="2:10" s="19" customFormat="1" x14ac:dyDescent="0.25">
      <c r="B777" s="35"/>
      <c r="C777" s="36"/>
      <c r="J777" s="38"/>
    </row>
    <row r="778" spans="2:10" s="19" customFormat="1" x14ac:dyDescent="0.25">
      <c r="B778" s="35"/>
      <c r="C778" s="36"/>
      <c r="J778" s="38"/>
    </row>
    <row r="779" spans="2:10" s="19" customFormat="1" x14ac:dyDescent="0.25">
      <c r="B779" s="35"/>
      <c r="C779" s="36"/>
      <c r="J779" s="38"/>
    </row>
    <row r="780" spans="2:10" s="19" customFormat="1" x14ac:dyDescent="0.25">
      <c r="B780" s="35"/>
      <c r="C780" s="36"/>
      <c r="J780" s="38"/>
    </row>
    <row r="781" spans="2:10" s="19" customFormat="1" x14ac:dyDescent="0.25">
      <c r="B781" s="35"/>
      <c r="C781" s="36"/>
      <c r="J781" s="38"/>
    </row>
    <row r="782" spans="2:10" s="19" customFormat="1" x14ac:dyDescent="0.25">
      <c r="B782" s="35"/>
      <c r="C782" s="36"/>
      <c r="J782" s="38"/>
    </row>
    <row r="783" spans="2:10" s="19" customFormat="1" x14ac:dyDescent="0.25">
      <c r="B783" s="35"/>
      <c r="C783" s="36"/>
      <c r="J783" s="38"/>
    </row>
    <row r="784" spans="2:10" s="19" customFormat="1" x14ac:dyDescent="0.25">
      <c r="B784" s="35"/>
      <c r="C784" s="36"/>
      <c r="J784" s="38"/>
    </row>
    <row r="785" spans="2:10" s="19" customFormat="1" x14ac:dyDescent="0.25">
      <c r="B785" s="35"/>
      <c r="C785" s="36"/>
      <c r="J785" s="38"/>
    </row>
    <row r="786" spans="2:10" s="19" customFormat="1" x14ac:dyDescent="0.25">
      <c r="B786" s="35"/>
      <c r="C786" s="36"/>
      <c r="J786" s="38"/>
    </row>
    <row r="787" spans="2:10" s="19" customFormat="1" x14ac:dyDescent="0.25">
      <c r="B787" s="35"/>
      <c r="C787" s="36"/>
      <c r="J787" s="38"/>
    </row>
    <row r="788" spans="2:10" s="19" customFormat="1" x14ac:dyDescent="0.25">
      <c r="B788" s="35"/>
      <c r="C788" s="36"/>
      <c r="J788" s="38"/>
    </row>
    <row r="789" spans="2:10" s="19" customFormat="1" x14ac:dyDescent="0.25">
      <c r="B789" s="35"/>
      <c r="C789" s="36"/>
      <c r="J789" s="38"/>
    </row>
    <row r="790" spans="2:10" s="19" customFormat="1" x14ac:dyDescent="0.25">
      <c r="B790" s="35"/>
      <c r="C790" s="36"/>
      <c r="J790" s="38"/>
    </row>
    <row r="791" spans="2:10" s="19" customFormat="1" x14ac:dyDescent="0.25">
      <c r="B791" s="35"/>
      <c r="C791" s="36"/>
      <c r="J791" s="38"/>
    </row>
    <row r="792" spans="2:10" s="19" customFormat="1" x14ac:dyDescent="0.25">
      <c r="B792" s="35"/>
      <c r="C792" s="36"/>
      <c r="J792" s="38"/>
    </row>
    <row r="793" spans="2:10" s="19" customFormat="1" x14ac:dyDescent="0.25">
      <c r="B793" s="35"/>
      <c r="C793" s="36"/>
      <c r="J793" s="38"/>
    </row>
    <row r="794" spans="2:10" s="19" customFormat="1" x14ac:dyDescent="0.25">
      <c r="B794" s="35"/>
      <c r="C794" s="36"/>
      <c r="J794" s="38"/>
    </row>
    <row r="795" spans="2:10" s="19" customFormat="1" x14ac:dyDescent="0.25">
      <c r="B795" s="35"/>
      <c r="C795" s="36"/>
      <c r="J795" s="38"/>
    </row>
    <row r="796" spans="2:10" s="19" customFormat="1" x14ac:dyDescent="0.25">
      <c r="B796" s="35"/>
      <c r="C796" s="36"/>
      <c r="J796" s="38"/>
    </row>
    <row r="797" spans="2:10" s="19" customFormat="1" x14ac:dyDescent="0.25">
      <c r="B797" s="35"/>
      <c r="C797" s="36"/>
      <c r="J797" s="38"/>
    </row>
    <row r="798" spans="2:10" s="19" customFormat="1" x14ac:dyDescent="0.25">
      <c r="B798" s="35"/>
      <c r="C798" s="36"/>
      <c r="J798" s="38"/>
    </row>
    <row r="799" spans="2:10" s="19" customFormat="1" x14ac:dyDescent="0.25">
      <c r="B799" s="35"/>
      <c r="C799" s="36"/>
      <c r="J799" s="38"/>
    </row>
    <row r="800" spans="2:10" s="19" customFormat="1" x14ac:dyDescent="0.25">
      <c r="B800" s="35"/>
      <c r="C800" s="36"/>
      <c r="J800" s="38"/>
    </row>
    <row r="801" spans="2:10" s="19" customFormat="1" x14ac:dyDescent="0.25">
      <c r="B801" s="35"/>
      <c r="C801" s="36"/>
      <c r="J801" s="38"/>
    </row>
    <row r="802" spans="2:10" s="19" customFormat="1" x14ac:dyDescent="0.25">
      <c r="B802" s="35"/>
      <c r="C802" s="36"/>
      <c r="J802" s="38"/>
    </row>
    <row r="803" spans="2:10" s="19" customFormat="1" x14ac:dyDescent="0.25">
      <c r="B803" s="35"/>
      <c r="C803" s="36"/>
      <c r="J803" s="38"/>
    </row>
    <row r="804" spans="2:10" s="19" customFormat="1" x14ac:dyDescent="0.25">
      <c r="B804" s="35"/>
      <c r="C804" s="36"/>
      <c r="J804" s="38"/>
    </row>
    <row r="805" spans="2:10" s="19" customFormat="1" x14ac:dyDescent="0.25">
      <c r="B805" s="35"/>
      <c r="C805" s="36"/>
      <c r="J805" s="38"/>
    </row>
    <row r="806" spans="2:10" s="19" customFormat="1" x14ac:dyDescent="0.25">
      <c r="B806" s="35"/>
      <c r="C806" s="36"/>
      <c r="J806" s="38"/>
    </row>
    <row r="807" spans="2:10" s="19" customFormat="1" x14ac:dyDescent="0.25">
      <c r="B807" s="35"/>
      <c r="C807" s="36"/>
      <c r="J807" s="38"/>
    </row>
    <row r="808" spans="2:10" s="19" customFormat="1" x14ac:dyDescent="0.25">
      <c r="B808" s="35"/>
      <c r="C808" s="36"/>
      <c r="J808" s="38"/>
    </row>
    <row r="809" spans="2:10" s="19" customFormat="1" x14ac:dyDescent="0.25">
      <c r="B809" s="35"/>
      <c r="C809" s="36"/>
      <c r="J809" s="38"/>
    </row>
    <row r="810" spans="2:10" s="19" customFormat="1" x14ac:dyDescent="0.25">
      <c r="B810" s="35"/>
      <c r="C810" s="36"/>
      <c r="J810" s="38"/>
    </row>
    <row r="811" spans="2:10" s="19" customFormat="1" x14ac:dyDescent="0.25">
      <c r="B811" s="35"/>
      <c r="C811" s="36"/>
      <c r="J811" s="38"/>
    </row>
    <row r="812" spans="2:10" s="19" customFormat="1" x14ac:dyDescent="0.25">
      <c r="B812" s="35"/>
      <c r="C812" s="36"/>
      <c r="J812" s="38"/>
    </row>
    <row r="813" spans="2:10" s="19" customFormat="1" x14ac:dyDescent="0.25">
      <c r="B813" s="35"/>
      <c r="C813" s="36"/>
      <c r="J813" s="38"/>
    </row>
    <row r="814" spans="2:10" s="19" customFormat="1" x14ac:dyDescent="0.25">
      <c r="B814" s="35"/>
      <c r="C814" s="36"/>
      <c r="J814" s="38"/>
    </row>
    <row r="815" spans="2:10" s="19" customFormat="1" x14ac:dyDescent="0.25">
      <c r="B815" s="35"/>
      <c r="C815" s="36"/>
      <c r="J815" s="38"/>
    </row>
    <row r="816" spans="2:10" s="19" customFormat="1" x14ac:dyDescent="0.25">
      <c r="B816" s="35"/>
      <c r="C816" s="36"/>
      <c r="J816" s="38"/>
    </row>
    <row r="817" spans="2:10" s="19" customFormat="1" x14ac:dyDescent="0.25">
      <c r="B817" s="35"/>
      <c r="C817" s="36"/>
      <c r="J817" s="38"/>
    </row>
    <row r="818" spans="2:10" s="19" customFormat="1" x14ac:dyDescent="0.25">
      <c r="B818" s="35"/>
      <c r="C818" s="36"/>
      <c r="J818" s="38"/>
    </row>
    <row r="819" spans="2:10" s="19" customFormat="1" x14ac:dyDescent="0.25">
      <c r="B819" s="35"/>
      <c r="C819" s="36"/>
      <c r="J819" s="38"/>
    </row>
    <row r="820" spans="2:10" s="19" customFormat="1" x14ac:dyDescent="0.25">
      <c r="B820" s="35"/>
      <c r="C820" s="36"/>
      <c r="J820" s="38"/>
    </row>
    <row r="821" spans="2:10" s="19" customFormat="1" x14ac:dyDescent="0.25">
      <c r="B821" s="35"/>
      <c r="C821" s="36"/>
      <c r="J821" s="38"/>
    </row>
    <row r="822" spans="2:10" s="19" customFormat="1" x14ac:dyDescent="0.25">
      <c r="B822" s="35"/>
      <c r="C822" s="36"/>
      <c r="J822" s="38"/>
    </row>
    <row r="823" spans="2:10" s="19" customFormat="1" x14ac:dyDescent="0.25">
      <c r="B823" s="35"/>
      <c r="C823" s="36"/>
      <c r="J823" s="38"/>
    </row>
    <row r="824" spans="2:10" s="19" customFormat="1" x14ac:dyDescent="0.25">
      <c r="B824" s="35"/>
      <c r="C824" s="36"/>
      <c r="J824" s="38"/>
    </row>
    <row r="825" spans="2:10" s="19" customFormat="1" x14ac:dyDescent="0.25">
      <c r="B825" s="35"/>
      <c r="C825" s="36"/>
      <c r="J825" s="38"/>
    </row>
    <row r="826" spans="2:10" s="19" customFormat="1" x14ac:dyDescent="0.25">
      <c r="B826" s="35"/>
      <c r="C826" s="36"/>
      <c r="J826" s="38"/>
    </row>
    <row r="827" spans="2:10" s="19" customFormat="1" x14ac:dyDescent="0.25">
      <c r="B827" s="35"/>
      <c r="C827" s="36"/>
      <c r="J827" s="38"/>
    </row>
    <row r="828" spans="2:10" s="19" customFormat="1" x14ac:dyDescent="0.25">
      <c r="B828" s="35"/>
      <c r="C828" s="36"/>
      <c r="J828" s="38"/>
    </row>
    <row r="829" spans="2:10" s="19" customFormat="1" x14ac:dyDescent="0.25">
      <c r="B829" s="35"/>
      <c r="C829" s="36"/>
      <c r="J829" s="38"/>
    </row>
    <row r="830" spans="2:10" s="19" customFormat="1" x14ac:dyDescent="0.25">
      <c r="B830" s="35"/>
      <c r="C830" s="36"/>
      <c r="J830" s="38"/>
    </row>
    <row r="831" spans="2:10" s="19" customFormat="1" x14ac:dyDescent="0.25">
      <c r="B831" s="35"/>
      <c r="C831" s="36"/>
      <c r="J831" s="38"/>
    </row>
    <row r="832" spans="2:10" s="19" customFormat="1" x14ac:dyDescent="0.25">
      <c r="B832" s="35"/>
      <c r="C832" s="36"/>
      <c r="J832" s="38"/>
    </row>
    <row r="833" spans="2:10" s="19" customFormat="1" x14ac:dyDescent="0.25">
      <c r="B833" s="35"/>
      <c r="C833" s="36"/>
      <c r="J833" s="38"/>
    </row>
    <row r="834" spans="2:10" s="19" customFormat="1" x14ac:dyDescent="0.25">
      <c r="B834" s="35"/>
      <c r="C834" s="36"/>
      <c r="J834" s="38"/>
    </row>
    <row r="835" spans="2:10" s="19" customFormat="1" x14ac:dyDescent="0.25">
      <c r="B835" s="35"/>
      <c r="C835" s="36"/>
      <c r="J835" s="38"/>
    </row>
    <row r="836" spans="2:10" s="19" customFormat="1" x14ac:dyDescent="0.25">
      <c r="B836" s="35"/>
      <c r="C836" s="36"/>
      <c r="J836" s="38"/>
    </row>
    <row r="837" spans="2:10" s="19" customFormat="1" x14ac:dyDescent="0.25">
      <c r="B837" s="35"/>
      <c r="C837" s="36"/>
      <c r="J837" s="38"/>
    </row>
    <row r="838" spans="2:10" s="19" customFormat="1" x14ac:dyDescent="0.25">
      <c r="B838" s="35"/>
      <c r="C838" s="36"/>
      <c r="J838" s="38"/>
    </row>
    <row r="839" spans="2:10" s="19" customFormat="1" x14ac:dyDescent="0.25">
      <c r="B839" s="35"/>
      <c r="C839" s="36"/>
      <c r="J839" s="38"/>
    </row>
    <row r="840" spans="2:10" s="19" customFormat="1" x14ac:dyDescent="0.25">
      <c r="B840" s="35"/>
      <c r="C840" s="36"/>
      <c r="J840" s="38"/>
    </row>
    <row r="841" spans="2:10" s="19" customFormat="1" x14ac:dyDescent="0.25">
      <c r="B841" s="35"/>
      <c r="C841" s="36"/>
      <c r="J841" s="38"/>
    </row>
    <row r="842" spans="2:10" s="19" customFormat="1" x14ac:dyDescent="0.25">
      <c r="B842" s="35"/>
      <c r="C842" s="36"/>
      <c r="J842" s="38"/>
    </row>
    <row r="843" spans="2:10" s="19" customFormat="1" x14ac:dyDescent="0.25">
      <c r="B843" s="35"/>
      <c r="C843" s="36"/>
      <c r="J843" s="38"/>
    </row>
    <row r="844" spans="2:10" s="19" customFormat="1" x14ac:dyDescent="0.25">
      <c r="B844" s="35"/>
      <c r="C844" s="36"/>
      <c r="J844" s="38"/>
    </row>
    <row r="845" spans="2:10" s="19" customFormat="1" x14ac:dyDescent="0.25">
      <c r="B845" s="35"/>
      <c r="C845" s="36"/>
      <c r="J845" s="38"/>
    </row>
    <row r="846" spans="2:10" s="19" customFormat="1" x14ac:dyDescent="0.25">
      <c r="B846" s="35"/>
      <c r="C846" s="36"/>
      <c r="J846" s="38"/>
    </row>
    <row r="847" spans="2:10" s="19" customFormat="1" x14ac:dyDescent="0.25">
      <c r="B847" s="35"/>
      <c r="C847" s="36"/>
      <c r="J847" s="38"/>
    </row>
    <row r="848" spans="2:10" s="19" customFormat="1" x14ac:dyDescent="0.25">
      <c r="B848" s="35"/>
      <c r="C848" s="36"/>
      <c r="J848" s="38"/>
    </row>
    <row r="849" spans="2:10" s="19" customFormat="1" x14ac:dyDescent="0.25">
      <c r="B849" s="35"/>
      <c r="C849" s="36"/>
      <c r="J849" s="38"/>
    </row>
    <row r="850" spans="2:10" s="19" customFormat="1" x14ac:dyDescent="0.25">
      <c r="B850" s="35"/>
      <c r="C850" s="36"/>
      <c r="J850" s="38"/>
    </row>
    <row r="851" spans="2:10" s="19" customFormat="1" x14ac:dyDescent="0.25">
      <c r="B851" s="35"/>
      <c r="C851" s="36"/>
      <c r="J851" s="38"/>
    </row>
    <row r="852" spans="2:10" s="19" customFormat="1" x14ac:dyDescent="0.25">
      <c r="B852" s="35"/>
      <c r="C852" s="36"/>
      <c r="J852" s="38"/>
    </row>
    <row r="853" spans="2:10" s="19" customFormat="1" x14ac:dyDescent="0.25">
      <c r="B853" s="35"/>
      <c r="C853" s="36"/>
      <c r="J853" s="38"/>
    </row>
    <row r="854" spans="2:10" s="19" customFormat="1" x14ac:dyDescent="0.25">
      <c r="B854" s="35"/>
      <c r="C854" s="36"/>
      <c r="J854" s="38"/>
    </row>
    <row r="855" spans="2:10" s="19" customFormat="1" x14ac:dyDescent="0.25">
      <c r="B855" s="35"/>
      <c r="C855" s="36"/>
      <c r="J855" s="38"/>
    </row>
    <row r="856" spans="2:10" s="19" customFormat="1" x14ac:dyDescent="0.25">
      <c r="B856" s="35"/>
      <c r="C856" s="36"/>
      <c r="J856" s="38"/>
    </row>
    <row r="857" spans="2:10" s="19" customFormat="1" x14ac:dyDescent="0.25">
      <c r="B857" s="35"/>
      <c r="C857" s="36"/>
      <c r="J857" s="38"/>
    </row>
    <row r="858" spans="2:10" s="19" customFormat="1" x14ac:dyDescent="0.25">
      <c r="B858" s="35"/>
      <c r="C858" s="36"/>
      <c r="J858" s="38"/>
    </row>
    <row r="859" spans="2:10" s="19" customFormat="1" x14ac:dyDescent="0.25">
      <c r="B859" s="35"/>
      <c r="C859" s="36"/>
      <c r="J859" s="38"/>
    </row>
    <row r="860" spans="2:10" s="19" customFormat="1" x14ac:dyDescent="0.25">
      <c r="B860" s="35"/>
      <c r="C860" s="36"/>
      <c r="J860" s="38"/>
    </row>
    <row r="861" spans="2:10" s="19" customFormat="1" x14ac:dyDescent="0.25">
      <c r="B861" s="35"/>
      <c r="C861" s="36"/>
      <c r="J861" s="38"/>
    </row>
    <row r="862" spans="2:10" s="19" customFormat="1" x14ac:dyDescent="0.25">
      <c r="B862" s="35"/>
      <c r="C862" s="36"/>
      <c r="J862" s="38"/>
    </row>
    <row r="863" spans="2:10" s="19" customFormat="1" x14ac:dyDescent="0.25">
      <c r="B863" s="35"/>
      <c r="C863" s="36"/>
      <c r="J863" s="38"/>
    </row>
    <row r="864" spans="2:10" s="19" customFormat="1" x14ac:dyDescent="0.25">
      <c r="B864" s="35"/>
      <c r="C864" s="36"/>
      <c r="J864" s="38"/>
    </row>
    <row r="865" spans="2:10" s="19" customFormat="1" x14ac:dyDescent="0.25">
      <c r="B865" s="35"/>
      <c r="C865" s="36"/>
      <c r="J865" s="38"/>
    </row>
    <row r="866" spans="2:10" s="19" customFormat="1" x14ac:dyDescent="0.25">
      <c r="B866" s="35"/>
      <c r="C866" s="36"/>
      <c r="J866" s="38"/>
    </row>
    <row r="867" spans="2:10" s="19" customFormat="1" x14ac:dyDescent="0.25">
      <c r="B867" s="35"/>
      <c r="C867" s="36"/>
      <c r="J867" s="38"/>
    </row>
    <row r="868" spans="2:10" s="19" customFormat="1" x14ac:dyDescent="0.25">
      <c r="B868" s="35"/>
      <c r="C868" s="36"/>
      <c r="J868" s="38"/>
    </row>
    <row r="869" spans="2:10" s="19" customFormat="1" x14ac:dyDescent="0.25">
      <c r="B869" s="35"/>
      <c r="C869" s="36"/>
      <c r="J869" s="38"/>
    </row>
    <row r="870" spans="2:10" s="19" customFormat="1" x14ac:dyDescent="0.25">
      <c r="B870" s="35"/>
      <c r="C870" s="36"/>
      <c r="J870" s="38"/>
    </row>
    <row r="871" spans="2:10" s="19" customFormat="1" x14ac:dyDescent="0.25">
      <c r="B871" s="35"/>
      <c r="C871" s="36"/>
      <c r="J871" s="38"/>
    </row>
    <row r="872" spans="2:10" s="19" customFormat="1" x14ac:dyDescent="0.25">
      <c r="B872" s="35"/>
      <c r="C872" s="36"/>
      <c r="J872" s="38"/>
    </row>
    <row r="873" spans="2:10" s="19" customFormat="1" x14ac:dyDescent="0.25">
      <c r="B873" s="35"/>
      <c r="C873" s="36"/>
      <c r="J873" s="38"/>
    </row>
    <row r="874" spans="2:10" s="19" customFormat="1" x14ac:dyDescent="0.25">
      <c r="B874" s="35"/>
      <c r="C874" s="36"/>
      <c r="J874" s="38"/>
    </row>
    <row r="875" spans="2:10" s="19" customFormat="1" x14ac:dyDescent="0.25">
      <c r="B875" s="35"/>
      <c r="C875" s="36"/>
      <c r="J875" s="38"/>
    </row>
    <row r="876" spans="2:10" s="19" customFormat="1" x14ac:dyDescent="0.25">
      <c r="B876" s="35"/>
      <c r="C876" s="36"/>
      <c r="J876" s="38"/>
    </row>
    <row r="877" spans="2:10" s="19" customFormat="1" x14ac:dyDescent="0.25">
      <c r="B877" s="35"/>
      <c r="C877" s="36"/>
      <c r="J877" s="38"/>
    </row>
    <row r="878" spans="2:10" s="19" customFormat="1" x14ac:dyDescent="0.25">
      <c r="B878" s="35"/>
      <c r="C878" s="36"/>
      <c r="J878" s="38"/>
    </row>
    <row r="879" spans="2:10" s="19" customFormat="1" x14ac:dyDescent="0.25">
      <c r="B879" s="35"/>
      <c r="C879" s="36"/>
      <c r="J879" s="38"/>
    </row>
    <row r="880" spans="2:10" s="19" customFormat="1" x14ac:dyDescent="0.25">
      <c r="B880" s="35"/>
      <c r="C880" s="36"/>
      <c r="J880" s="38"/>
    </row>
    <row r="881" spans="2:10" s="19" customFormat="1" x14ac:dyDescent="0.25">
      <c r="B881" s="35"/>
      <c r="C881" s="36"/>
      <c r="J881" s="38"/>
    </row>
    <row r="882" spans="2:10" s="19" customFormat="1" x14ac:dyDescent="0.25">
      <c r="B882" s="35"/>
      <c r="C882" s="36"/>
      <c r="J882" s="38"/>
    </row>
    <row r="883" spans="2:10" s="19" customFormat="1" x14ac:dyDescent="0.25">
      <c r="B883" s="35"/>
      <c r="C883" s="36"/>
      <c r="J883" s="38"/>
    </row>
    <row r="884" spans="2:10" s="19" customFormat="1" x14ac:dyDescent="0.25">
      <c r="B884" s="35"/>
      <c r="C884" s="36"/>
      <c r="J884" s="38"/>
    </row>
    <row r="885" spans="2:10" s="19" customFormat="1" x14ac:dyDescent="0.25">
      <c r="B885" s="35"/>
      <c r="C885" s="36"/>
      <c r="J885" s="38"/>
    </row>
    <row r="886" spans="2:10" s="19" customFormat="1" x14ac:dyDescent="0.25">
      <c r="B886" s="35"/>
      <c r="C886" s="36"/>
      <c r="J886" s="38"/>
    </row>
    <row r="887" spans="2:10" s="19" customFormat="1" x14ac:dyDescent="0.25">
      <c r="B887" s="35"/>
      <c r="C887" s="36"/>
      <c r="J887" s="38"/>
    </row>
    <row r="888" spans="2:10" s="19" customFormat="1" x14ac:dyDescent="0.25">
      <c r="B888" s="35"/>
      <c r="C888" s="36"/>
      <c r="J888" s="38"/>
    </row>
    <row r="889" spans="2:10" s="19" customFormat="1" x14ac:dyDescent="0.25">
      <c r="B889" s="35"/>
      <c r="C889" s="36"/>
      <c r="J889" s="38"/>
    </row>
    <row r="890" spans="2:10" s="19" customFormat="1" x14ac:dyDescent="0.25">
      <c r="B890" s="35"/>
      <c r="C890" s="36"/>
      <c r="J890" s="38"/>
    </row>
    <row r="891" spans="2:10" s="19" customFormat="1" x14ac:dyDescent="0.25">
      <c r="B891" s="35"/>
      <c r="C891" s="36"/>
      <c r="J891" s="38"/>
    </row>
    <row r="892" spans="2:10" s="19" customFormat="1" x14ac:dyDescent="0.25">
      <c r="B892" s="35"/>
      <c r="C892" s="36"/>
      <c r="J892" s="38"/>
    </row>
    <row r="893" spans="2:10" s="19" customFormat="1" x14ac:dyDescent="0.25">
      <c r="B893" s="35"/>
      <c r="C893" s="36"/>
      <c r="J893" s="38"/>
    </row>
    <row r="894" spans="2:10" s="19" customFormat="1" x14ac:dyDescent="0.25">
      <c r="B894" s="35"/>
      <c r="C894" s="36"/>
      <c r="J894" s="38"/>
    </row>
    <row r="895" spans="2:10" s="19" customFormat="1" x14ac:dyDescent="0.25">
      <c r="B895" s="35"/>
      <c r="C895" s="36"/>
      <c r="J895" s="38"/>
    </row>
    <row r="896" spans="2:10" s="19" customFormat="1" x14ac:dyDescent="0.25">
      <c r="B896" s="35"/>
      <c r="C896" s="36"/>
      <c r="J896" s="38"/>
    </row>
    <row r="897" spans="2:10" s="19" customFormat="1" x14ac:dyDescent="0.25">
      <c r="B897" s="35"/>
      <c r="C897" s="36"/>
      <c r="J897" s="38"/>
    </row>
    <row r="898" spans="2:10" s="19" customFormat="1" x14ac:dyDescent="0.25">
      <c r="B898" s="35"/>
      <c r="C898" s="36"/>
      <c r="J898" s="38"/>
    </row>
    <row r="899" spans="2:10" s="19" customFormat="1" x14ac:dyDescent="0.25">
      <c r="B899" s="35"/>
      <c r="C899" s="36"/>
      <c r="J899" s="38"/>
    </row>
    <row r="900" spans="2:10" s="19" customFormat="1" x14ac:dyDescent="0.25">
      <c r="B900" s="35"/>
      <c r="C900" s="36"/>
      <c r="J900" s="38"/>
    </row>
    <row r="901" spans="2:10" s="19" customFormat="1" x14ac:dyDescent="0.25">
      <c r="B901" s="35"/>
      <c r="C901" s="36"/>
      <c r="J901" s="38"/>
    </row>
    <row r="902" spans="2:10" s="19" customFormat="1" x14ac:dyDescent="0.25">
      <c r="B902" s="35"/>
      <c r="C902" s="36"/>
      <c r="J902" s="38"/>
    </row>
    <row r="903" spans="2:10" s="19" customFormat="1" x14ac:dyDescent="0.25">
      <c r="B903" s="35"/>
      <c r="C903" s="36"/>
      <c r="J903" s="38"/>
    </row>
    <row r="904" spans="2:10" s="19" customFormat="1" x14ac:dyDescent="0.25">
      <c r="B904" s="35"/>
      <c r="C904" s="36"/>
      <c r="J904" s="38"/>
    </row>
    <row r="905" spans="2:10" s="19" customFormat="1" x14ac:dyDescent="0.25">
      <c r="B905" s="35"/>
      <c r="C905" s="36"/>
      <c r="J905" s="38"/>
    </row>
    <row r="906" spans="2:10" s="19" customFormat="1" x14ac:dyDescent="0.25">
      <c r="B906" s="35"/>
      <c r="C906" s="36"/>
      <c r="J906" s="38"/>
    </row>
    <row r="907" spans="2:10" s="19" customFormat="1" x14ac:dyDescent="0.25">
      <c r="B907" s="35"/>
      <c r="C907" s="36"/>
      <c r="J907" s="38"/>
    </row>
    <row r="908" spans="2:10" s="19" customFormat="1" x14ac:dyDescent="0.25">
      <c r="B908" s="35"/>
      <c r="C908" s="36"/>
      <c r="J908" s="38"/>
    </row>
    <row r="909" spans="2:10" s="19" customFormat="1" x14ac:dyDescent="0.25">
      <c r="B909" s="35"/>
      <c r="C909" s="36"/>
      <c r="J909" s="38"/>
    </row>
    <row r="910" spans="2:10" s="19" customFormat="1" x14ac:dyDescent="0.25">
      <c r="B910" s="35"/>
      <c r="C910" s="36"/>
      <c r="J910" s="38"/>
    </row>
    <row r="911" spans="2:10" s="19" customFormat="1" x14ac:dyDescent="0.25">
      <c r="B911" s="35"/>
      <c r="C911" s="36"/>
      <c r="J911" s="38"/>
    </row>
    <row r="912" spans="2:10" s="19" customFormat="1" x14ac:dyDescent="0.25">
      <c r="B912" s="35"/>
      <c r="C912" s="36"/>
      <c r="J912" s="38"/>
    </row>
    <row r="913" spans="2:10" s="19" customFormat="1" x14ac:dyDescent="0.25">
      <c r="B913" s="35"/>
      <c r="C913" s="36"/>
      <c r="J913" s="38"/>
    </row>
    <row r="914" spans="2:10" s="19" customFormat="1" x14ac:dyDescent="0.25">
      <c r="B914" s="35"/>
      <c r="C914" s="36"/>
      <c r="J914" s="38"/>
    </row>
    <row r="915" spans="2:10" s="19" customFormat="1" x14ac:dyDescent="0.25">
      <c r="B915" s="35"/>
      <c r="C915" s="36"/>
      <c r="J915" s="38"/>
    </row>
    <row r="916" spans="2:10" s="19" customFormat="1" x14ac:dyDescent="0.25">
      <c r="B916" s="35"/>
      <c r="C916" s="36"/>
      <c r="J916" s="38"/>
    </row>
    <row r="917" spans="2:10" s="19" customFormat="1" x14ac:dyDescent="0.25">
      <c r="B917" s="35"/>
      <c r="C917" s="36"/>
      <c r="J917" s="38"/>
    </row>
    <row r="918" spans="2:10" s="19" customFormat="1" x14ac:dyDescent="0.25">
      <c r="B918" s="35"/>
      <c r="C918" s="36"/>
      <c r="J918" s="38"/>
    </row>
    <row r="919" spans="2:10" s="19" customFormat="1" x14ac:dyDescent="0.25">
      <c r="B919" s="35"/>
      <c r="C919" s="36"/>
      <c r="J919" s="38"/>
    </row>
    <row r="920" spans="2:10" s="19" customFormat="1" x14ac:dyDescent="0.25">
      <c r="B920" s="35"/>
      <c r="C920" s="36"/>
      <c r="J920" s="38"/>
    </row>
    <row r="921" spans="2:10" s="19" customFormat="1" x14ac:dyDescent="0.25">
      <c r="B921" s="35"/>
      <c r="C921" s="36"/>
      <c r="J921" s="38"/>
    </row>
    <row r="922" spans="2:10" s="19" customFormat="1" x14ac:dyDescent="0.25">
      <c r="B922" s="35"/>
      <c r="C922" s="36"/>
      <c r="J922" s="38"/>
    </row>
    <row r="923" spans="2:10" s="19" customFormat="1" x14ac:dyDescent="0.25">
      <c r="B923" s="35"/>
      <c r="C923" s="36"/>
      <c r="J923" s="38"/>
    </row>
    <row r="924" spans="2:10" s="19" customFormat="1" x14ac:dyDescent="0.25">
      <c r="B924" s="35"/>
      <c r="C924" s="36"/>
      <c r="J924" s="38"/>
    </row>
    <row r="925" spans="2:10" s="19" customFormat="1" x14ac:dyDescent="0.25">
      <c r="B925" s="35"/>
      <c r="C925" s="36"/>
      <c r="J925" s="38"/>
    </row>
    <row r="926" spans="2:10" s="19" customFormat="1" x14ac:dyDescent="0.25">
      <c r="B926" s="35"/>
      <c r="C926" s="36"/>
      <c r="J926" s="38"/>
    </row>
    <row r="927" spans="2:10" s="19" customFormat="1" x14ac:dyDescent="0.25">
      <c r="B927" s="35"/>
      <c r="C927" s="36"/>
      <c r="J927" s="38"/>
    </row>
    <row r="928" spans="2:10" s="19" customFormat="1" x14ac:dyDescent="0.25">
      <c r="B928" s="35"/>
      <c r="C928" s="36"/>
      <c r="J928" s="38"/>
    </row>
    <row r="929" spans="2:10" s="19" customFormat="1" x14ac:dyDescent="0.25">
      <c r="B929" s="35"/>
      <c r="C929" s="36"/>
      <c r="J929" s="38"/>
    </row>
    <row r="930" spans="2:10" s="19" customFormat="1" x14ac:dyDescent="0.25">
      <c r="B930" s="35"/>
      <c r="C930" s="36"/>
      <c r="J930" s="38"/>
    </row>
    <row r="931" spans="2:10" s="19" customFormat="1" x14ac:dyDescent="0.25">
      <c r="B931" s="35"/>
      <c r="C931" s="36"/>
      <c r="J931" s="38"/>
    </row>
    <row r="932" spans="2:10" s="19" customFormat="1" x14ac:dyDescent="0.25">
      <c r="B932" s="35"/>
      <c r="C932" s="36"/>
      <c r="J932" s="38"/>
    </row>
    <row r="933" spans="2:10" s="19" customFormat="1" x14ac:dyDescent="0.25">
      <c r="B933" s="35"/>
      <c r="C933" s="36"/>
      <c r="J933" s="38"/>
    </row>
    <row r="934" spans="2:10" s="19" customFormat="1" x14ac:dyDescent="0.25">
      <c r="B934" s="35"/>
      <c r="C934" s="36"/>
      <c r="J934" s="38"/>
    </row>
    <row r="935" spans="2:10" s="19" customFormat="1" x14ac:dyDescent="0.25">
      <c r="B935" s="35"/>
      <c r="C935" s="36"/>
      <c r="J935" s="38"/>
    </row>
    <row r="936" spans="2:10" s="19" customFormat="1" x14ac:dyDescent="0.25">
      <c r="B936" s="35"/>
      <c r="C936" s="36"/>
      <c r="J936" s="38"/>
    </row>
    <row r="937" spans="2:10" s="19" customFormat="1" x14ac:dyDescent="0.25">
      <c r="B937" s="35"/>
      <c r="C937" s="36"/>
      <c r="J937" s="38"/>
    </row>
    <row r="938" spans="2:10" s="19" customFormat="1" x14ac:dyDescent="0.25">
      <c r="B938" s="35"/>
      <c r="C938" s="36"/>
      <c r="J938" s="38"/>
    </row>
    <row r="939" spans="2:10" s="19" customFormat="1" x14ac:dyDescent="0.25">
      <c r="B939" s="35"/>
      <c r="C939" s="36"/>
      <c r="J939" s="38"/>
    </row>
    <row r="940" spans="2:10" s="19" customFormat="1" x14ac:dyDescent="0.25">
      <c r="B940" s="35"/>
      <c r="C940" s="36"/>
      <c r="J940" s="38"/>
    </row>
    <row r="941" spans="2:10" s="19" customFormat="1" x14ac:dyDescent="0.25">
      <c r="B941" s="35"/>
      <c r="C941" s="36"/>
      <c r="J941" s="38"/>
    </row>
    <row r="942" spans="2:10" s="19" customFormat="1" x14ac:dyDescent="0.25">
      <c r="B942" s="35"/>
      <c r="C942" s="36"/>
      <c r="J942" s="38"/>
    </row>
    <row r="943" spans="2:10" s="19" customFormat="1" x14ac:dyDescent="0.25">
      <c r="B943" s="35"/>
      <c r="C943" s="36"/>
      <c r="J943" s="38"/>
    </row>
    <row r="944" spans="2:10" s="19" customFormat="1" x14ac:dyDescent="0.25">
      <c r="B944" s="35"/>
      <c r="C944" s="36"/>
      <c r="J944" s="38"/>
    </row>
    <row r="945" spans="2:10" s="19" customFormat="1" x14ac:dyDescent="0.25">
      <c r="B945" s="35"/>
      <c r="C945" s="36"/>
      <c r="J945" s="38"/>
    </row>
    <row r="946" spans="2:10" s="19" customFormat="1" x14ac:dyDescent="0.25">
      <c r="B946" s="35"/>
      <c r="C946" s="36"/>
      <c r="J946" s="38"/>
    </row>
    <row r="947" spans="2:10" s="19" customFormat="1" x14ac:dyDescent="0.25">
      <c r="B947" s="35"/>
      <c r="C947" s="36"/>
      <c r="J947" s="38"/>
    </row>
    <row r="948" spans="2:10" s="19" customFormat="1" x14ac:dyDescent="0.25">
      <c r="B948" s="35"/>
      <c r="C948" s="36"/>
      <c r="J948" s="38"/>
    </row>
    <row r="949" spans="2:10" s="19" customFormat="1" x14ac:dyDescent="0.25">
      <c r="B949" s="35"/>
      <c r="C949" s="36"/>
      <c r="J949" s="38"/>
    </row>
    <row r="950" spans="2:10" s="19" customFormat="1" x14ac:dyDescent="0.25">
      <c r="B950" s="35"/>
      <c r="C950" s="36"/>
      <c r="J950" s="38"/>
    </row>
    <row r="951" spans="2:10" s="19" customFormat="1" x14ac:dyDescent="0.25">
      <c r="B951" s="35"/>
      <c r="C951" s="36"/>
      <c r="J951" s="38"/>
    </row>
    <row r="952" spans="2:10" s="19" customFormat="1" x14ac:dyDescent="0.25">
      <c r="B952" s="35"/>
      <c r="C952" s="36"/>
      <c r="J952" s="38"/>
    </row>
    <row r="953" spans="2:10" s="19" customFormat="1" x14ac:dyDescent="0.25">
      <c r="B953" s="35"/>
      <c r="C953" s="36"/>
      <c r="J953" s="38"/>
    </row>
    <row r="954" spans="2:10" s="19" customFormat="1" x14ac:dyDescent="0.25">
      <c r="B954" s="35"/>
      <c r="C954" s="36"/>
      <c r="J954" s="38"/>
    </row>
    <row r="955" spans="2:10" s="19" customFormat="1" x14ac:dyDescent="0.25">
      <c r="B955" s="35"/>
      <c r="C955" s="36"/>
      <c r="J955" s="38"/>
    </row>
    <row r="956" spans="2:10" s="19" customFormat="1" x14ac:dyDescent="0.25">
      <c r="B956" s="35"/>
      <c r="C956" s="36"/>
      <c r="J956" s="38"/>
    </row>
    <row r="957" spans="2:10" s="19" customFormat="1" x14ac:dyDescent="0.25">
      <c r="B957" s="35"/>
      <c r="C957" s="36"/>
      <c r="J957" s="38"/>
    </row>
    <row r="958" spans="2:10" s="19" customFormat="1" x14ac:dyDescent="0.25">
      <c r="B958" s="35"/>
      <c r="C958" s="36"/>
      <c r="J958" s="38"/>
    </row>
    <row r="959" spans="2:10" s="19" customFormat="1" x14ac:dyDescent="0.25">
      <c r="B959" s="35"/>
      <c r="C959" s="36"/>
      <c r="J959" s="38"/>
    </row>
    <row r="960" spans="2:10" s="19" customFormat="1" x14ac:dyDescent="0.25">
      <c r="B960" s="35"/>
      <c r="C960" s="36"/>
      <c r="J960" s="38"/>
    </row>
    <row r="961" spans="2:10" s="19" customFormat="1" x14ac:dyDescent="0.25">
      <c r="B961" s="35"/>
      <c r="C961" s="36"/>
      <c r="J961" s="38"/>
    </row>
    <row r="962" spans="2:10" s="19" customFormat="1" x14ac:dyDescent="0.25">
      <c r="B962" s="35"/>
      <c r="C962" s="36"/>
      <c r="J962" s="38"/>
    </row>
    <row r="963" spans="2:10" s="19" customFormat="1" x14ac:dyDescent="0.25">
      <c r="B963" s="35"/>
      <c r="C963" s="36"/>
      <c r="J963" s="38"/>
    </row>
    <row r="964" spans="2:10" s="19" customFormat="1" x14ac:dyDescent="0.25">
      <c r="B964" s="35"/>
      <c r="C964" s="36"/>
      <c r="J964" s="38"/>
    </row>
    <row r="965" spans="2:10" s="19" customFormat="1" x14ac:dyDescent="0.25">
      <c r="B965" s="35"/>
      <c r="C965" s="36"/>
      <c r="J965" s="38"/>
    </row>
    <row r="966" spans="2:10" s="19" customFormat="1" x14ac:dyDescent="0.25">
      <c r="B966" s="35"/>
      <c r="C966" s="36"/>
      <c r="J966" s="38"/>
    </row>
    <row r="967" spans="2:10" s="19" customFormat="1" x14ac:dyDescent="0.25">
      <c r="B967" s="35"/>
      <c r="C967" s="36"/>
      <c r="J967" s="38"/>
    </row>
    <row r="968" spans="2:10" s="19" customFormat="1" x14ac:dyDescent="0.25">
      <c r="B968" s="35"/>
      <c r="C968" s="36"/>
      <c r="J968" s="38"/>
    </row>
    <row r="969" spans="2:10" s="19" customFormat="1" x14ac:dyDescent="0.25">
      <c r="B969" s="35"/>
      <c r="C969" s="36"/>
      <c r="J969" s="38"/>
    </row>
    <row r="970" spans="2:10" s="19" customFormat="1" x14ac:dyDescent="0.25">
      <c r="B970" s="35"/>
      <c r="C970" s="36"/>
      <c r="J970" s="38"/>
    </row>
    <row r="971" spans="2:10" s="19" customFormat="1" x14ac:dyDescent="0.25">
      <c r="B971" s="35"/>
      <c r="C971" s="36"/>
      <c r="J971" s="38"/>
    </row>
    <row r="972" spans="2:10" s="19" customFormat="1" x14ac:dyDescent="0.25">
      <c r="B972" s="35"/>
      <c r="C972" s="36"/>
      <c r="J972" s="38"/>
    </row>
    <row r="973" spans="2:10" s="19" customFormat="1" x14ac:dyDescent="0.25">
      <c r="B973" s="35"/>
      <c r="C973" s="36"/>
      <c r="J973" s="38"/>
    </row>
    <row r="974" spans="2:10" s="19" customFormat="1" x14ac:dyDescent="0.25">
      <c r="B974" s="35"/>
      <c r="C974" s="36"/>
      <c r="J974" s="38"/>
    </row>
    <row r="975" spans="2:10" s="19" customFormat="1" x14ac:dyDescent="0.25">
      <c r="B975" s="35"/>
      <c r="C975" s="36"/>
      <c r="J975" s="38"/>
    </row>
    <row r="976" spans="2:10" s="19" customFormat="1" x14ac:dyDescent="0.25">
      <c r="B976" s="35"/>
      <c r="C976" s="36"/>
      <c r="J976" s="38"/>
    </row>
    <row r="977" spans="2:10" s="19" customFormat="1" x14ac:dyDescent="0.25">
      <c r="B977" s="35"/>
      <c r="C977" s="36"/>
      <c r="J977" s="38"/>
    </row>
    <row r="978" spans="2:10" s="19" customFormat="1" x14ac:dyDescent="0.25">
      <c r="B978" s="35"/>
      <c r="C978" s="36"/>
      <c r="J978" s="38"/>
    </row>
    <row r="979" spans="2:10" s="19" customFormat="1" x14ac:dyDescent="0.25">
      <c r="B979" s="35"/>
      <c r="C979" s="36"/>
      <c r="J979" s="38"/>
    </row>
    <row r="980" spans="2:10" s="19" customFormat="1" x14ac:dyDescent="0.25">
      <c r="B980" s="35"/>
      <c r="C980" s="36"/>
      <c r="J980" s="38"/>
    </row>
    <row r="981" spans="2:10" s="19" customFormat="1" x14ac:dyDescent="0.25">
      <c r="B981" s="35"/>
      <c r="C981" s="36"/>
      <c r="J981" s="38"/>
    </row>
    <row r="982" spans="2:10" s="19" customFormat="1" x14ac:dyDescent="0.25">
      <c r="B982" s="35"/>
      <c r="C982" s="36"/>
      <c r="J982" s="38"/>
    </row>
    <row r="983" spans="2:10" s="19" customFormat="1" x14ac:dyDescent="0.25">
      <c r="B983" s="35"/>
      <c r="C983" s="36"/>
      <c r="J983" s="38"/>
    </row>
    <row r="984" spans="2:10" s="19" customFormat="1" x14ac:dyDescent="0.25">
      <c r="B984" s="35"/>
      <c r="C984" s="36"/>
      <c r="J984" s="38"/>
    </row>
    <row r="985" spans="2:10" s="19" customFormat="1" x14ac:dyDescent="0.25">
      <c r="B985" s="35"/>
      <c r="C985" s="36"/>
      <c r="J985" s="38"/>
    </row>
    <row r="986" spans="2:10" s="19" customFormat="1" x14ac:dyDescent="0.25">
      <c r="B986" s="35"/>
      <c r="C986" s="36"/>
      <c r="J986" s="38"/>
    </row>
    <row r="987" spans="2:10" s="19" customFormat="1" x14ac:dyDescent="0.25">
      <c r="B987" s="35"/>
      <c r="C987" s="36"/>
      <c r="J987" s="38"/>
    </row>
    <row r="988" spans="2:10" s="19" customFormat="1" x14ac:dyDescent="0.25">
      <c r="B988" s="35"/>
      <c r="C988" s="36"/>
      <c r="J988" s="38"/>
    </row>
    <row r="989" spans="2:10" s="19" customFormat="1" x14ac:dyDescent="0.25">
      <c r="B989" s="35"/>
      <c r="C989" s="36"/>
      <c r="J989" s="38"/>
    </row>
    <row r="990" spans="2:10" s="19" customFormat="1" x14ac:dyDescent="0.25">
      <c r="B990" s="35"/>
      <c r="C990" s="36"/>
      <c r="J990" s="38"/>
    </row>
    <row r="991" spans="2:10" s="19" customFormat="1" x14ac:dyDescent="0.25">
      <c r="B991" s="35"/>
      <c r="C991" s="36"/>
      <c r="J991" s="38"/>
    </row>
    <row r="992" spans="2:10" s="19" customFormat="1" x14ac:dyDescent="0.25">
      <c r="B992" s="35"/>
      <c r="C992" s="36"/>
      <c r="J992" s="38"/>
    </row>
    <row r="993" spans="2:10" s="19" customFormat="1" x14ac:dyDescent="0.25">
      <c r="B993" s="35"/>
      <c r="C993" s="36"/>
      <c r="J993" s="38"/>
    </row>
    <row r="994" spans="2:10" s="19" customFormat="1" x14ac:dyDescent="0.25">
      <c r="B994" s="35"/>
      <c r="C994" s="36"/>
      <c r="J994" s="38"/>
    </row>
    <row r="995" spans="2:10" s="19" customFormat="1" x14ac:dyDescent="0.25">
      <c r="B995" s="35"/>
      <c r="C995" s="36"/>
      <c r="J995" s="38"/>
    </row>
    <row r="996" spans="2:10" s="19" customFormat="1" x14ac:dyDescent="0.25">
      <c r="B996" s="35"/>
      <c r="C996" s="36"/>
      <c r="J996" s="38"/>
    </row>
    <row r="997" spans="2:10" s="19" customFormat="1" x14ac:dyDescent="0.25">
      <c r="B997" s="35"/>
      <c r="C997" s="36"/>
      <c r="J997" s="38"/>
    </row>
    <row r="998" spans="2:10" s="19" customFormat="1" x14ac:dyDescent="0.25">
      <c r="B998" s="35"/>
      <c r="C998" s="36"/>
      <c r="J998" s="38"/>
    </row>
    <row r="999" spans="2:10" s="19" customFormat="1" x14ac:dyDescent="0.25">
      <c r="B999" s="35"/>
      <c r="C999" s="36"/>
      <c r="J999" s="38"/>
    </row>
    <row r="1000" spans="2:10" s="19" customFormat="1" x14ac:dyDescent="0.25">
      <c r="B1000" s="35"/>
      <c r="C1000" s="36"/>
      <c r="J1000" s="38"/>
    </row>
    <row r="1001" spans="2:10" s="19" customFormat="1" x14ac:dyDescent="0.25">
      <c r="B1001" s="35"/>
      <c r="C1001" s="36"/>
      <c r="J1001" s="38"/>
    </row>
    <row r="1002" spans="2:10" s="19" customFormat="1" x14ac:dyDescent="0.25">
      <c r="B1002" s="35"/>
      <c r="C1002" s="36"/>
      <c r="J1002" s="38"/>
    </row>
    <row r="1003" spans="2:10" s="19" customFormat="1" x14ac:dyDescent="0.25">
      <c r="B1003" s="35"/>
      <c r="C1003" s="36"/>
      <c r="J1003" s="38"/>
    </row>
    <row r="1004" spans="2:10" s="19" customFormat="1" x14ac:dyDescent="0.25">
      <c r="B1004" s="35"/>
      <c r="C1004" s="36"/>
      <c r="J1004" s="38"/>
    </row>
    <row r="1005" spans="2:10" s="19" customFormat="1" x14ac:dyDescent="0.25">
      <c r="B1005" s="35"/>
      <c r="C1005" s="36"/>
      <c r="J1005" s="38"/>
    </row>
    <row r="1006" spans="2:10" s="19" customFormat="1" x14ac:dyDescent="0.25">
      <c r="B1006" s="35"/>
      <c r="C1006" s="36"/>
      <c r="J1006" s="38"/>
    </row>
    <row r="1007" spans="2:10" s="19" customFormat="1" x14ac:dyDescent="0.25">
      <c r="B1007" s="35"/>
      <c r="C1007" s="36"/>
      <c r="J1007" s="38"/>
    </row>
    <row r="1008" spans="2:10" s="19" customFormat="1" x14ac:dyDescent="0.25">
      <c r="B1008" s="35"/>
      <c r="C1008" s="36"/>
      <c r="J1008" s="38"/>
    </row>
    <row r="1009" spans="2:10" s="19" customFormat="1" x14ac:dyDescent="0.25">
      <c r="B1009" s="35"/>
      <c r="C1009" s="36"/>
      <c r="J1009" s="38"/>
    </row>
    <row r="1010" spans="2:10" s="19" customFormat="1" x14ac:dyDescent="0.25">
      <c r="B1010" s="35"/>
      <c r="C1010" s="36"/>
      <c r="J1010" s="38"/>
    </row>
    <row r="1011" spans="2:10" s="19" customFormat="1" x14ac:dyDescent="0.25">
      <c r="B1011" s="35"/>
      <c r="C1011" s="36"/>
      <c r="J1011" s="38"/>
    </row>
    <row r="1012" spans="2:10" s="19" customFormat="1" x14ac:dyDescent="0.25">
      <c r="B1012" s="35"/>
      <c r="C1012" s="36"/>
      <c r="J1012" s="38"/>
    </row>
    <row r="1013" spans="2:10" s="19" customFormat="1" x14ac:dyDescent="0.25">
      <c r="B1013" s="35"/>
      <c r="C1013" s="36"/>
      <c r="J1013" s="38"/>
    </row>
    <row r="1014" spans="2:10" s="19" customFormat="1" x14ac:dyDescent="0.25">
      <c r="B1014" s="35"/>
      <c r="C1014" s="36"/>
      <c r="J1014" s="38"/>
    </row>
    <row r="1015" spans="2:10" s="19" customFormat="1" x14ac:dyDescent="0.25">
      <c r="B1015" s="35"/>
      <c r="C1015" s="36"/>
      <c r="J1015" s="38"/>
    </row>
    <row r="1016" spans="2:10" s="19" customFormat="1" x14ac:dyDescent="0.25">
      <c r="B1016" s="35"/>
      <c r="C1016" s="36"/>
      <c r="J1016" s="38"/>
    </row>
    <row r="1017" spans="2:10" s="19" customFormat="1" x14ac:dyDescent="0.25">
      <c r="B1017" s="35"/>
      <c r="C1017" s="36"/>
      <c r="J1017" s="38"/>
    </row>
    <row r="1018" spans="2:10" s="19" customFormat="1" x14ac:dyDescent="0.25">
      <c r="B1018" s="35"/>
      <c r="C1018" s="36"/>
      <c r="J1018" s="38"/>
    </row>
    <row r="1019" spans="2:10" s="19" customFormat="1" x14ac:dyDescent="0.25">
      <c r="B1019" s="35"/>
      <c r="C1019" s="36"/>
      <c r="J1019" s="38"/>
    </row>
    <row r="1020" spans="2:10" s="19" customFormat="1" x14ac:dyDescent="0.25">
      <c r="B1020" s="35"/>
      <c r="C1020" s="36"/>
      <c r="J1020" s="38"/>
    </row>
    <row r="1021" spans="2:10" s="19" customFormat="1" x14ac:dyDescent="0.25">
      <c r="B1021" s="35"/>
      <c r="C1021" s="36"/>
      <c r="J1021" s="38"/>
    </row>
    <row r="1022" spans="2:10" s="19" customFormat="1" x14ac:dyDescent="0.25">
      <c r="B1022" s="35"/>
      <c r="C1022" s="36"/>
      <c r="J1022" s="38"/>
    </row>
    <row r="1023" spans="2:10" s="19" customFormat="1" x14ac:dyDescent="0.25">
      <c r="B1023" s="35"/>
      <c r="C1023" s="36"/>
      <c r="J1023" s="38"/>
    </row>
    <row r="1024" spans="2:10" s="19" customFormat="1" x14ac:dyDescent="0.25">
      <c r="B1024" s="35"/>
      <c r="C1024" s="36"/>
      <c r="J1024" s="38"/>
    </row>
    <row r="1025" spans="2:10" s="19" customFormat="1" x14ac:dyDescent="0.25">
      <c r="B1025" s="35"/>
      <c r="C1025" s="36"/>
      <c r="J1025" s="38"/>
    </row>
    <row r="1026" spans="2:10" s="19" customFormat="1" x14ac:dyDescent="0.25">
      <c r="B1026" s="35"/>
      <c r="C1026" s="36"/>
      <c r="J1026" s="38"/>
    </row>
    <row r="1027" spans="2:10" s="19" customFormat="1" x14ac:dyDescent="0.25">
      <c r="B1027" s="35"/>
      <c r="C1027" s="36"/>
      <c r="J1027" s="38"/>
    </row>
    <row r="1028" spans="2:10" s="19" customFormat="1" x14ac:dyDescent="0.25">
      <c r="B1028" s="35"/>
      <c r="C1028" s="36"/>
      <c r="J1028" s="38"/>
    </row>
    <row r="1029" spans="2:10" s="19" customFormat="1" x14ac:dyDescent="0.25">
      <c r="B1029" s="35"/>
      <c r="C1029" s="36"/>
      <c r="J1029" s="38"/>
    </row>
    <row r="1030" spans="2:10" s="19" customFormat="1" x14ac:dyDescent="0.25">
      <c r="B1030" s="35"/>
      <c r="C1030" s="36"/>
      <c r="J1030" s="38"/>
    </row>
    <row r="1031" spans="2:10" s="19" customFormat="1" x14ac:dyDescent="0.25">
      <c r="B1031" s="35"/>
      <c r="C1031" s="36"/>
      <c r="J1031" s="38"/>
    </row>
    <row r="1032" spans="2:10" s="19" customFormat="1" x14ac:dyDescent="0.25">
      <c r="B1032" s="35"/>
      <c r="C1032" s="36"/>
      <c r="J1032" s="38"/>
    </row>
    <row r="1033" spans="2:10" s="19" customFormat="1" x14ac:dyDescent="0.25">
      <c r="B1033" s="35"/>
      <c r="C1033" s="36"/>
      <c r="J1033" s="38"/>
    </row>
    <row r="1034" spans="2:10" s="19" customFormat="1" x14ac:dyDescent="0.25">
      <c r="B1034" s="35"/>
      <c r="C1034" s="36"/>
      <c r="J1034" s="38"/>
    </row>
    <row r="1035" spans="2:10" s="19" customFormat="1" x14ac:dyDescent="0.25">
      <c r="B1035" s="35"/>
      <c r="C1035" s="36"/>
      <c r="J1035" s="38"/>
    </row>
    <row r="1036" spans="2:10" s="19" customFormat="1" x14ac:dyDescent="0.25">
      <c r="B1036" s="35"/>
      <c r="C1036" s="36"/>
      <c r="J1036" s="38"/>
    </row>
    <row r="1037" spans="2:10" s="19" customFormat="1" x14ac:dyDescent="0.25">
      <c r="B1037" s="35"/>
      <c r="C1037" s="36"/>
      <c r="J1037" s="38"/>
    </row>
    <row r="1038" spans="2:10" s="19" customFormat="1" x14ac:dyDescent="0.25">
      <c r="B1038" s="35"/>
      <c r="C1038" s="36"/>
      <c r="J1038" s="38"/>
    </row>
    <row r="1039" spans="2:10" s="19" customFormat="1" x14ac:dyDescent="0.25">
      <c r="B1039" s="35"/>
      <c r="C1039" s="36"/>
      <c r="J1039" s="38"/>
    </row>
    <row r="1040" spans="2:10" s="19" customFormat="1" x14ac:dyDescent="0.25">
      <c r="B1040" s="35"/>
      <c r="C1040" s="36"/>
      <c r="J1040" s="38"/>
    </row>
    <row r="1041" spans="2:10" s="19" customFormat="1" x14ac:dyDescent="0.25">
      <c r="B1041" s="35"/>
      <c r="C1041" s="36"/>
      <c r="J1041" s="38"/>
    </row>
    <row r="1042" spans="2:10" s="19" customFormat="1" x14ac:dyDescent="0.25">
      <c r="B1042" s="35"/>
      <c r="C1042" s="36"/>
      <c r="J1042" s="38"/>
    </row>
    <row r="1043" spans="2:10" s="19" customFormat="1" x14ac:dyDescent="0.25">
      <c r="B1043" s="35"/>
      <c r="C1043" s="36"/>
      <c r="J1043" s="38"/>
    </row>
    <row r="1044" spans="2:10" s="19" customFormat="1" x14ac:dyDescent="0.25">
      <c r="B1044" s="35"/>
      <c r="C1044" s="36"/>
      <c r="J1044" s="38"/>
    </row>
    <row r="1045" spans="2:10" s="19" customFormat="1" x14ac:dyDescent="0.25">
      <c r="B1045" s="35"/>
      <c r="C1045" s="36"/>
      <c r="J1045" s="38"/>
    </row>
    <row r="1046" spans="2:10" s="19" customFormat="1" x14ac:dyDescent="0.25">
      <c r="B1046" s="35"/>
      <c r="C1046" s="36"/>
      <c r="J1046" s="38"/>
    </row>
    <row r="1047" spans="2:10" s="19" customFormat="1" x14ac:dyDescent="0.25">
      <c r="B1047" s="35"/>
      <c r="C1047" s="36"/>
      <c r="J1047" s="38"/>
    </row>
    <row r="1048" spans="2:10" s="19" customFormat="1" x14ac:dyDescent="0.25">
      <c r="B1048" s="35"/>
      <c r="C1048" s="36"/>
      <c r="J1048" s="38"/>
    </row>
    <row r="1049" spans="2:10" s="19" customFormat="1" x14ac:dyDescent="0.25">
      <c r="B1049" s="35"/>
      <c r="C1049" s="36"/>
      <c r="J1049" s="38"/>
    </row>
    <row r="1050" spans="2:10" s="19" customFormat="1" x14ac:dyDescent="0.25">
      <c r="B1050" s="35"/>
      <c r="C1050" s="36"/>
      <c r="J1050" s="38"/>
    </row>
    <row r="1051" spans="2:10" s="19" customFormat="1" x14ac:dyDescent="0.25">
      <c r="B1051" s="35"/>
      <c r="C1051" s="36"/>
      <c r="J1051" s="38"/>
    </row>
    <row r="1052" spans="2:10" s="19" customFormat="1" x14ac:dyDescent="0.25">
      <c r="B1052" s="35"/>
      <c r="C1052" s="36"/>
      <c r="J1052" s="38"/>
    </row>
    <row r="1053" spans="2:10" s="19" customFormat="1" x14ac:dyDescent="0.25">
      <c r="B1053" s="35"/>
      <c r="C1053" s="36"/>
      <c r="J1053" s="38"/>
    </row>
    <row r="1054" spans="2:10" s="19" customFormat="1" x14ac:dyDescent="0.25">
      <c r="B1054" s="35"/>
      <c r="C1054" s="36"/>
      <c r="J1054" s="38"/>
    </row>
    <row r="1055" spans="2:10" s="19" customFormat="1" x14ac:dyDescent="0.25">
      <c r="B1055" s="35"/>
      <c r="C1055" s="36"/>
      <c r="J1055" s="38"/>
    </row>
    <row r="1056" spans="2:10" s="19" customFormat="1" x14ac:dyDescent="0.25">
      <c r="B1056" s="35"/>
      <c r="C1056" s="36"/>
      <c r="J1056" s="38"/>
    </row>
    <row r="1057" spans="2:10" s="19" customFormat="1" x14ac:dyDescent="0.25">
      <c r="B1057" s="35"/>
      <c r="C1057" s="36"/>
      <c r="J1057" s="38"/>
    </row>
    <row r="1058" spans="2:10" s="19" customFormat="1" x14ac:dyDescent="0.25">
      <c r="B1058" s="35"/>
      <c r="C1058" s="36"/>
      <c r="J1058" s="38"/>
    </row>
    <row r="1059" spans="2:10" s="19" customFormat="1" x14ac:dyDescent="0.25">
      <c r="B1059" s="35"/>
      <c r="C1059" s="36"/>
      <c r="J1059" s="38"/>
    </row>
    <row r="1060" spans="2:10" s="19" customFormat="1" x14ac:dyDescent="0.25">
      <c r="B1060" s="35"/>
      <c r="C1060" s="36"/>
      <c r="J1060" s="38"/>
    </row>
    <row r="1061" spans="2:10" s="19" customFormat="1" x14ac:dyDescent="0.25">
      <c r="B1061" s="35"/>
      <c r="C1061" s="36"/>
      <c r="J1061" s="38"/>
    </row>
    <row r="1062" spans="2:10" s="19" customFormat="1" x14ac:dyDescent="0.25">
      <c r="B1062" s="35"/>
      <c r="C1062" s="36"/>
      <c r="J1062" s="38"/>
    </row>
    <row r="1063" spans="2:10" s="19" customFormat="1" x14ac:dyDescent="0.25">
      <c r="B1063" s="35"/>
      <c r="C1063" s="36"/>
      <c r="J1063" s="38"/>
    </row>
    <row r="1064" spans="2:10" s="19" customFormat="1" x14ac:dyDescent="0.25">
      <c r="B1064" s="35"/>
      <c r="C1064" s="36"/>
      <c r="J1064" s="38"/>
    </row>
    <row r="1065" spans="2:10" s="19" customFormat="1" x14ac:dyDescent="0.25">
      <c r="B1065" s="35"/>
      <c r="C1065" s="36"/>
      <c r="J1065" s="38"/>
    </row>
    <row r="1066" spans="2:10" s="19" customFormat="1" x14ac:dyDescent="0.25">
      <c r="B1066" s="35"/>
      <c r="C1066" s="36"/>
      <c r="J1066" s="38"/>
    </row>
    <row r="1067" spans="2:10" s="19" customFormat="1" x14ac:dyDescent="0.25">
      <c r="B1067" s="35"/>
      <c r="C1067" s="36"/>
      <c r="J1067" s="38"/>
    </row>
    <row r="1068" spans="2:10" s="19" customFormat="1" x14ac:dyDescent="0.25">
      <c r="B1068" s="35"/>
      <c r="C1068" s="36"/>
      <c r="J1068" s="38"/>
    </row>
    <row r="1069" spans="2:10" s="19" customFormat="1" x14ac:dyDescent="0.25">
      <c r="B1069" s="35"/>
      <c r="C1069" s="36"/>
      <c r="J1069" s="38"/>
    </row>
    <row r="1070" spans="2:10" s="19" customFormat="1" x14ac:dyDescent="0.25">
      <c r="B1070" s="35"/>
      <c r="C1070" s="36"/>
      <c r="J1070" s="38"/>
    </row>
    <row r="1071" spans="2:10" s="19" customFormat="1" x14ac:dyDescent="0.25">
      <c r="B1071" s="35"/>
      <c r="C1071" s="36"/>
      <c r="J1071" s="38"/>
    </row>
    <row r="1072" spans="2:10" s="19" customFormat="1" x14ac:dyDescent="0.25">
      <c r="B1072" s="35"/>
      <c r="C1072" s="36"/>
      <c r="J1072" s="38"/>
    </row>
    <row r="1073" spans="2:10" s="19" customFormat="1" x14ac:dyDescent="0.25">
      <c r="B1073" s="35"/>
      <c r="C1073" s="36"/>
      <c r="J1073" s="38"/>
    </row>
    <row r="1074" spans="2:10" s="19" customFormat="1" x14ac:dyDescent="0.25">
      <c r="B1074" s="35"/>
      <c r="C1074" s="36"/>
      <c r="J1074" s="38"/>
    </row>
    <row r="1075" spans="2:10" s="19" customFormat="1" x14ac:dyDescent="0.25">
      <c r="B1075" s="35"/>
      <c r="C1075" s="36"/>
      <c r="J1075" s="38"/>
    </row>
    <row r="1076" spans="2:10" s="19" customFormat="1" x14ac:dyDescent="0.25">
      <c r="B1076" s="35"/>
      <c r="C1076" s="36"/>
      <c r="J1076" s="38"/>
    </row>
    <row r="1077" spans="2:10" s="19" customFormat="1" x14ac:dyDescent="0.25">
      <c r="B1077" s="35"/>
      <c r="C1077" s="36"/>
      <c r="J1077" s="38"/>
    </row>
    <row r="1078" spans="2:10" s="19" customFormat="1" x14ac:dyDescent="0.25">
      <c r="B1078" s="35"/>
      <c r="C1078" s="36"/>
      <c r="J1078" s="38"/>
    </row>
    <row r="1079" spans="2:10" s="19" customFormat="1" x14ac:dyDescent="0.25">
      <c r="B1079" s="35"/>
      <c r="C1079" s="36"/>
      <c r="J1079" s="38"/>
    </row>
    <row r="1080" spans="2:10" s="19" customFormat="1" x14ac:dyDescent="0.25">
      <c r="B1080" s="35"/>
      <c r="C1080" s="36"/>
      <c r="J1080" s="38"/>
    </row>
    <row r="1081" spans="2:10" s="19" customFormat="1" x14ac:dyDescent="0.25">
      <c r="B1081" s="35"/>
      <c r="C1081" s="36"/>
      <c r="J1081" s="38"/>
    </row>
    <row r="1082" spans="2:10" s="19" customFormat="1" x14ac:dyDescent="0.25">
      <c r="B1082" s="35"/>
      <c r="C1082" s="36"/>
      <c r="J1082" s="38"/>
    </row>
    <row r="1083" spans="2:10" s="19" customFormat="1" x14ac:dyDescent="0.25">
      <c r="B1083" s="35"/>
      <c r="C1083" s="36"/>
      <c r="J1083" s="38"/>
    </row>
    <row r="1084" spans="2:10" s="19" customFormat="1" x14ac:dyDescent="0.25">
      <c r="B1084" s="35"/>
      <c r="C1084" s="36"/>
      <c r="J1084" s="38"/>
    </row>
    <row r="1085" spans="2:10" s="19" customFormat="1" x14ac:dyDescent="0.25">
      <c r="B1085" s="35"/>
      <c r="C1085" s="36"/>
      <c r="J1085" s="38"/>
    </row>
    <row r="1086" spans="2:10" s="19" customFormat="1" x14ac:dyDescent="0.25">
      <c r="B1086" s="35"/>
      <c r="C1086" s="36"/>
      <c r="J1086" s="38"/>
    </row>
    <row r="1087" spans="2:10" s="19" customFormat="1" x14ac:dyDescent="0.25">
      <c r="B1087" s="35"/>
      <c r="C1087" s="36"/>
      <c r="J1087" s="38"/>
    </row>
    <row r="1088" spans="2:10" s="19" customFormat="1" x14ac:dyDescent="0.25">
      <c r="B1088" s="35"/>
      <c r="C1088" s="36"/>
      <c r="J1088" s="38"/>
    </row>
    <row r="1089" spans="2:10" s="19" customFormat="1" x14ac:dyDescent="0.25">
      <c r="B1089" s="35"/>
      <c r="C1089" s="36"/>
      <c r="J1089" s="38"/>
    </row>
    <row r="1090" spans="2:10" s="19" customFormat="1" x14ac:dyDescent="0.25">
      <c r="B1090" s="35"/>
      <c r="C1090" s="36"/>
      <c r="J1090" s="38"/>
    </row>
    <row r="1091" spans="2:10" s="19" customFormat="1" x14ac:dyDescent="0.25">
      <c r="B1091" s="35"/>
      <c r="C1091" s="36"/>
      <c r="J1091" s="38"/>
    </row>
    <row r="1092" spans="2:10" s="19" customFormat="1" x14ac:dyDescent="0.25">
      <c r="B1092" s="35"/>
      <c r="C1092" s="36"/>
      <c r="J1092" s="38"/>
    </row>
    <row r="1093" spans="2:10" s="19" customFormat="1" x14ac:dyDescent="0.25">
      <c r="B1093" s="35"/>
      <c r="C1093" s="36"/>
      <c r="J1093" s="38"/>
    </row>
    <row r="1094" spans="2:10" s="19" customFormat="1" x14ac:dyDescent="0.25">
      <c r="B1094" s="35"/>
      <c r="C1094" s="36"/>
      <c r="J1094" s="38"/>
    </row>
    <row r="1095" spans="2:10" s="19" customFormat="1" x14ac:dyDescent="0.25">
      <c r="B1095" s="35"/>
      <c r="C1095" s="36"/>
      <c r="J1095" s="38"/>
    </row>
    <row r="1096" spans="2:10" s="19" customFormat="1" x14ac:dyDescent="0.25">
      <c r="B1096" s="35"/>
      <c r="C1096" s="36"/>
      <c r="J1096" s="38"/>
    </row>
    <row r="1097" spans="2:10" s="19" customFormat="1" x14ac:dyDescent="0.25">
      <c r="B1097" s="35"/>
      <c r="C1097" s="36"/>
      <c r="J1097" s="38"/>
    </row>
    <row r="1098" spans="2:10" s="19" customFormat="1" x14ac:dyDescent="0.25">
      <c r="B1098" s="35"/>
      <c r="C1098" s="36"/>
      <c r="J1098" s="38"/>
    </row>
    <row r="1099" spans="2:10" s="19" customFormat="1" x14ac:dyDescent="0.25">
      <c r="B1099" s="35"/>
      <c r="C1099" s="36"/>
      <c r="J1099" s="38"/>
    </row>
    <row r="1100" spans="2:10" s="19" customFormat="1" x14ac:dyDescent="0.25">
      <c r="B1100" s="35"/>
      <c r="C1100" s="36"/>
      <c r="J1100" s="38"/>
    </row>
    <row r="1101" spans="2:10" s="19" customFormat="1" x14ac:dyDescent="0.25">
      <c r="B1101" s="35"/>
      <c r="C1101" s="36"/>
      <c r="J1101" s="38"/>
    </row>
    <row r="1102" spans="2:10" s="19" customFormat="1" x14ac:dyDescent="0.25">
      <c r="B1102" s="35"/>
      <c r="C1102" s="36"/>
      <c r="J1102" s="38"/>
    </row>
    <row r="1103" spans="2:10" s="19" customFormat="1" x14ac:dyDescent="0.25">
      <c r="B1103" s="35"/>
      <c r="C1103" s="36"/>
      <c r="J1103" s="38"/>
    </row>
    <row r="1104" spans="2:10" s="19" customFormat="1" x14ac:dyDescent="0.25">
      <c r="B1104" s="35"/>
      <c r="C1104" s="36"/>
      <c r="J1104" s="38"/>
    </row>
    <row r="1105" spans="2:10" s="19" customFormat="1" x14ac:dyDescent="0.25">
      <c r="B1105" s="35"/>
      <c r="C1105" s="36"/>
      <c r="J1105" s="38"/>
    </row>
    <row r="1106" spans="2:10" s="19" customFormat="1" x14ac:dyDescent="0.25">
      <c r="B1106" s="35"/>
      <c r="C1106" s="36"/>
      <c r="J1106" s="38"/>
    </row>
    <row r="1107" spans="2:10" s="19" customFormat="1" x14ac:dyDescent="0.25">
      <c r="B1107" s="35"/>
      <c r="C1107" s="36"/>
      <c r="J1107" s="38"/>
    </row>
    <row r="1108" spans="2:10" s="19" customFormat="1" x14ac:dyDescent="0.25">
      <c r="B1108" s="35"/>
      <c r="C1108" s="36"/>
      <c r="J1108" s="38"/>
    </row>
    <row r="1109" spans="2:10" s="19" customFormat="1" x14ac:dyDescent="0.25">
      <c r="B1109" s="35"/>
      <c r="C1109" s="36"/>
      <c r="J1109" s="38"/>
    </row>
    <row r="1110" spans="2:10" s="19" customFormat="1" x14ac:dyDescent="0.25">
      <c r="B1110" s="35"/>
      <c r="C1110" s="36"/>
      <c r="J1110" s="38"/>
    </row>
    <row r="1111" spans="2:10" s="19" customFormat="1" x14ac:dyDescent="0.25">
      <c r="B1111" s="35"/>
      <c r="C1111" s="36"/>
      <c r="J1111" s="38"/>
    </row>
    <row r="1112" spans="2:10" s="19" customFormat="1" x14ac:dyDescent="0.25">
      <c r="B1112" s="35"/>
      <c r="C1112" s="36"/>
      <c r="J1112" s="38"/>
    </row>
    <row r="1113" spans="2:10" s="19" customFormat="1" x14ac:dyDescent="0.25">
      <c r="B1113" s="35"/>
      <c r="C1113" s="36"/>
      <c r="J1113" s="38"/>
    </row>
    <row r="1114" spans="2:10" s="19" customFormat="1" x14ac:dyDescent="0.25">
      <c r="B1114" s="35"/>
      <c r="C1114" s="36"/>
      <c r="J1114" s="38"/>
    </row>
    <row r="1115" spans="2:10" s="19" customFormat="1" x14ac:dyDescent="0.25">
      <c r="B1115" s="35"/>
      <c r="C1115" s="36"/>
      <c r="J1115" s="38"/>
    </row>
    <row r="1116" spans="2:10" s="19" customFormat="1" x14ac:dyDescent="0.25">
      <c r="B1116" s="35"/>
      <c r="C1116" s="36"/>
      <c r="J1116" s="38"/>
    </row>
    <row r="1117" spans="2:10" s="19" customFormat="1" x14ac:dyDescent="0.25">
      <c r="B1117" s="35"/>
      <c r="C1117" s="36"/>
      <c r="J1117" s="38"/>
    </row>
    <row r="1118" spans="2:10" s="19" customFormat="1" x14ac:dyDescent="0.25">
      <c r="B1118" s="35"/>
      <c r="C1118" s="36"/>
      <c r="J1118" s="38"/>
    </row>
    <row r="1119" spans="2:10" s="19" customFormat="1" x14ac:dyDescent="0.25">
      <c r="B1119" s="35"/>
      <c r="C1119" s="36"/>
      <c r="J1119" s="38"/>
    </row>
    <row r="1120" spans="2:10" s="19" customFormat="1" x14ac:dyDescent="0.25">
      <c r="B1120" s="35"/>
      <c r="C1120" s="36"/>
      <c r="J1120" s="38"/>
    </row>
    <row r="1121" spans="2:10" s="19" customFormat="1" x14ac:dyDescent="0.25">
      <c r="B1121" s="35"/>
      <c r="C1121" s="36"/>
      <c r="J1121" s="38"/>
    </row>
    <row r="1122" spans="2:10" s="19" customFormat="1" x14ac:dyDescent="0.25">
      <c r="B1122" s="35"/>
      <c r="C1122" s="36"/>
      <c r="J1122" s="38"/>
    </row>
    <row r="1123" spans="2:10" s="19" customFormat="1" x14ac:dyDescent="0.25">
      <c r="B1123" s="35"/>
      <c r="C1123" s="36"/>
      <c r="J1123" s="38"/>
    </row>
    <row r="1124" spans="2:10" s="19" customFormat="1" x14ac:dyDescent="0.25">
      <c r="B1124" s="35"/>
      <c r="C1124" s="36"/>
      <c r="J1124" s="38"/>
    </row>
    <row r="1125" spans="2:10" s="19" customFormat="1" x14ac:dyDescent="0.25">
      <c r="B1125" s="35"/>
      <c r="C1125" s="36"/>
      <c r="J1125" s="38"/>
    </row>
    <row r="1126" spans="2:10" s="19" customFormat="1" x14ac:dyDescent="0.25">
      <c r="B1126" s="35"/>
      <c r="C1126" s="36"/>
      <c r="J1126" s="38"/>
    </row>
    <row r="1127" spans="2:10" s="19" customFormat="1" x14ac:dyDescent="0.25">
      <c r="B1127" s="35"/>
      <c r="C1127" s="36"/>
      <c r="J1127" s="38"/>
    </row>
    <row r="1128" spans="2:10" s="19" customFormat="1" x14ac:dyDescent="0.25">
      <c r="B1128" s="35"/>
      <c r="C1128" s="36"/>
      <c r="J1128" s="38"/>
    </row>
    <row r="1129" spans="2:10" s="19" customFormat="1" x14ac:dyDescent="0.25">
      <c r="B1129" s="35"/>
      <c r="C1129" s="36"/>
      <c r="J1129" s="38"/>
    </row>
    <row r="1130" spans="2:10" s="19" customFormat="1" x14ac:dyDescent="0.25">
      <c r="B1130" s="35"/>
      <c r="C1130" s="36"/>
      <c r="J1130" s="38"/>
    </row>
    <row r="1131" spans="2:10" s="19" customFormat="1" x14ac:dyDescent="0.25">
      <c r="B1131" s="35"/>
      <c r="C1131" s="36"/>
      <c r="J1131" s="38"/>
    </row>
    <row r="1132" spans="2:10" s="19" customFormat="1" x14ac:dyDescent="0.25">
      <c r="B1132" s="35"/>
      <c r="C1132" s="36"/>
      <c r="J1132" s="38"/>
    </row>
    <row r="1133" spans="2:10" s="19" customFormat="1" x14ac:dyDescent="0.25">
      <c r="B1133" s="35"/>
      <c r="C1133" s="36"/>
      <c r="J1133" s="38"/>
    </row>
    <row r="1134" spans="2:10" s="19" customFormat="1" x14ac:dyDescent="0.25">
      <c r="B1134" s="35"/>
      <c r="C1134" s="36"/>
      <c r="J1134" s="38"/>
    </row>
    <row r="1135" spans="2:10" s="19" customFormat="1" x14ac:dyDescent="0.25">
      <c r="B1135" s="35"/>
      <c r="C1135" s="36"/>
      <c r="J1135" s="38"/>
    </row>
    <row r="1136" spans="2:10" s="19" customFormat="1" x14ac:dyDescent="0.25">
      <c r="B1136" s="35"/>
      <c r="C1136" s="36"/>
      <c r="J1136" s="38"/>
    </row>
    <row r="1137" spans="2:10" s="19" customFormat="1" x14ac:dyDescent="0.25">
      <c r="B1137" s="35"/>
      <c r="C1137" s="36"/>
      <c r="J1137" s="38"/>
    </row>
    <row r="1138" spans="2:10" s="19" customFormat="1" x14ac:dyDescent="0.25">
      <c r="B1138" s="35"/>
      <c r="C1138" s="36"/>
      <c r="J1138" s="38"/>
    </row>
    <row r="1139" spans="2:10" s="19" customFormat="1" x14ac:dyDescent="0.25">
      <c r="B1139" s="35"/>
      <c r="C1139" s="36"/>
      <c r="J1139" s="38"/>
    </row>
    <row r="1140" spans="2:10" s="19" customFormat="1" x14ac:dyDescent="0.25">
      <c r="B1140" s="35"/>
      <c r="C1140" s="36"/>
      <c r="J1140" s="38"/>
    </row>
    <row r="1141" spans="2:10" s="19" customFormat="1" x14ac:dyDescent="0.25">
      <c r="B1141" s="35"/>
      <c r="C1141" s="36"/>
      <c r="J1141" s="38"/>
    </row>
    <row r="1142" spans="2:10" s="19" customFormat="1" x14ac:dyDescent="0.25">
      <c r="B1142" s="35"/>
      <c r="C1142" s="36"/>
      <c r="J1142" s="38"/>
    </row>
    <row r="1143" spans="2:10" s="19" customFormat="1" x14ac:dyDescent="0.25">
      <c r="B1143" s="35"/>
      <c r="C1143" s="36"/>
      <c r="J1143" s="38"/>
    </row>
    <row r="1144" spans="2:10" s="19" customFormat="1" x14ac:dyDescent="0.25">
      <c r="B1144" s="35"/>
      <c r="C1144" s="36"/>
      <c r="J1144" s="38"/>
    </row>
    <row r="1145" spans="2:10" s="19" customFormat="1" x14ac:dyDescent="0.25">
      <c r="B1145" s="35"/>
      <c r="C1145" s="36"/>
      <c r="J1145" s="38"/>
    </row>
    <row r="1146" spans="2:10" s="19" customFormat="1" x14ac:dyDescent="0.25">
      <c r="B1146" s="35"/>
      <c r="C1146" s="36"/>
      <c r="J1146" s="38"/>
    </row>
    <row r="1147" spans="2:10" s="19" customFormat="1" x14ac:dyDescent="0.25">
      <c r="B1147" s="35"/>
      <c r="C1147" s="36"/>
      <c r="J1147" s="38"/>
    </row>
    <row r="1148" spans="2:10" s="19" customFormat="1" x14ac:dyDescent="0.25">
      <c r="B1148" s="35"/>
      <c r="C1148" s="36"/>
      <c r="J1148" s="38"/>
    </row>
    <row r="1149" spans="2:10" s="19" customFormat="1" x14ac:dyDescent="0.25">
      <c r="B1149" s="35"/>
      <c r="C1149" s="36"/>
      <c r="J1149" s="38"/>
    </row>
    <row r="1150" spans="2:10" s="19" customFormat="1" x14ac:dyDescent="0.25">
      <c r="B1150" s="35"/>
      <c r="C1150" s="36"/>
      <c r="J1150" s="38"/>
    </row>
    <row r="1151" spans="2:10" s="19" customFormat="1" x14ac:dyDescent="0.25">
      <c r="B1151" s="35"/>
      <c r="C1151" s="36"/>
      <c r="J1151" s="38"/>
    </row>
    <row r="1152" spans="2:10" s="19" customFormat="1" x14ac:dyDescent="0.25">
      <c r="B1152" s="35"/>
      <c r="C1152" s="36"/>
      <c r="J1152" s="38"/>
    </row>
    <row r="1153" spans="2:10" s="19" customFormat="1" x14ac:dyDescent="0.25">
      <c r="B1153" s="35"/>
      <c r="C1153" s="36"/>
      <c r="J1153" s="38"/>
    </row>
    <row r="1154" spans="2:10" s="19" customFormat="1" x14ac:dyDescent="0.25">
      <c r="B1154" s="35"/>
      <c r="C1154" s="36"/>
      <c r="J1154" s="38"/>
    </row>
    <row r="1155" spans="2:10" s="19" customFormat="1" x14ac:dyDescent="0.25">
      <c r="B1155" s="35"/>
      <c r="C1155" s="36"/>
      <c r="J1155" s="38"/>
    </row>
    <row r="1156" spans="2:10" s="19" customFormat="1" x14ac:dyDescent="0.25">
      <c r="B1156" s="35"/>
      <c r="C1156" s="36"/>
      <c r="J1156" s="38"/>
    </row>
    <row r="1157" spans="2:10" s="19" customFormat="1" x14ac:dyDescent="0.25">
      <c r="B1157" s="35"/>
      <c r="C1157" s="36"/>
      <c r="J1157" s="38"/>
    </row>
    <row r="1158" spans="2:10" s="19" customFormat="1" x14ac:dyDescent="0.25">
      <c r="B1158" s="35"/>
      <c r="C1158" s="36"/>
      <c r="J1158" s="38"/>
    </row>
    <row r="1159" spans="2:10" s="19" customFormat="1" x14ac:dyDescent="0.25">
      <c r="B1159" s="35"/>
      <c r="C1159" s="36"/>
      <c r="J1159" s="38"/>
    </row>
    <row r="1160" spans="2:10" s="19" customFormat="1" x14ac:dyDescent="0.25">
      <c r="B1160" s="35"/>
      <c r="C1160" s="36"/>
      <c r="J1160" s="38"/>
    </row>
    <row r="1161" spans="2:10" s="19" customFormat="1" x14ac:dyDescent="0.25">
      <c r="B1161" s="35"/>
      <c r="C1161" s="36"/>
      <c r="J1161" s="38"/>
    </row>
    <row r="1162" spans="2:10" s="19" customFormat="1" x14ac:dyDescent="0.25">
      <c r="B1162" s="35"/>
      <c r="C1162" s="36"/>
      <c r="J1162" s="38"/>
    </row>
    <row r="1163" spans="2:10" s="19" customFormat="1" x14ac:dyDescent="0.25">
      <c r="B1163" s="35"/>
      <c r="C1163" s="36"/>
      <c r="J1163" s="38"/>
    </row>
    <row r="1164" spans="2:10" s="19" customFormat="1" x14ac:dyDescent="0.25">
      <c r="B1164" s="35"/>
      <c r="C1164" s="36"/>
      <c r="J1164" s="38"/>
    </row>
    <row r="1165" spans="2:10" s="19" customFormat="1" x14ac:dyDescent="0.25">
      <c r="B1165" s="35"/>
      <c r="C1165" s="36"/>
      <c r="J1165" s="38"/>
    </row>
    <row r="1166" spans="2:10" s="19" customFormat="1" x14ac:dyDescent="0.25">
      <c r="B1166" s="35"/>
      <c r="C1166" s="36"/>
      <c r="J1166" s="38"/>
    </row>
    <row r="1167" spans="2:10" s="19" customFormat="1" x14ac:dyDescent="0.25">
      <c r="B1167" s="35"/>
      <c r="C1167" s="36"/>
      <c r="J1167" s="38"/>
    </row>
    <row r="1168" spans="2:10" s="19" customFormat="1" x14ac:dyDescent="0.25">
      <c r="B1168" s="35"/>
      <c r="C1168" s="36"/>
      <c r="J1168" s="38"/>
    </row>
    <row r="1169" spans="2:10" s="19" customFormat="1" x14ac:dyDescent="0.25">
      <c r="B1169" s="35"/>
      <c r="C1169" s="36"/>
      <c r="J1169" s="38"/>
    </row>
    <row r="1170" spans="2:10" s="19" customFormat="1" x14ac:dyDescent="0.25">
      <c r="B1170" s="35"/>
      <c r="C1170" s="36"/>
      <c r="J1170" s="38"/>
    </row>
    <row r="1171" spans="2:10" s="19" customFormat="1" x14ac:dyDescent="0.25">
      <c r="B1171" s="35"/>
      <c r="C1171" s="36"/>
      <c r="J1171" s="38"/>
    </row>
    <row r="1172" spans="2:10" s="19" customFormat="1" x14ac:dyDescent="0.25">
      <c r="B1172" s="35"/>
      <c r="C1172" s="36"/>
      <c r="J1172" s="38"/>
    </row>
    <row r="1173" spans="2:10" s="19" customFormat="1" x14ac:dyDescent="0.25">
      <c r="B1173" s="35"/>
      <c r="C1173" s="36"/>
      <c r="J1173" s="38"/>
    </row>
    <row r="1174" spans="2:10" s="19" customFormat="1" x14ac:dyDescent="0.25">
      <c r="B1174" s="35"/>
      <c r="C1174" s="36"/>
      <c r="J1174" s="38"/>
    </row>
    <row r="1175" spans="2:10" s="19" customFormat="1" x14ac:dyDescent="0.25">
      <c r="B1175" s="35"/>
      <c r="C1175" s="36"/>
      <c r="J1175" s="38"/>
    </row>
    <row r="1176" spans="2:10" s="19" customFormat="1" x14ac:dyDescent="0.25">
      <c r="B1176" s="35"/>
      <c r="C1176" s="36"/>
      <c r="J1176" s="38"/>
    </row>
    <row r="1177" spans="2:10" s="19" customFormat="1" x14ac:dyDescent="0.25">
      <c r="B1177" s="35"/>
      <c r="C1177" s="36"/>
      <c r="J1177" s="38"/>
    </row>
    <row r="1178" spans="2:10" s="19" customFormat="1" x14ac:dyDescent="0.25">
      <c r="B1178" s="35"/>
      <c r="C1178" s="36"/>
      <c r="J1178" s="38"/>
    </row>
    <row r="1179" spans="2:10" s="19" customFormat="1" x14ac:dyDescent="0.25">
      <c r="B1179" s="35"/>
      <c r="C1179" s="36"/>
      <c r="J1179" s="38"/>
    </row>
    <row r="1180" spans="2:10" s="19" customFormat="1" x14ac:dyDescent="0.25">
      <c r="B1180" s="35"/>
      <c r="C1180" s="36"/>
      <c r="J1180" s="38"/>
    </row>
    <row r="1181" spans="2:10" s="19" customFormat="1" x14ac:dyDescent="0.25">
      <c r="B1181" s="35"/>
      <c r="C1181" s="36"/>
      <c r="J1181" s="38"/>
    </row>
    <row r="1182" spans="2:10" s="19" customFormat="1" x14ac:dyDescent="0.25">
      <c r="B1182" s="35"/>
      <c r="C1182" s="36"/>
      <c r="J1182" s="38"/>
    </row>
    <row r="1183" spans="2:10" s="19" customFormat="1" x14ac:dyDescent="0.25">
      <c r="B1183" s="35"/>
      <c r="C1183" s="36"/>
      <c r="J1183" s="38"/>
    </row>
    <row r="1184" spans="2:10" s="19" customFormat="1" x14ac:dyDescent="0.25">
      <c r="B1184" s="35"/>
      <c r="C1184" s="36"/>
      <c r="J1184" s="38"/>
    </row>
    <row r="1185" spans="2:10" s="19" customFormat="1" x14ac:dyDescent="0.25">
      <c r="B1185" s="35"/>
      <c r="C1185" s="36"/>
      <c r="J1185" s="38"/>
    </row>
    <row r="1186" spans="2:10" s="19" customFormat="1" x14ac:dyDescent="0.25">
      <c r="B1186" s="35"/>
      <c r="C1186" s="36"/>
      <c r="J1186" s="38"/>
    </row>
    <row r="1187" spans="2:10" s="19" customFormat="1" x14ac:dyDescent="0.25">
      <c r="B1187" s="35"/>
      <c r="C1187" s="36"/>
      <c r="J1187" s="38"/>
    </row>
    <row r="1188" spans="2:10" s="19" customFormat="1" x14ac:dyDescent="0.25">
      <c r="B1188" s="35"/>
      <c r="C1188" s="36"/>
      <c r="J1188" s="38"/>
    </row>
    <row r="1189" spans="2:10" s="19" customFormat="1" x14ac:dyDescent="0.25">
      <c r="B1189" s="35"/>
      <c r="C1189" s="36"/>
      <c r="J1189" s="38"/>
    </row>
    <row r="1190" spans="2:10" s="19" customFormat="1" x14ac:dyDescent="0.25">
      <c r="B1190" s="35"/>
      <c r="C1190" s="36"/>
      <c r="J1190" s="38"/>
    </row>
    <row r="1191" spans="2:10" s="19" customFormat="1" x14ac:dyDescent="0.25">
      <c r="B1191" s="35"/>
      <c r="C1191" s="36"/>
      <c r="J1191" s="38"/>
    </row>
    <row r="1192" spans="2:10" s="19" customFormat="1" x14ac:dyDescent="0.25">
      <c r="B1192" s="35"/>
      <c r="C1192" s="36"/>
      <c r="J1192" s="38"/>
    </row>
    <row r="1193" spans="2:10" s="19" customFormat="1" x14ac:dyDescent="0.25">
      <c r="B1193" s="35"/>
      <c r="C1193" s="36"/>
      <c r="J1193" s="38"/>
    </row>
    <row r="1194" spans="2:10" s="19" customFormat="1" x14ac:dyDescent="0.25">
      <c r="B1194" s="35"/>
      <c r="C1194" s="36"/>
      <c r="J1194" s="38"/>
    </row>
    <row r="1195" spans="2:10" s="19" customFormat="1" x14ac:dyDescent="0.25">
      <c r="B1195" s="35"/>
      <c r="C1195" s="36"/>
      <c r="J1195" s="38"/>
    </row>
    <row r="1196" spans="2:10" s="19" customFormat="1" x14ac:dyDescent="0.25">
      <c r="B1196" s="35"/>
      <c r="C1196" s="36"/>
      <c r="J1196" s="38"/>
    </row>
    <row r="1197" spans="2:10" s="19" customFormat="1" x14ac:dyDescent="0.25">
      <c r="B1197" s="35"/>
      <c r="C1197" s="36"/>
      <c r="J1197" s="38"/>
    </row>
    <row r="1198" spans="2:10" s="19" customFormat="1" x14ac:dyDescent="0.25">
      <c r="B1198" s="35"/>
      <c r="C1198" s="36"/>
      <c r="J1198" s="38"/>
    </row>
    <row r="1199" spans="2:10" s="19" customFormat="1" x14ac:dyDescent="0.25">
      <c r="B1199" s="35"/>
      <c r="C1199" s="36"/>
      <c r="J1199" s="38"/>
    </row>
    <row r="1200" spans="2:10" s="19" customFormat="1" x14ac:dyDescent="0.25">
      <c r="B1200" s="35"/>
      <c r="C1200" s="36"/>
      <c r="J1200" s="38"/>
    </row>
    <row r="1201" spans="2:10" s="19" customFormat="1" x14ac:dyDescent="0.25">
      <c r="B1201" s="35"/>
      <c r="C1201" s="36"/>
      <c r="J1201" s="38"/>
    </row>
    <row r="1202" spans="2:10" s="19" customFormat="1" x14ac:dyDescent="0.25">
      <c r="B1202" s="35"/>
      <c r="C1202" s="36"/>
      <c r="J1202" s="38"/>
    </row>
    <row r="1203" spans="2:10" s="19" customFormat="1" x14ac:dyDescent="0.25">
      <c r="B1203" s="35"/>
      <c r="C1203" s="36"/>
      <c r="J1203" s="38"/>
    </row>
    <row r="1204" spans="2:10" s="19" customFormat="1" x14ac:dyDescent="0.25">
      <c r="B1204" s="35"/>
      <c r="C1204" s="36"/>
      <c r="J1204" s="38"/>
    </row>
    <row r="1205" spans="2:10" s="19" customFormat="1" x14ac:dyDescent="0.25">
      <c r="B1205" s="35"/>
      <c r="C1205" s="36"/>
      <c r="J1205" s="38"/>
    </row>
    <row r="1206" spans="2:10" s="19" customFormat="1" x14ac:dyDescent="0.25">
      <c r="B1206" s="35"/>
      <c r="C1206" s="36"/>
      <c r="J1206" s="38"/>
    </row>
    <row r="1207" spans="2:10" s="19" customFormat="1" x14ac:dyDescent="0.25">
      <c r="B1207" s="35"/>
      <c r="C1207" s="36"/>
      <c r="J1207" s="38"/>
    </row>
    <row r="1208" spans="2:10" s="19" customFormat="1" x14ac:dyDescent="0.25">
      <c r="B1208" s="35"/>
      <c r="C1208" s="36"/>
      <c r="J1208" s="38"/>
    </row>
    <row r="1209" spans="2:10" s="19" customFormat="1" x14ac:dyDescent="0.25">
      <c r="B1209" s="35"/>
      <c r="C1209" s="36"/>
      <c r="J1209" s="38"/>
    </row>
    <row r="1210" spans="2:10" s="19" customFormat="1" x14ac:dyDescent="0.25">
      <c r="B1210" s="35"/>
      <c r="C1210" s="36"/>
      <c r="J1210" s="38"/>
    </row>
    <row r="1211" spans="2:10" s="19" customFormat="1" x14ac:dyDescent="0.25">
      <c r="B1211" s="35"/>
      <c r="C1211" s="36"/>
      <c r="J1211" s="38"/>
    </row>
    <row r="1212" spans="2:10" s="19" customFormat="1" x14ac:dyDescent="0.25">
      <c r="B1212" s="35"/>
      <c r="C1212" s="36"/>
      <c r="J1212" s="38"/>
    </row>
    <row r="1213" spans="2:10" s="19" customFormat="1" x14ac:dyDescent="0.25">
      <c r="B1213" s="35"/>
      <c r="C1213" s="36"/>
      <c r="J1213" s="38"/>
    </row>
    <row r="1214" spans="2:10" s="19" customFormat="1" x14ac:dyDescent="0.25">
      <c r="B1214" s="35"/>
      <c r="C1214" s="36"/>
      <c r="J1214" s="38"/>
    </row>
    <row r="1215" spans="2:10" s="19" customFormat="1" x14ac:dyDescent="0.25">
      <c r="B1215" s="35"/>
      <c r="C1215" s="36"/>
      <c r="J1215" s="38"/>
    </row>
    <row r="1216" spans="2:10" s="19" customFormat="1" x14ac:dyDescent="0.25">
      <c r="B1216" s="35"/>
      <c r="C1216" s="36"/>
      <c r="J1216" s="38"/>
    </row>
    <row r="1217" spans="2:10" s="19" customFormat="1" x14ac:dyDescent="0.25">
      <c r="B1217" s="35"/>
      <c r="C1217" s="36"/>
      <c r="J1217" s="38"/>
    </row>
    <row r="1218" spans="2:10" s="19" customFormat="1" x14ac:dyDescent="0.25">
      <c r="B1218" s="35"/>
      <c r="C1218" s="36"/>
      <c r="J1218" s="38"/>
    </row>
    <row r="1219" spans="2:10" s="19" customFormat="1" x14ac:dyDescent="0.25">
      <c r="B1219" s="35"/>
      <c r="C1219" s="36"/>
      <c r="J1219" s="38"/>
    </row>
    <row r="1220" spans="2:10" s="19" customFormat="1" x14ac:dyDescent="0.25">
      <c r="B1220" s="35"/>
      <c r="C1220" s="36"/>
      <c r="J1220" s="38"/>
    </row>
    <row r="1221" spans="2:10" s="19" customFormat="1" x14ac:dyDescent="0.25">
      <c r="B1221" s="35"/>
      <c r="C1221" s="36"/>
      <c r="J1221" s="38"/>
    </row>
    <row r="1222" spans="2:10" s="19" customFormat="1" x14ac:dyDescent="0.25">
      <c r="B1222" s="35"/>
      <c r="C1222" s="36"/>
      <c r="J1222" s="38"/>
    </row>
    <row r="1223" spans="2:10" s="19" customFormat="1" x14ac:dyDescent="0.25">
      <c r="B1223" s="35"/>
      <c r="C1223" s="36"/>
      <c r="J1223" s="38"/>
    </row>
    <row r="1224" spans="2:10" s="19" customFormat="1" x14ac:dyDescent="0.25">
      <c r="B1224" s="35"/>
      <c r="C1224" s="36"/>
      <c r="J1224" s="38"/>
    </row>
    <row r="1225" spans="2:10" s="19" customFormat="1" x14ac:dyDescent="0.25">
      <c r="B1225" s="35"/>
      <c r="C1225" s="36"/>
      <c r="J1225" s="38"/>
    </row>
    <row r="1226" spans="2:10" s="19" customFormat="1" x14ac:dyDescent="0.25">
      <c r="B1226" s="35"/>
      <c r="C1226" s="36"/>
      <c r="J1226" s="38"/>
    </row>
    <row r="1227" spans="2:10" s="19" customFormat="1" x14ac:dyDescent="0.25">
      <c r="B1227" s="35"/>
      <c r="C1227" s="36"/>
      <c r="J1227" s="38"/>
    </row>
    <row r="1228" spans="2:10" s="19" customFormat="1" x14ac:dyDescent="0.25">
      <c r="B1228" s="35"/>
      <c r="C1228" s="36"/>
      <c r="J1228" s="38"/>
    </row>
    <row r="1229" spans="2:10" s="19" customFormat="1" x14ac:dyDescent="0.25">
      <c r="B1229" s="35"/>
      <c r="C1229" s="36"/>
      <c r="J1229" s="38"/>
    </row>
    <row r="1230" spans="2:10" s="19" customFormat="1" x14ac:dyDescent="0.25">
      <c r="B1230" s="35"/>
      <c r="C1230" s="36"/>
      <c r="J1230" s="38"/>
    </row>
    <row r="1231" spans="2:10" s="19" customFormat="1" x14ac:dyDescent="0.25">
      <c r="B1231" s="35"/>
      <c r="C1231" s="36"/>
      <c r="J1231" s="38"/>
    </row>
    <row r="1232" spans="2:10" s="19" customFormat="1" x14ac:dyDescent="0.25">
      <c r="B1232" s="35"/>
      <c r="C1232" s="36"/>
      <c r="J1232" s="38"/>
    </row>
    <row r="1233" spans="2:10" s="19" customFormat="1" x14ac:dyDescent="0.25">
      <c r="B1233" s="35"/>
      <c r="C1233" s="36"/>
      <c r="J1233" s="38"/>
    </row>
    <row r="1234" spans="2:10" s="19" customFormat="1" x14ac:dyDescent="0.25">
      <c r="B1234" s="35"/>
      <c r="C1234" s="36"/>
      <c r="J1234" s="38"/>
    </row>
    <row r="1235" spans="2:10" s="19" customFormat="1" x14ac:dyDescent="0.25">
      <c r="B1235" s="35"/>
      <c r="C1235" s="36"/>
      <c r="J1235" s="38"/>
    </row>
    <row r="1236" spans="2:10" s="19" customFormat="1" x14ac:dyDescent="0.25">
      <c r="B1236" s="35"/>
      <c r="C1236" s="36"/>
      <c r="J1236" s="38"/>
    </row>
    <row r="1237" spans="2:10" s="19" customFormat="1" x14ac:dyDescent="0.25">
      <c r="B1237" s="35"/>
      <c r="C1237" s="36"/>
      <c r="J1237" s="38"/>
    </row>
    <row r="1238" spans="2:10" s="19" customFormat="1" x14ac:dyDescent="0.25">
      <c r="B1238" s="35"/>
      <c r="C1238" s="36"/>
      <c r="J1238" s="38"/>
    </row>
    <row r="1239" spans="2:10" s="19" customFormat="1" x14ac:dyDescent="0.25">
      <c r="B1239" s="35"/>
      <c r="C1239" s="36"/>
      <c r="J1239" s="38"/>
    </row>
    <row r="1240" spans="2:10" s="19" customFormat="1" x14ac:dyDescent="0.25">
      <c r="B1240" s="35"/>
      <c r="C1240" s="36"/>
      <c r="J1240" s="38"/>
    </row>
    <row r="1241" spans="2:10" s="19" customFormat="1" x14ac:dyDescent="0.25">
      <c r="B1241" s="35"/>
      <c r="C1241" s="36"/>
      <c r="J1241" s="38"/>
    </row>
    <row r="1242" spans="2:10" s="19" customFormat="1" x14ac:dyDescent="0.25">
      <c r="B1242" s="35"/>
      <c r="C1242" s="36"/>
      <c r="J1242" s="38"/>
    </row>
    <row r="1243" spans="2:10" s="19" customFormat="1" x14ac:dyDescent="0.25">
      <c r="B1243" s="35"/>
      <c r="C1243" s="36"/>
      <c r="J1243" s="38"/>
    </row>
    <row r="1244" spans="2:10" s="19" customFormat="1" x14ac:dyDescent="0.25">
      <c r="B1244" s="35"/>
      <c r="C1244" s="36"/>
      <c r="J1244" s="38"/>
    </row>
    <row r="1245" spans="2:10" s="19" customFormat="1" x14ac:dyDescent="0.25">
      <c r="B1245" s="35"/>
      <c r="C1245" s="36"/>
      <c r="J1245" s="38"/>
    </row>
    <row r="1246" spans="2:10" s="19" customFormat="1" x14ac:dyDescent="0.25">
      <c r="B1246" s="35"/>
      <c r="C1246" s="36"/>
      <c r="J1246" s="38"/>
    </row>
    <row r="1247" spans="2:10" s="19" customFormat="1" x14ac:dyDescent="0.25">
      <c r="B1247" s="35"/>
      <c r="C1247" s="36"/>
      <c r="J1247" s="38"/>
    </row>
    <row r="1248" spans="2:10" s="19" customFormat="1" x14ac:dyDescent="0.25">
      <c r="B1248" s="35"/>
      <c r="C1248" s="36"/>
      <c r="J1248" s="38"/>
    </row>
    <row r="1249" spans="2:10" s="19" customFormat="1" x14ac:dyDescent="0.25">
      <c r="B1249" s="35"/>
      <c r="C1249" s="36"/>
      <c r="J1249" s="38"/>
    </row>
    <row r="1250" spans="2:10" s="19" customFormat="1" x14ac:dyDescent="0.25">
      <c r="B1250" s="35"/>
      <c r="C1250" s="36"/>
      <c r="J1250" s="38"/>
    </row>
    <row r="1251" spans="2:10" s="19" customFormat="1" x14ac:dyDescent="0.25">
      <c r="B1251" s="35"/>
      <c r="C1251" s="36"/>
      <c r="J1251" s="38"/>
    </row>
    <row r="1252" spans="2:10" s="19" customFormat="1" x14ac:dyDescent="0.25">
      <c r="B1252" s="35"/>
      <c r="C1252" s="36"/>
      <c r="J1252" s="38"/>
    </row>
    <row r="1253" spans="2:10" s="19" customFormat="1" x14ac:dyDescent="0.25">
      <c r="B1253" s="35"/>
      <c r="C1253" s="36"/>
      <c r="J1253" s="38"/>
    </row>
    <row r="1254" spans="2:10" s="19" customFormat="1" x14ac:dyDescent="0.25">
      <c r="B1254" s="35"/>
      <c r="C1254" s="36"/>
      <c r="J1254" s="38"/>
    </row>
    <row r="1255" spans="2:10" s="19" customFormat="1" x14ac:dyDescent="0.25">
      <c r="B1255" s="35"/>
      <c r="C1255" s="36"/>
      <c r="J1255" s="38"/>
    </row>
    <row r="1256" spans="2:10" s="19" customFormat="1" x14ac:dyDescent="0.25">
      <c r="B1256" s="35"/>
      <c r="C1256" s="36"/>
      <c r="J1256" s="38"/>
    </row>
    <row r="1257" spans="2:10" s="19" customFormat="1" x14ac:dyDescent="0.25">
      <c r="B1257" s="35"/>
      <c r="C1257" s="36"/>
      <c r="J1257" s="38"/>
    </row>
    <row r="1258" spans="2:10" s="19" customFormat="1" x14ac:dyDescent="0.25">
      <c r="B1258" s="35"/>
      <c r="C1258" s="36"/>
      <c r="J1258" s="38"/>
    </row>
    <row r="1259" spans="2:10" s="19" customFormat="1" x14ac:dyDescent="0.25">
      <c r="B1259" s="35"/>
      <c r="C1259" s="36"/>
      <c r="J1259" s="38"/>
    </row>
    <row r="1260" spans="2:10" s="19" customFormat="1" x14ac:dyDescent="0.25">
      <c r="B1260" s="35"/>
      <c r="C1260" s="36"/>
      <c r="J1260" s="38"/>
    </row>
    <row r="1261" spans="2:10" s="19" customFormat="1" x14ac:dyDescent="0.25">
      <c r="B1261" s="35"/>
      <c r="C1261" s="36"/>
      <c r="J1261" s="38"/>
    </row>
    <row r="1262" spans="2:10" s="19" customFormat="1" x14ac:dyDescent="0.25">
      <c r="B1262" s="35"/>
      <c r="C1262" s="36"/>
      <c r="J1262" s="38"/>
    </row>
    <row r="1263" spans="2:10" s="19" customFormat="1" x14ac:dyDescent="0.25">
      <c r="B1263" s="35"/>
      <c r="C1263" s="36"/>
      <c r="J1263" s="38"/>
    </row>
    <row r="1264" spans="2:10" s="19" customFormat="1" x14ac:dyDescent="0.25">
      <c r="B1264" s="35"/>
      <c r="C1264" s="36"/>
      <c r="J1264" s="38"/>
    </row>
    <row r="1265" spans="2:10" s="19" customFormat="1" x14ac:dyDescent="0.25">
      <c r="B1265" s="35"/>
      <c r="C1265" s="36"/>
      <c r="J1265" s="38"/>
    </row>
    <row r="1266" spans="2:10" s="19" customFormat="1" x14ac:dyDescent="0.25">
      <c r="B1266" s="35"/>
      <c r="C1266" s="36"/>
      <c r="J1266" s="38"/>
    </row>
    <row r="1267" spans="2:10" s="19" customFormat="1" x14ac:dyDescent="0.25">
      <c r="B1267" s="35"/>
      <c r="C1267" s="36"/>
      <c r="J1267" s="38"/>
    </row>
    <row r="1268" spans="2:10" s="19" customFormat="1" x14ac:dyDescent="0.25">
      <c r="B1268" s="35"/>
      <c r="C1268" s="36"/>
      <c r="J1268" s="38"/>
    </row>
    <row r="1269" spans="2:10" s="19" customFormat="1" x14ac:dyDescent="0.25">
      <c r="B1269" s="35"/>
      <c r="C1269" s="36"/>
      <c r="J1269" s="38"/>
    </row>
    <row r="1270" spans="2:10" s="19" customFormat="1" x14ac:dyDescent="0.25">
      <c r="B1270" s="35"/>
      <c r="C1270" s="36"/>
      <c r="J1270" s="38"/>
    </row>
    <row r="1271" spans="2:10" s="19" customFormat="1" x14ac:dyDescent="0.25">
      <c r="B1271" s="35"/>
      <c r="C1271" s="36"/>
      <c r="J1271" s="38"/>
    </row>
    <row r="1272" spans="2:10" s="19" customFormat="1" x14ac:dyDescent="0.25">
      <c r="B1272" s="35"/>
      <c r="C1272" s="36"/>
      <c r="J1272" s="38"/>
    </row>
    <row r="1273" spans="2:10" s="19" customFormat="1" x14ac:dyDescent="0.25">
      <c r="B1273" s="35"/>
      <c r="C1273" s="36"/>
      <c r="J1273" s="38"/>
    </row>
    <row r="1274" spans="2:10" s="19" customFormat="1" x14ac:dyDescent="0.25">
      <c r="B1274" s="35"/>
      <c r="C1274" s="36"/>
      <c r="J1274" s="38"/>
    </row>
    <row r="1275" spans="2:10" s="19" customFormat="1" x14ac:dyDescent="0.25">
      <c r="B1275" s="35"/>
      <c r="C1275" s="36"/>
      <c r="J1275" s="38"/>
    </row>
    <row r="1276" spans="2:10" s="19" customFormat="1" x14ac:dyDescent="0.25">
      <c r="B1276" s="35"/>
      <c r="C1276" s="36"/>
      <c r="J1276" s="38"/>
    </row>
    <row r="1277" spans="2:10" s="19" customFormat="1" x14ac:dyDescent="0.25">
      <c r="B1277" s="35"/>
      <c r="C1277" s="36"/>
      <c r="J1277" s="38"/>
    </row>
    <row r="1278" spans="2:10" s="19" customFormat="1" x14ac:dyDescent="0.25">
      <c r="B1278" s="35"/>
      <c r="C1278" s="36"/>
      <c r="J1278" s="38"/>
    </row>
    <row r="1279" spans="2:10" s="19" customFormat="1" x14ac:dyDescent="0.25">
      <c r="B1279" s="35"/>
      <c r="C1279" s="36"/>
      <c r="J1279" s="38"/>
    </row>
    <row r="1280" spans="2:10" s="19" customFormat="1" x14ac:dyDescent="0.25">
      <c r="B1280" s="35"/>
      <c r="C1280" s="36"/>
      <c r="J1280" s="38"/>
    </row>
    <row r="1281" spans="2:10" s="19" customFormat="1" x14ac:dyDescent="0.25">
      <c r="B1281" s="35"/>
      <c r="C1281" s="36"/>
      <c r="J1281" s="38"/>
    </row>
    <row r="1282" spans="2:10" s="19" customFormat="1" x14ac:dyDescent="0.25">
      <c r="B1282" s="35"/>
      <c r="C1282" s="36"/>
      <c r="J1282" s="38"/>
    </row>
    <row r="1283" spans="2:10" s="19" customFormat="1" x14ac:dyDescent="0.25">
      <c r="B1283" s="35"/>
      <c r="C1283" s="36"/>
      <c r="J1283" s="38"/>
    </row>
    <row r="1284" spans="2:10" s="19" customFormat="1" x14ac:dyDescent="0.25">
      <c r="B1284" s="35"/>
      <c r="C1284" s="36"/>
      <c r="J1284" s="38"/>
    </row>
    <row r="1285" spans="2:10" s="19" customFormat="1" x14ac:dyDescent="0.25">
      <c r="B1285" s="35"/>
      <c r="C1285" s="36"/>
      <c r="J1285" s="38"/>
    </row>
    <row r="1286" spans="2:10" s="19" customFormat="1" x14ac:dyDescent="0.25">
      <c r="B1286" s="35"/>
      <c r="C1286" s="36"/>
      <c r="J1286" s="38"/>
    </row>
    <row r="1287" spans="2:10" s="19" customFormat="1" x14ac:dyDescent="0.25">
      <c r="B1287" s="35"/>
      <c r="C1287" s="36"/>
      <c r="J1287" s="38"/>
    </row>
    <row r="1288" spans="2:10" s="19" customFormat="1" x14ac:dyDescent="0.25">
      <c r="B1288" s="35"/>
      <c r="C1288" s="36"/>
      <c r="J1288" s="38"/>
    </row>
    <row r="1289" spans="2:10" s="19" customFormat="1" x14ac:dyDescent="0.25">
      <c r="B1289" s="35"/>
      <c r="C1289" s="36"/>
      <c r="J1289" s="38"/>
    </row>
    <row r="1290" spans="2:10" s="19" customFormat="1" x14ac:dyDescent="0.25">
      <c r="B1290" s="35"/>
      <c r="C1290" s="36"/>
      <c r="J1290" s="38"/>
    </row>
    <row r="1291" spans="2:10" s="19" customFormat="1" x14ac:dyDescent="0.25">
      <c r="B1291" s="35"/>
      <c r="C1291" s="36"/>
      <c r="J1291" s="38"/>
    </row>
    <row r="1292" spans="2:10" s="19" customFormat="1" x14ac:dyDescent="0.25">
      <c r="B1292" s="35"/>
      <c r="C1292" s="36"/>
      <c r="J1292" s="38"/>
    </row>
    <row r="1293" spans="2:10" s="19" customFormat="1" x14ac:dyDescent="0.25">
      <c r="B1293" s="35"/>
      <c r="C1293" s="36"/>
      <c r="J1293" s="38"/>
    </row>
    <row r="1294" spans="2:10" s="19" customFormat="1" x14ac:dyDescent="0.25">
      <c r="B1294" s="35"/>
      <c r="C1294" s="36"/>
      <c r="J1294" s="38"/>
    </row>
    <row r="1295" spans="2:10" s="19" customFormat="1" x14ac:dyDescent="0.25">
      <c r="B1295" s="35"/>
      <c r="C1295" s="36"/>
      <c r="J1295" s="38"/>
    </row>
    <row r="1296" spans="2:10" s="19" customFormat="1" x14ac:dyDescent="0.25">
      <c r="B1296" s="35"/>
      <c r="C1296" s="36"/>
      <c r="J1296" s="38"/>
    </row>
    <row r="1297" spans="2:10" s="19" customFormat="1" x14ac:dyDescent="0.25">
      <c r="B1297" s="35"/>
      <c r="C1297" s="36"/>
      <c r="J1297" s="38"/>
    </row>
    <row r="1298" spans="2:10" s="19" customFormat="1" x14ac:dyDescent="0.25">
      <c r="B1298" s="35"/>
      <c r="C1298" s="36"/>
      <c r="J1298" s="38"/>
    </row>
    <row r="1299" spans="2:10" s="19" customFormat="1" x14ac:dyDescent="0.25">
      <c r="B1299" s="35"/>
      <c r="C1299" s="36"/>
      <c r="J1299" s="38"/>
    </row>
    <row r="1300" spans="2:10" s="19" customFormat="1" x14ac:dyDescent="0.25">
      <c r="B1300" s="35"/>
      <c r="C1300" s="36"/>
      <c r="J1300" s="38"/>
    </row>
    <row r="1301" spans="2:10" s="19" customFormat="1" x14ac:dyDescent="0.25">
      <c r="B1301" s="35"/>
      <c r="C1301" s="36"/>
      <c r="J1301" s="38"/>
    </row>
    <row r="1302" spans="2:10" s="19" customFormat="1" x14ac:dyDescent="0.25">
      <c r="B1302" s="35"/>
      <c r="C1302" s="36"/>
      <c r="J1302" s="38"/>
    </row>
    <row r="1303" spans="2:10" s="19" customFormat="1" x14ac:dyDescent="0.25">
      <c r="B1303" s="35"/>
      <c r="C1303" s="36"/>
      <c r="J1303" s="38"/>
    </row>
    <row r="1304" spans="2:10" s="19" customFormat="1" x14ac:dyDescent="0.25">
      <c r="B1304" s="35"/>
      <c r="C1304" s="36"/>
      <c r="J1304" s="38"/>
    </row>
    <row r="1305" spans="2:10" s="19" customFormat="1" x14ac:dyDescent="0.25">
      <c r="B1305" s="35"/>
      <c r="C1305" s="36"/>
      <c r="J1305" s="38"/>
    </row>
    <row r="1306" spans="2:10" s="19" customFormat="1" x14ac:dyDescent="0.25">
      <c r="B1306" s="35"/>
      <c r="C1306" s="36"/>
      <c r="J1306" s="38"/>
    </row>
    <row r="1307" spans="2:10" s="19" customFormat="1" x14ac:dyDescent="0.25">
      <c r="B1307" s="35"/>
      <c r="C1307" s="36"/>
      <c r="J1307" s="38"/>
    </row>
    <row r="1308" spans="2:10" s="19" customFormat="1" x14ac:dyDescent="0.25">
      <c r="B1308" s="35"/>
      <c r="C1308" s="36"/>
      <c r="J1308" s="38"/>
    </row>
    <row r="1309" spans="2:10" s="19" customFormat="1" x14ac:dyDescent="0.25">
      <c r="B1309" s="35"/>
      <c r="C1309" s="36"/>
      <c r="J1309" s="38"/>
    </row>
    <row r="1310" spans="2:10" s="19" customFormat="1" x14ac:dyDescent="0.25">
      <c r="B1310" s="35"/>
      <c r="C1310" s="36"/>
      <c r="J1310" s="38"/>
    </row>
    <row r="1311" spans="2:10" s="19" customFormat="1" x14ac:dyDescent="0.25">
      <c r="B1311" s="35"/>
      <c r="C1311" s="36"/>
      <c r="J1311" s="38"/>
    </row>
    <row r="1312" spans="2:10" s="19" customFormat="1" x14ac:dyDescent="0.25">
      <c r="B1312" s="35"/>
      <c r="C1312" s="36"/>
      <c r="J1312" s="38"/>
    </row>
    <row r="1313" spans="2:10" s="19" customFormat="1" x14ac:dyDescent="0.25">
      <c r="B1313" s="35"/>
      <c r="C1313" s="36"/>
      <c r="J1313" s="38"/>
    </row>
    <row r="1314" spans="2:10" s="19" customFormat="1" x14ac:dyDescent="0.25">
      <c r="B1314" s="35"/>
      <c r="C1314" s="36"/>
      <c r="J1314" s="38"/>
    </row>
    <row r="1315" spans="2:10" s="19" customFormat="1" x14ac:dyDescent="0.25">
      <c r="B1315" s="35"/>
      <c r="C1315" s="36"/>
      <c r="J1315" s="38"/>
    </row>
    <row r="1316" spans="2:10" s="19" customFormat="1" x14ac:dyDescent="0.25">
      <c r="B1316" s="35"/>
      <c r="C1316" s="36"/>
      <c r="J1316" s="38"/>
    </row>
    <row r="1317" spans="2:10" s="19" customFormat="1" x14ac:dyDescent="0.25">
      <c r="B1317" s="35"/>
      <c r="C1317" s="36"/>
      <c r="J1317" s="38"/>
    </row>
    <row r="1318" spans="2:10" s="19" customFormat="1" x14ac:dyDescent="0.25">
      <c r="B1318" s="35"/>
      <c r="C1318" s="36"/>
      <c r="J1318" s="38"/>
    </row>
    <row r="1319" spans="2:10" s="19" customFormat="1" x14ac:dyDescent="0.25">
      <c r="B1319" s="35"/>
      <c r="C1319" s="36"/>
      <c r="J1319" s="38"/>
    </row>
    <row r="1320" spans="2:10" s="19" customFormat="1" x14ac:dyDescent="0.25">
      <c r="B1320" s="35"/>
      <c r="C1320" s="36"/>
      <c r="J1320" s="38"/>
    </row>
    <row r="1321" spans="2:10" s="19" customFormat="1" x14ac:dyDescent="0.25">
      <c r="B1321" s="35"/>
      <c r="C1321" s="36"/>
      <c r="J1321" s="38"/>
    </row>
    <row r="1322" spans="2:10" s="19" customFormat="1" x14ac:dyDescent="0.25">
      <c r="B1322" s="35"/>
      <c r="C1322" s="36"/>
      <c r="J1322" s="38"/>
    </row>
    <row r="1323" spans="2:10" s="19" customFormat="1" x14ac:dyDescent="0.25">
      <c r="B1323" s="35"/>
      <c r="C1323" s="36"/>
      <c r="J1323" s="38"/>
    </row>
    <row r="1324" spans="2:10" s="19" customFormat="1" x14ac:dyDescent="0.25">
      <c r="B1324" s="35"/>
      <c r="C1324" s="36"/>
      <c r="J1324" s="38"/>
    </row>
    <row r="1325" spans="2:10" s="19" customFormat="1" x14ac:dyDescent="0.25">
      <c r="B1325" s="35"/>
      <c r="C1325" s="36"/>
      <c r="J1325" s="38"/>
    </row>
    <row r="1326" spans="2:10" s="19" customFormat="1" x14ac:dyDescent="0.25">
      <c r="B1326" s="35"/>
      <c r="C1326" s="36"/>
      <c r="J1326" s="38"/>
    </row>
    <row r="1327" spans="2:10" s="19" customFormat="1" x14ac:dyDescent="0.25">
      <c r="B1327" s="35"/>
      <c r="C1327" s="36"/>
      <c r="J1327" s="38"/>
    </row>
    <row r="1328" spans="2:10" s="19" customFormat="1" x14ac:dyDescent="0.25">
      <c r="B1328" s="35"/>
      <c r="C1328" s="36"/>
      <c r="J1328" s="38"/>
    </row>
    <row r="1329" spans="2:10" s="19" customFormat="1" x14ac:dyDescent="0.25">
      <c r="B1329" s="35"/>
      <c r="C1329" s="36"/>
      <c r="J1329" s="38"/>
    </row>
    <row r="1330" spans="2:10" s="19" customFormat="1" x14ac:dyDescent="0.25">
      <c r="B1330" s="35"/>
      <c r="C1330" s="36"/>
      <c r="J1330" s="38"/>
    </row>
    <row r="1331" spans="2:10" s="19" customFormat="1" x14ac:dyDescent="0.25">
      <c r="B1331" s="35"/>
      <c r="C1331" s="36"/>
      <c r="J1331" s="38"/>
    </row>
    <row r="1332" spans="2:10" s="19" customFormat="1" x14ac:dyDescent="0.25">
      <c r="B1332" s="35"/>
      <c r="C1332" s="36"/>
      <c r="J1332" s="38"/>
    </row>
    <row r="1333" spans="2:10" s="19" customFormat="1" x14ac:dyDescent="0.25">
      <c r="B1333" s="35"/>
      <c r="C1333" s="36"/>
      <c r="J1333" s="38"/>
    </row>
    <row r="1334" spans="2:10" s="19" customFormat="1" x14ac:dyDescent="0.25">
      <c r="B1334" s="35"/>
      <c r="C1334" s="36"/>
      <c r="J1334" s="38"/>
    </row>
    <row r="1335" spans="2:10" s="19" customFormat="1" x14ac:dyDescent="0.25">
      <c r="B1335" s="35"/>
      <c r="C1335" s="36"/>
      <c r="J1335" s="38"/>
    </row>
    <row r="1336" spans="2:10" s="19" customFormat="1" x14ac:dyDescent="0.25">
      <c r="B1336" s="35"/>
      <c r="C1336" s="36"/>
      <c r="J1336" s="38"/>
    </row>
    <row r="1337" spans="2:10" s="19" customFormat="1" x14ac:dyDescent="0.25">
      <c r="B1337" s="35"/>
      <c r="C1337" s="36"/>
      <c r="J1337" s="38"/>
    </row>
    <row r="1338" spans="2:10" s="19" customFormat="1" x14ac:dyDescent="0.25">
      <c r="B1338" s="35"/>
      <c r="C1338" s="36"/>
      <c r="J1338" s="38"/>
    </row>
    <row r="1339" spans="2:10" s="19" customFormat="1" x14ac:dyDescent="0.25">
      <c r="B1339" s="35"/>
      <c r="C1339" s="36"/>
      <c r="J1339" s="38"/>
    </row>
    <row r="1340" spans="2:10" s="19" customFormat="1" x14ac:dyDescent="0.25">
      <c r="B1340" s="35"/>
      <c r="C1340" s="36"/>
      <c r="J1340" s="38"/>
    </row>
    <row r="1341" spans="2:10" s="19" customFormat="1" x14ac:dyDescent="0.25">
      <c r="B1341" s="35"/>
      <c r="C1341" s="36"/>
      <c r="J1341" s="38"/>
    </row>
    <row r="1342" spans="2:10" s="19" customFormat="1" x14ac:dyDescent="0.25">
      <c r="B1342" s="35"/>
      <c r="C1342" s="36"/>
      <c r="J1342" s="38"/>
    </row>
    <row r="1343" spans="2:10" s="19" customFormat="1" x14ac:dyDescent="0.25">
      <c r="B1343" s="35"/>
      <c r="C1343" s="36"/>
      <c r="J1343" s="38"/>
    </row>
    <row r="1344" spans="2:10" s="19" customFormat="1" x14ac:dyDescent="0.25">
      <c r="B1344" s="35"/>
      <c r="C1344" s="36"/>
      <c r="J1344" s="38"/>
    </row>
    <row r="1345" spans="2:10" s="19" customFormat="1" x14ac:dyDescent="0.25">
      <c r="B1345" s="35"/>
      <c r="C1345" s="36"/>
      <c r="J1345" s="38"/>
    </row>
    <row r="1346" spans="2:10" s="19" customFormat="1" x14ac:dyDescent="0.25">
      <c r="B1346" s="35"/>
      <c r="C1346" s="36"/>
      <c r="J1346" s="38"/>
    </row>
    <row r="1347" spans="2:10" s="19" customFormat="1" x14ac:dyDescent="0.25">
      <c r="B1347" s="35"/>
      <c r="C1347" s="36"/>
      <c r="J1347" s="38"/>
    </row>
    <row r="1348" spans="2:10" s="19" customFormat="1" x14ac:dyDescent="0.25">
      <c r="B1348" s="35"/>
      <c r="C1348" s="36"/>
      <c r="J1348" s="38"/>
    </row>
    <row r="1349" spans="2:10" s="19" customFormat="1" x14ac:dyDescent="0.25">
      <c r="B1349" s="35"/>
      <c r="C1349" s="36"/>
      <c r="J1349" s="38"/>
    </row>
    <row r="1350" spans="2:10" s="19" customFormat="1" x14ac:dyDescent="0.25">
      <c r="B1350" s="35"/>
      <c r="C1350" s="36"/>
      <c r="J1350" s="38"/>
    </row>
    <row r="1351" spans="2:10" s="19" customFormat="1" x14ac:dyDescent="0.25">
      <c r="B1351" s="35"/>
      <c r="C1351" s="36"/>
      <c r="J1351" s="38"/>
    </row>
    <row r="1352" spans="2:10" s="19" customFormat="1" x14ac:dyDescent="0.25">
      <c r="B1352" s="35"/>
      <c r="C1352" s="36"/>
      <c r="J1352" s="38"/>
    </row>
    <row r="1353" spans="2:10" s="19" customFormat="1" x14ac:dyDescent="0.25">
      <c r="B1353" s="35"/>
      <c r="C1353" s="36"/>
      <c r="J1353" s="38"/>
    </row>
    <row r="1354" spans="2:10" s="19" customFormat="1" x14ac:dyDescent="0.25">
      <c r="B1354" s="35"/>
      <c r="C1354" s="36"/>
      <c r="J1354" s="38"/>
    </row>
    <row r="1355" spans="2:10" s="19" customFormat="1" x14ac:dyDescent="0.25">
      <c r="B1355" s="35"/>
      <c r="C1355" s="36"/>
      <c r="J1355" s="38"/>
    </row>
    <row r="1356" spans="2:10" s="19" customFormat="1" x14ac:dyDescent="0.25">
      <c r="B1356" s="35"/>
      <c r="C1356" s="36"/>
      <c r="J1356" s="38"/>
    </row>
    <row r="1357" spans="2:10" s="19" customFormat="1" x14ac:dyDescent="0.25">
      <c r="B1357" s="35"/>
      <c r="C1357" s="36"/>
      <c r="J1357" s="38"/>
    </row>
    <row r="1358" spans="2:10" s="19" customFormat="1" x14ac:dyDescent="0.25">
      <c r="B1358" s="35"/>
      <c r="C1358" s="36"/>
      <c r="J1358" s="38"/>
    </row>
    <row r="1359" spans="2:10" s="19" customFormat="1" x14ac:dyDescent="0.25">
      <c r="B1359" s="35"/>
      <c r="C1359" s="36"/>
      <c r="J1359" s="38"/>
    </row>
    <row r="1360" spans="2:10" s="19" customFormat="1" x14ac:dyDescent="0.25">
      <c r="B1360" s="35"/>
      <c r="C1360" s="36"/>
      <c r="J1360" s="38"/>
    </row>
    <row r="1361" spans="2:10" s="19" customFormat="1" x14ac:dyDescent="0.25">
      <c r="B1361" s="35"/>
      <c r="C1361" s="36"/>
      <c r="J1361" s="38"/>
    </row>
    <row r="1362" spans="2:10" s="19" customFormat="1" x14ac:dyDescent="0.25">
      <c r="B1362" s="35"/>
      <c r="C1362" s="36"/>
      <c r="J1362" s="38"/>
    </row>
    <row r="1363" spans="2:10" s="19" customFormat="1" x14ac:dyDescent="0.25">
      <c r="B1363" s="35"/>
      <c r="C1363" s="36"/>
      <c r="J1363" s="38"/>
    </row>
    <row r="1364" spans="2:10" s="19" customFormat="1" x14ac:dyDescent="0.25">
      <c r="B1364" s="35"/>
      <c r="C1364" s="36"/>
      <c r="J1364" s="38"/>
    </row>
    <row r="1365" spans="2:10" s="19" customFormat="1" x14ac:dyDescent="0.25">
      <c r="B1365" s="35"/>
      <c r="C1365" s="36"/>
      <c r="J1365" s="38"/>
    </row>
    <row r="1366" spans="2:10" s="19" customFormat="1" x14ac:dyDescent="0.25">
      <c r="B1366" s="35"/>
      <c r="C1366" s="36"/>
      <c r="J1366" s="38"/>
    </row>
    <row r="1367" spans="2:10" s="19" customFormat="1" x14ac:dyDescent="0.25">
      <c r="B1367" s="35"/>
      <c r="C1367" s="36"/>
      <c r="J1367" s="38"/>
    </row>
    <row r="1368" spans="2:10" s="19" customFormat="1" x14ac:dyDescent="0.25">
      <c r="B1368" s="35"/>
      <c r="C1368" s="36"/>
      <c r="J1368" s="38"/>
    </row>
    <row r="1369" spans="2:10" s="19" customFormat="1" x14ac:dyDescent="0.25">
      <c r="B1369" s="35"/>
      <c r="C1369" s="36"/>
      <c r="J1369" s="38"/>
    </row>
    <row r="1370" spans="2:10" s="19" customFormat="1" x14ac:dyDescent="0.25">
      <c r="B1370" s="35"/>
      <c r="C1370" s="36"/>
      <c r="J1370" s="38"/>
    </row>
    <row r="1371" spans="2:10" s="19" customFormat="1" x14ac:dyDescent="0.25">
      <c r="B1371" s="35"/>
      <c r="C1371" s="36"/>
      <c r="J1371" s="38"/>
    </row>
    <row r="1372" spans="2:10" s="19" customFormat="1" x14ac:dyDescent="0.25">
      <c r="B1372" s="35"/>
      <c r="C1372" s="36"/>
      <c r="J1372" s="38"/>
    </row>
    <row r="1373" spans="2:10" s="19" customFormat="1" x14ac:dyDescent="0.25">
      <c r="B1373" s="35"/>
      <c r="C1373" s="36"/>
      <c r="J1373" s="38"/>
    </row>
    <row r="1374" spans="2:10" s="19" customFormat="1" x14ac:dyDescent="0.25">
      <c r="B1374" s="35"/>
      <c r="C1374" s="36"/>
      <c r="J1374" s="38"/>
    </row>
    <row r="1375" spans="2:10" s="19" customFormat="1" x14ac:dyDescent="0.25">
      <c r="B1375" s="35"/>
      <c r="C1375" s="36"/>
      <c r="J1375" s="38"/>
    </row>
    <row r="1376" spans="2:10" s="19" customFormat="1" x14ac:dyDescent="0.25">
      <c r="B1376" s="35"/>
      <c r="C1376" s="36"/>
      <c r="J1376" s="38"/>
    </row>
    <row r="1377" spans="2:10" s="19" customFormat="1" x14ac:dyDescent="0.25">
      <c r="B1377" s="35"/>
      <c r="C1377" s="36"/>
      <c r="J1377" s="38"/>
    </row>
    <row r="1378" spans="2:10" s="19" customFormat="1" x14ac:dyDescent="0.25">
      <c r="B1378" s="35"/>
      <c r="C1378" s="36"/>
      <c r="J1378" s="38"/>
    </row>
    <row r="1379" spans="2:10" s="19" customFormat="1" x14ac:dyDescent="0.25">
      <c r="B1379" s="35"/>
      <c r="C1379" s="36"/>
      <c r="J1379" s="38"/>
    </row>
    <row r="1380" spans="2:10" s="19" customFormat="1" x14ac:dyDescent="0.25">
      <c r="B1380" s="35"/>
      <c r="C1380" s="36"/>
      <c r="J1380" s="38"/>
    </row>
    <row r="1381" spans="2:10" s="19" customFormat="1" x14ac:dyDescent="0.25">
      <c r="B1381" s="35"/>
      <c r="C1381" s="36"/>
      <c r="J1381" s="38"/>
    </row>
    <row r="1382" spans="2:10" s="19" customFormat="1" x14ac:dyDescent="0.25">
      <c r="B1382" s="35"/>
      <c r="C1382" s="36"/>
      <c r="J1382" s="38"/>
    </row>
    <row r="1383" spans="2:10" s="19" customFormat="1" x14ac:dyDescent="0.25">
      <c r="B1383" s="35"/>
      <c r="C1383" s="36"/>
      <c r="J1383" s="38"/>
    </row>
    <row r="1384" spans="2:10" s="19" customFormat="1" x14ac:dyDescent="0.25">
      <c r="B1384" s="35"/>
      <c r="C1384" s="36"/>
      <c r="J1384" s="38"/>
    </row>
    <row r="1385" spans="2:10" s="19" customFormat="1" x14ac:dyDescent="0.25">
      <c r="B1385" s="35"/>
      <c r="C1385" s="36"/>
      <c r="J1385" s="38"/>
    </row>
    <row r="1386" spans="2:10" s="19" customFormat="1" x14ac:dyDescent="0.25">
      <c r="B1386" s="35"/>
      <c r="C1386" s="36"/>
      <c r="J1386" s="38"/>
    </row>
    <row r="1387" spans="2:10" s="19" customFormat="1" x14ac:dyDescent="0.25">
      <c r="B1387" s="35"/>
      <c r="C1387" s="36"/>
      <c r="J1387" s="38"/>
    </row>
    <row r="1388" spans="2:10" s="19" customFormat="1" x14ac:dyDescent="0.25">
      <c r="B1388" s="35"/>
      <c r="C1388" s="36"/>
      <c r="J1388" s="38"/>
    </row>
    <row r="1389" spans="2:10" s="19" customFormat="1" x14ac:dyDescent="0.25">
      <c r="B1389" s="35"/>
      <c r="C1389" s="36"/>
      <c r="J1389" s="38"/>
    </row>
    <row r="1390" spans="2:10" s="19" customFormat="1" x14ac:dyDescent="0.25">
      <c r="B1390" s="35"/>
      <c r="C1390" s="36"/>
      <c r="J1390" s="38"/>
    </row>
    <row r="1391" spans="2:10" s="19" customFormat="1" x14ac:dyDescent="0.25">
      <c r="B1391" s="35"/>
      <c r="C1391" s="36"/>
      <c r="J1391" s="38"/>
    </row>
    <row r="1392" spans="2:10" s="19" customFormat="1" x14ac:dyDescent="0.25">
      <c r="B1392" s="35"/>
      <c r="C1392" s="36"/>
      <c r="J1392" s="38"/>
    </row>
    <row r="1393" spans="2:10" s="19" customFormat="1" x14ac:dyDescent="0.25">
      <c r="B1393" s="35"/>
      <c r="C1393" s="36"/>
      <c r="J1393" s="38"/>
    </row>
    <row r="1394" spans="2:10" s="19" customFormat="1" x14ac:dyDescent="0.25">
      <c r="B1394" s="35"/>
      <c r="C1394" s="36"/>
      <c r="J1394" s="38"/>
    </row>
    <row r="1395" spans="2:10" s="19" customFormat="1" x14ac:dyDescent="0.25">
      <c r="B1395" s="35"/>
      <c r="C1395" s="36"/>
      <c r="J1395" s="38"/>
    </row>
    <row r="1396" spans="2:10" s="19" customFormat="1" x14ac:dyDescent="0.25">
      <c r="B1396" s="35"/>
      <c r="C1396" s="36"/>
      <c r="J1396" s="38"/>
    </row>
    <row r="1397" spans="2:10" s="19" customFormat="1" x14ac:dyDescent="0.25">
      <c r="B1397" s="35"/>
      <c r="C1397" s="36"/>
      <c r="J1397" s="38"/>
    </row>
    <row r="1398" spans="2:10" s="19" customFormat="1" x14ac:dyDescent="0.25">
      <c r="B1398" s="35"/>
      <c r="C1398" s="36"/>
      <c r="J1398" s="38"/>
    </row>
    <row r="1399" spans="2:10" s="19" customFormat="1" x14ac:dyDescent="0.25">
      <c r="B1399" s="35"/>
      <c r="C1399" s="36"/>
      <c r="J1399" s="38"/>
    </row>
    <row r="1400" spans="2:10" s="19" customFormat="1" x14ac:dyDescent="0.25">
      <c r="B1400" s="35"/>
      <c r="C1400" s="36"/>
      <c r="J1400" s="38"/>
    </row>
    <row r="1401" spans="2:10" s="19" customFormat="1" x14ac:dyDescent="0.25">
      <c r="B1401" s="35"/>
      <c r="C1401" s="36"/>
      <c r="J1401" s="38"/>
    </row>
    <row r="1402" spans="2:10" s="19" customFormat="1" x14ac:dyDescent="0.25">
      <c r="B1402" s="35"/>
      <c r="C1402" s="36"/>
      <c r="J1402" s="38"/>
    </row>
    <row r="1403" spans="2:10" s="19" customFormat="1" x14ac:dyDescent="0.25">
      <c r="B1403" s="35"/>
      <c r="C1403" s="36"/>
      <c r="J1403" s="38"/>
    </row>
    <row r="1404" spans="2:10" s="19" customFormat="1" x14ac:dyDescent="0.25">
      <c r="B1404" s="35"/>
      <c r="C1404" s="36"/>
      <c r="J1404" s="38"/>
    </row>
    <row r="1405" spans="2:10" s="19" customFormat="1" x14ac:dyDescent="0.25">
      <c r="B1405" s="35"/>
      <c r="C1405" s="36"/>
      <c r="J1405" s="38"/>
    </row>
    <row r="1406" spans="2:10" s="19" customFormat="1" x14ac:dyDescent="0.25">
      <c r="B1406" s="35"/>
      <c r="C1406" s="36"/>
      <c r="J1406" s="38"/>
    </row>
    <row r="1407" spans="2:10" s="19" customFormat="1" x14ac:dyDescent="0.25">
      <c r="B1407" s="35"/>
      <c r="C1407" s="36"/>
      <c r="J1407" s="38"/>
    </row>
    <row r="1408" spans="2:10" s="19" customFormat="1" x14ac:dyDescent="0.25">
      <c r="B1408" s="35"/>
      <c r="C1408" s="36"/>
      <c r="J1408" s="38"/>
    </row>
    <row r="1409" spans="2:10" s="19" customFormat="1" x14ac:dyDescent="0.25">
      <c r="B1409" s="35"/>
      <c r="C1409" s="36"/>
      <c r="J1409" s="38"/>
    </row>
    <row r="1410" spans="2:10" s="19" customFormat="1" x14ac:dyDescent="0.25">
      <c r="B1410" s="35"/>
      <c r="C1410" s="36"/>
      <c r="J1410" s="38"/>
    </row>
    <row r="1411" spans="2:10" s="19" customFormat="1" x14ac:dyDescent="0.25">
      <c r="B1411" s="35"/>
      <c r="C1411" s="36"/>
      <c r="J1411" s="38"/>
    </row>
    <row r="1412" spans="2:10" s="19" customFormat="1" x14ac:dyDescent="0.25">
      <c r="B1412" s="35"/>
      <c r="C1412" s="36"/>
      <c r="J1412" s="38"/>
    </row>
    <row r="1413" spans="2:10" s="19" customFormat="1" x14ac:dyDescent="0.25">
      <c r="B1413" s="35"/>
      <c r="C1413" s="36"/>
      <c r="J1413" s="38"/>
    </row>
    <row r="1414" spans="2:10" s="19" customFormat="1" x14ac:dyDescent="0.25">
      <c r="B1414" s="35"/>
      <c r="C1414" s="36"/>
      <c r="J1414" s="38"/>
    </row>
    <row r="1415" spans="2:10" s="19" customFormat="1" x14ac:dyDescent="0.25">
      <c r="B1415" s="35"/>
      <c r="C1415" s="36"/>
      <c r="J1415" s="38"/>
    </row>
    <row r="1416" spans="2:10" s="19" customFormat="1" x14ac:dyDescent="0.25">
      <c r="B1416" s="35"/>
      <c r="C1416" s="36"/>
      <c r="J1416" s="38"/>
    </row>
    <row r="1417" spans="2:10" s="19" customFormat="1" x14ac:dyDescent="0.25">
      <c r="B1417" s="35"/>
      <c r="C1417" s="36"/>
      <c r="J1417" s="38"/>
    </row>
    <row r="1418" spans="2:10" s="19" customFormat="1" x14ac:dyDescent="0.25">
      <c r="B1418" s="35"/>
      <c r="C1418" s="36"/>
      <c r="J1418" s="38"/>
    </row>
    <row r="1419" spans="2:10" s="19" customFormat="1" x14ac:dyDescent="0.25">
      <c r="B1419" s="35"/>
      <c r="C1419" s="36"/>
      <c r="J1419" s="38"/>
    </row>
    <row r="1420" spans="2:10" s="19" customFormat="1" x14ac:dyDescent="0.25">
      <c r="B1420" s="35"/>
      <c r="C1420" s="36"/>
      <c r="J1420" s="38"/>
    </row>
    <row r="1421" spans="2:10" s="19" customFormat="1" x14ac:dyDescent="0.25">
      <c r="B1421" s="35"/>
      <c r="C1421" s="36"/>
      <c r="J1421" s="38"/>
    </row>
    <row r="1422" spans="2:10" s="19" customFormat="1" x14ac:dyDescent="0.25">
      <c r="B1422" s="35"/>
      <c r="C1422" s="36"/>
      <c r="J1422" s="38"/>
    </row>
    <row r="1423" spans="2:10" s="19" customFormat="1" x14ac:dyDescent="0.25">
      <c r="B1423" s="35"/>
      <c r="C1423" s="36"/>
      <c r="J1423" s="38"/>
    </row>
    <row r="1424" spans="2:10" s="19" customFormat="1" x14ac:dyDescent="0.25">
      <c r="B1424" s="35"/>
      <c r="C1424" s="36"/>
      <c r="J1424" s="38"/>
    </row>
    <row r="1425" spans="2:10" s="19" customFormat="1" x14ac:dyDescent="0.25">
      <c r="B1425" s="35"/>
      <c r="C1425" s="36"/>
      <c r="J1425" s="38"/>
    </row>
    <row r="1426" spans="2:10" s="19" customFormat="1" x14ac:dyDescent="0.25">
      <c r="B1426" s="35"/>
      <c r="C1426" s="36"/>
      <c r="J1426" s="38"/>
    </row>
    <row r="1427" spans="2:10" s="19" customFormat="1" x14ac:dyDescent="0.25">
      <c r="B1427" s="35"/>
      <c r="C1427" s="36"/>
      <c r="J1427" s="38"/>
    </row>
    <row r="1428" spans="2:10" s="19" customFormat="1" x14ac:dyDescent="0.25">
      <c r="B1428" s="35"/>
      <c r="C1428" s="36"/>
      <c r="J1428" s="38"/>
    </row>
    <row r="1429" spans="2:10" s="19" customFormat="1" x14ac:dyDescent="0.25">
      <c r="B1429" s="35"/>
      <c r="C1429" s="36"/>
      <c r="J1429" s="38"/>
    </row>
    <row r="1430" spans="2:10" s="19" customFormat="1" x14ac:dyDescent="0.25">
      <c r="B1430" s="35"/>
      <c r="C1430" s="36"/>
      <c r="J1430" s="38"/>
    </row>
    <row r="1431" spans="2:10" s="19" customFormat="1" x14ac:dyDescent="0.25">
      <c r="B1431" s="35"/>
      <c r="C1431" s="36"/>
      <c r="J1431" s="38"/>
    </row>
    <row r="1432" spans="2:10" s="19" customFormat="1" x14ac:dyDescent="0.25">
      <c r="B1432" s="35"/>
      <c r="C1432" s="36"/>
      <c r="J1432" s="38"/>
    </row>
    <row r="1433" spans="2:10" s="19" customFormat="1" x14ac:dyDescent="0.25">
      <c r="B1433" s="35"/>
      <c r="C1433" s="36"/>
      <c r="J1433" s="38"/>
    </row>
    <row r="1434" spans="2:10" s="19" customFormat="1" x14ac:dyDescent="0.25">
      <c r="B1434" s="35"/>
      <c r="C1434" s="36"/>
      <c r="J1434" s="38"/>
    </row>
    <row r="1435" spans="2:10" s="19" customFormat="1" x14ac:dyDescent="0.25">
      <c r="B1435" s="35"/>
      <c r="C1435" s="36"/>
      <c r="J1435" s="38"/>
    </row>
    <row r="1436" spans="2:10" s="19" customFormat="1" x14ac:dyDescent="0.25">
      <c r="B1436" s="35"/>
      <c r="C1436" s="36"/>
      <c r="J1436" s="38"/>
    </row>
    <row r="1437" spans="2:10" s="19" customFormat="1" x14ac:dyDescent="0.25">
      <c r="B1437" s="35"/>
      <c r="C1437" s="36"/>
      <c r="J1437" s="38"/>
    </row>
    <row r="1438" spans="2:10" s="19" customFormat="1" x14ac:dyDescent="0.25">
      <c r="B1438" s="35"/>
      <c r="C1438" s="36"/>
      <c r="J1438" s="38"/>
    </row>
    <row r="1439" spans="2:10" s="19" customFormat="1" x14ac:dyDescent="0.25">
      <c r="B1439" s="35"/>
      <c r="C1439" s="36"/>
      <c r="J1439" s="38"/>
    </row>
    <row r="1440" spans="2:10" s="19" customFormat="1" x14ac:dyDescent="0.25">
      <c r="B1440" s="35"/>
      <c r="C1440" s="36"/>
      <c r="J1440" s="38"/>
    </row>
    <row r="1441" spans="2:10" s="19" customFormat="1" x14ac:dyDescent="0.25">
      <c r="B1441" s="35"/>
      <c r="C1441" s="36"/>
      <c r="J1441" s="38"/>
    </row>
    <row r="1442" spans="2:10" s="19" customFormat="1" x14ac:dyDescent="0.25">
      <c r="B1442" s="35"/>
      <c r="C1442" s="36"/>
      <c r="J1442" s="38"/>
    </row>
    <row r="1443" spans="2:10" s="19" customFormat="1" x14ac:dyDescent="0.25">
      <c r="B1443" s="35"/>
      <c r="C1443" s="36"/>
      <c r="J1443" s="38"/>
    </row>
    <row r="1444" spans="2:10" s="19" customFormat="1" x14ac:dyDescent="0.25">
      <c r="B1444" s="35"/>
      <c r="C1444" s="36"/>
      <c r="J1444" s="38"/>
    </row>
    <row r="1445" spans="2:10" s="19" customFormat="1" x14ac:dyDescent="0.25">
      <c r="B1445" s="35"/>
      <c r="C1445" s="36"/>
      <c r="J1445" s="38"/>
    </row>
    <row r="1446" spans="2:10" s="19" customFormat="1" x14ac:dyDescent="0.25">
      <c r="B1446" s="35"/>
      <c r="C1446" s="36"/>
      <c r="J1446" s="38"/>
    </row>
    <row r="1447" spans="2:10" s="19" customFormat="1" x14ac:dyDescent="0.25">
      <c r="B1447" s="35"/>
      <c r="C1447" s="36"/>
      <c r="J1447" s="38"/>
    </row>
    <row r="1448" spans="2:10" s="19" customFormat="1" x14ac:dyDescent="0.25">
      <c r="B1448" s="35"/>
      <c r="C1448" s="36"/>
      <c r="J1448" s="38"/>
    </row>
    <row r="1449" spans="2:10" s="19" customFormat="1" x14ac:dyDescent="0.25">
      <c r="B1449" s="35"/>
      <c r="C1449" s="36"/>
      <c r="J1449" s="38"/>
    </row>
    <row r="1450" spans="2:10" s="19" customFormat="1" x14ac:dyDescent="0.25">
      <c r="B1450" s="35"/>
      <c r="C1450" s="36"/>
      <c r="J1450" s="38"/>
    </row>
    <row r="1451" spans="2:10" s="19" customFormat="1" x14ac:dyDescent="0.25">
      <c r="B1451" s="35"/>
      <c r="C1451" s="36"/>
      <c r="J1451" s="38"/>
    </row>
    <row r="1452" spans="2:10" s="19" customFormat="1" x14ac:dyDescent="0.25">
      <c r="B1452" s="35"/>
      <c r="C1452" s="36"/>
      <c r="J1452" s="38"/>
    </row>
    <row r="1453" spans="2:10" s="19" customFormat="1" x14ac:dyDescent="0.25">
      <c r="B1453" s="35"/>
      <c r="C1453" s="36"/>
      <c r="J1453" s="38"/>
    </row>
    <row r="1454" spans="2:10" s="19" customFormat="1" x14ac:dyDescent="0.25">
      <c r="B1454" s="35"/>
      <c r="C1454" s="36"/>
      <c r="J1454" s="38"/>
    </row>
    <row r="1455" spans="2:10" s="19" customFormat="1" x14ac:dyDescent="0.25">
      <c r="B1455" s="35"/>
      <c r="C1455" s="36"/>
      <c r="J1455" s="38"/>
    </row>
    <row r="1456" spans="2:10" s="19" customFormat="1" x14ac:dyDescent="0.25">
      <c r="B1456" s="35"/>
      <c r="C1456" s="36"/>
      <c r="J1456" s="38"/>
    </row>
    <row r="1457" spans="2:10" s="19" customFormat="1" x14ac:dyDescent="0.25">
      <c r="B1457" s="35"/>
      <c r="C1457" s="36"/>
      <c r="J1457" s="38"/>
    </row>
    <row r="1458" spans="2:10" s="19" customFormat="1" x14ac:dyDescent="0.25">
      <c r="B1458" s="35"/>
      <c r="C1458" s="36"/>
      <c r="J1458" s="38"/>
    </row>
    <row r="1459" spans="2:10" s="19" customFormat="1" x14ac:dyDescent="0.25">
      <c r="B1459" s="35"/>
      <c r="C1459" s="36"/>
      <c r="J1459" s="38"/>
    </row>
    <row r="1460" spans="2:10" s="19" customFormat="1" x14ac:dyDescent="0.25">
      <c r="B1460" s="35"/>
      <c r="C1460" s="36"/>
      <c r="J1460" s="38"/>
    </row>
    <row r="1461" spans="2:10" s="19" customFormat="1" x14ac:dyDescent="0.25">
      <c r="B1461" s="35"/>
      <c r="C1461" s="36"/>
      <c r="J1461" s="38"/>
    </row>
    <row r="1462" spans="2:10" s="19" customFormat="1" x14ac:dyDescent="0.25">
      <c r="B1462" s="35"/>
      <c r="C1462" s="36"/>
      <c r="J1462" s="38"/>
    </row>
    <row r="1463" spans="2:10" s="19" customFormat="1" x14ac:dyDescent="0.25">
      <c r="B1463" s="35"/>
      <c r="C1463" s="36"/>
      <c r="J1463" s="38"/>
    </row>
    <row r="1464" spans="2:10" s="19" customFormat="1" x14ac:dyDescent="0.25">
      <c r="B1464" s="35"/>
      <c r="C1464" s="36"/>
      <c r="J1464" s="38"/>
    </row>
    <row r="1465" spans="2:10" s="19" customFormat="1" x14ac:dyDescent="0.25">
      <c r="B1465" s="35"/>
      <c r="C1465" s="36"/>
      <c r="J1465" s="38"/>
    </row>
    <row r="1466" spans="2:10" s="19" customFormat="1" x14ac:dyDescent="0.25">
      <c r="B1466" s="35"/>
      <c r="C1466" s="36"/>
      <c r="J1466" s="38"/>
    </row>
    <row r="1467" spans="2:10" s="19" customFormat="1" x14ac:dyDescent="0.25">
      <c r="B1467" s="35"/>
      <c r="C1467" s="36"/>
      <c r="J1467" s="38"/>
    </row>
    <row r="1468" spans="2:10" s="19" customFormat="1" x14ac:dyDescent="0.25">
      <c r="B1468" s="35"/>
      <c r="C1468" s="36"/>
      <c r="J1468" s="38"/>
    </row>
    <row r="1469" spans="2:10" s="19" customFormat="1" x14ac:dyDescent="0.25">
      <c r="B1469" s="35"/>
      <c r="C1469" s="36"/>
      <c r="J1469" s="38"/>
    </row>
    <row r="1470" spans="2:10" s="19" customFormat="1" x14ac:dyDescent="0.25">
      <c r="B1470" s="35"/>
      <c r="C1470" s="36"/>
      <c r="J1470" s="38"/>
    </row>
    <row r="1471" spans="2:10" s="19" customFormat="1" x14ac:dyDescent="0.25">
      <c r="B1471" s="35"/>
      <c r="C1471" s="36"/>
      <c r="J1471" s="38"/>
    </row>
    <row r="1472" spans="2:10" s="19" customFormat="1" x14ac:dyDescent="0.25">
      <c r="B1472" s="35"/>
      <c r="C1472" s="36"/>
      <c r="J1472" s="38"/>
    </row>
    <row r="1473" spans="2:10" s="19" customFormat="1" x14ac:dyDescent="0.25">
      <c r="B1473" s="35"/>
      <c r="C1473" s="36"/>
      <c r="J1473" s="38"/>
    </row>
    <row r="1474" spans="2:10" s="19" customFormat="1" x14ac:dyDescent="0.25">
      <c r="B1474" s="35"/>
      <c r="C1474" s="36"/>
      <c r="J1474" s="38"/>
    </row>
    <row r="1475" spans="2:10" s="19" customFormat="1" x14ac:dyDescent="0.25">
      <c r="B1475" s="35"/>
      <c r="C1475" s="36"/>
      <c r="J1475" s="38"/>
    </row>
    <row r="1476" spans="2:10" s="19" customFormat="1" x14ac:dyDescent="0.25">
      <c r="B1476" s="35"/>
      <c r="C1476" s="36"/>
      <c r="J1476" s="38"/>
    </row>
    <row r="1477" spans="2:10" s="19" customFormat="1" x14ac:dyDescent="0.25">
      <c r="B1477" s="35"/>
      <c r="C1477" s="36"/>
      <c r="J1477" s="38"/>
    </row>
    <row r="1478" spans="2:10" s="19" customFormat="1" x14ac:dyDescent="0.25">
      <c r="B1478" s="35"/>
      <c r="C1478" s="36"/>
      <c r="J1478" s="38"/>
    </row>
    <row r="1479" spans="2:10" s="19" customFormat="1" x14ac:dyDescent="0.25">
      <c r="B1479" s="35"/>
      <c r="C1479" s="36"/>
      <c r="J1479" s="38"/>
    </row>
    <row r="1480" spans="2:10" s="19" customFormat="1" x14ac:dyDescent="0.25">
      <c r="B1480" s="35"/>
      <c r="C1480" s="36"/>
      <c r="J1480" s="38"/>
    </row>
    <row r="1481" spans="2:10" s="19" customFormat="1" x14ac:dyDescent="0.25">
      <c r="B1481" s="35"/>
      <c r="C1481" s="36"/>
      <c r="J1481" s="38"/>
    </row>
    <row r="1482" spans="2:10" s="19" customFormat="1" x14ac:dyDescent="0.25">
      <c r="B1482" s="35"/>
      <c r="C1482" s="36"/>
      <c r="J1482" s="38"/>
    </row>
    <row r="1483" spans="2:10" s="19" customFormat="1" x14ac:dyDescent="0.25">
      <c r="B1483" s="35"/>
      <c r="C1483" s="36"/>
      <c r="J1483" s="38"/>
    </row>
    <row r="1484" spans="2:10" s="19" customFormat="1" x14ac:dyDescent="0.25">
      <c r="B1484" s="35"/>
      <c r="C1484" s="36"/>
      <c r="J1484" s="38"/>
    </row>
    <row r="1485" spans="2:10" s="19" customFormat="1" x14ac:dyDescent="0.25">
      <c r="B1485" s="35"/>
      <c r="C1485" s="36"/>
      <c r="J1485" s="38"/>
    </row>
    <row r="1486" spans="2:10" s="19" customFormat="1" x14ac:dyDescent="0.25">
      <c r="B1486" s="35"/>
      <c r="C1486" s="36"/>
      <c r="J1486" s="38"/>
    </row>
    <row r="1487" spans="2:10" s="19" customFormat="1" x14ac:dyDescent="0.25">
      <c r="B1487" s="35"/>
      <c r="C1487" s="36"/>
      <c r="J1487" s="38"/>
    </row>
    <row r="1488" spans="2:10" s="19" customFormat="1" x14ac:dyDescent="0.25">
      <c r="B1488" s="35"/>
      <c r="C1488" s="36"/>
      <c r="J1488" s="38"/>
    </row>
    <row r="1489" spans="2:10" s="19" customFormat="1" x14ac:dyDescent="0.25">
      <c r="B1489" s="35"/>
      <c r="C1489" s="36"/>
      <c r="J1489" s="38"/>
    </row>
    <row r="1490" spans="2:10" s="19" customFormat="1" x14ac:dyDescent="0.25">
      <c r="B1490" s="35"/>
      <c r="C1490" s="36"/>
      <c r="J1490" s="38"/>
    </row>
    <row r="1491" spans="2:10" s="19" customFormat="1" x14ac:dyDescent="0.25">
      <c r="B1491" s="35"/>
      <c r="C1491" s="36"/>
      <c r="J1491" s="38"/>
    </row>
    <row r="1492" spans="2:10" s="19" customFormat="1" x14ac:dyDescent="0.25">
      <c r="B1492" s="35"/>
      <c r="C1492" s="36"/>
      <c r="J1492" s="38"/>
    </row>
    <row r="1493" spans="2:10" s="19" customFormat="1" x14ac:dyDescent="0.25">
      <c r="B1493" s="35"/>
      <c r="C1493" s="36"/>
      <c r="J1493" s="38"/>
    </row>
    <row r="1494" spans="2:10" s="19" customFormat="1" x14ac:dyDescent="0.25">
      <c r="B1494" s="35"/>
      <c r="C1494" s="36"/>
      <c r="J1494" s="38"/>
    </row>
    <row r="1495" spans="2:10" s="19" customFormat="1" x14ac:dyDescent="0.25">
      <c r="B1495" s="35"/>
      <c r="C1495" s="36"/>
      <c r="J1495" s="38"/>
    </row>
    <row r="1496" spans="2:10" s="19" customFormat="1" x14ac:dyDescent="0.25">
      <c r="B1496" s="35"/>
      <c r="C1496" s="36"/>
      <c r="J1496" s="38"/>
    </row>
    <row r="1497" spans="2:10" s="19" customFormat="1" x14ac:dyDescent="0.25">
      <c r="B1497" s="35"/>
      <c r="C1497" s="36"/>
      <c r="J1497" s="38"/>
    </row>
    <row r="1498" spans="2:10" s="19" customFormat="1" x14ac:dyDescent="0.25">
      <c r="B1498" s="35"/>
      <c r="C1498" s="36"/>
      <c r="J1498" s="38"/>
    </row>
    <row r="1499" spans="2:10" s="19" customFormat="1" x14ac:dyDescent="0.25">
      <c r="B1499" s="35"/>
      <c r="C1499" s="36"/>
      <c r="J1499" s="38"/>
    </row>
    <row r="1500" spans="2:10" s="19" customFormat="1" x14ac:dyDescent="0.25">
      <c r="B1500" s="35"/>
      <c r="C1500" s="36"/>
      <c r="J1500" s="38"/>
    </row>
    <row r="1501" spans="2:10" s="19" customFormat="1" x14ac:dyDescent="0.25">
      <c r="B1501" s="35"/>
      <c r="C1501" s="36"/>
      <c r="J1501" s="38"/>
    </row>
    <row r="1502" spans="2:10" s="19" customFormat="1" x14ac:dyDescent="0.25">
      <c r="B1502" s="35"/>
      <c r="C1502" s="36"/>
      <c r="J1502" s="38"/>
    </row>
    <row r="1503" spans="2:10" s="19" customFormat="1" x14ac:dyDescent="0.25">
      <c r="B1503" s="35"/>
      <c r="C1503" s="36"/>
      <c r="J1503" s="38"/>
    </row>
    <row r="1504" spans="2:10" s="19" customFormat="1" x14ac:dyDescent="0.25">
      <c r="B1504" s="35"/>
      <c r="C1504" s="36"/>
      <c r="J1504" s="38"/>
    </row>
    <row r="1505" spans="2:10" s="19" customFormat="1" x14ac:dyDescent="0.25">
      <c r="B1505" s="35"/>
      <c r="C1505" s="36"/>
      <c r="J1505" s="38"/>
    </row>
    <row r="1506" spans="2:10" s="19" customFormat="1" x14ac:dyDescent="0.25">
      <c r="B1506" s="35"/>
      <c r="C1506" s="36"/>
      <c r="J1506" s="38"/>
    </row>
    <row r="1507" spans="2:10" s="19" customFormat="1" x14ac:dyDescent="0.25">
      <c r="B1507" s="35"/>
      <c r="C1507" s="36"/>
      <c r="J1507" s="38"/>
    </row>
    <row r="1508" spans="2:10" s="19" customFormat="1" x14ac:dyDescent="0.25">
      <c r="B1508" s="35"/>
      <c r="C1508" s="36"/>
      <c r="J1508" s="38"/>
    </row>
    <row r="1509" spans="2:10" s="19" customFormat="1" x14ac:dyDescent="0.25">
      <c r="B1509" s="35"/>
      <c r="C1509" s="36"/>
      <c r="J1509" s="38"/>
    </row>
    <row r="1510" spans="2:10" s="19" customFormat="1" x14ac:dyDescent="0.25">
      <c r="B1510" s="35"/>
      <c r="C1510" s="36"/>
      <c r="J1510" s="38"/>
    </row>
    <row r="1511" spans="2:10" s="19" customFormat="1" x14ac:dyDescent="0.25">
      <c r="B1511" s="35"/>
      <c r="C1511" s="36"/>
      <c r="J1511" s="38"/>
    </row>
    <row r="1512" spans="2:10" s="19" customFormat="1" x14ac:dyDescent="0.25">
      <c r="B1512" s="35"/>
      <c r="C1512" s="36"/>
      <c r="J1512" s="38"/>
    </row>
    <row r="1513" spans="2:10" s="19" customFormat="1" x14ac:dyDescent="0.25">
      <c r="B1513" s="35"/>
      <c r="C1513" s="36"/>
      <c r="J1513" s="38"/>
    </row>
    <row r="1514" spans="2:10" s="19" customFormat="1" x14ac:dyDescent="0.25">
      <c r="B1514" s="35"/>
      <c r="C1514" s="36"/>
      <c r="J1514" s="38"/>
    </row>
    <row r="1515" spans="2:10" s="19" customFormat="1" x14ac:dyDescent="0.25">
      <c r="B1515" s="35"/>
      <c r="C1515" s="36"/>
      <c r="J1515" s="38"/>
    </row>
    <row r="1516" spans="2:10" s="19" customFormat="1" x14ac:dyDescent="0.25">
      <c r="B1516" s="35"/>
      <c r="C1516" s="36"/>
      <c r="J1516" s="38"/>
    </row>
    <row r="1517" spans="2:10" s="19" customFormat="1" x14ac:dyDescent="0.25">
      <c r="B1517" s="35"/>
      <c r="C1517" s="36"/>
      <c r="J1517" s="38"/>
    </row>
    <row r="1518" spans="2:10" s="19" customFormat="1" x14ac:dyDescent="0.25">
      <c r="B1518" s="35"/>
      <c r="C1518" s="36"/>
      <c r="J1518" s="38"/>
    </row>
    <row r="1519" spans="2:10" s="19" customFormat="1" x14ac:dyDescent="0.25">
      <c r="B1519" s="35"/>
      <c r="C1519" s="36"/>
      <c r="J1519" s="38"/>
    </row>
    <row r="1520" spans="2:10" s="19" customFormat="1" x14ac:dyDescent="0.25">
      <c r="B1520" s="35"/>
      <c r="C1520" s="36"/>
      <c r="J1520" s="38"/>
    </row>
    <row r="1521" spans="2:10" s="19" customFormat="1" x14ac:dyDescent="0.25">
      <c r="B1521" s="35"/>
      <c r="C1521" s="36"/>
      <c r="J1521" s="38"/>
    </row>
    <row r="1522" spans="2:10" s="19" customFormat="1" x14ac:dyDescent="0.25">
      <c r="B1522" s="35"/>
      <c r="C1522" s="36"/>
      <c r="J1522" s="38"/>
    </row>
    <row r="1523" spans="2:10" s="19" customFormat="1" x14ac:dyDescent="0.25">
      <c r="B1523" s="35"/>
      <c r="C1523" s="36"/>
      <c r="J1523" s="38"/>
    </row>
    <row r="1524" spans="2:10" s="19" customFormat="1" x14ac:dyDescent="0.25">
      <c r="B1524" s="35"/>
      <c r="C1524" s="36"/>
      <c r="J1524" s="38"/>
    </row>
    <row r="1525" spans="2:10" s="19" customFormat="1" x14ac:dyDescent="0.25">
      <c r="B1525" s="35"/>
      <c r="C1525" s="36"/>
      <c r="J1525" s="38"/>
    </row>
    <row r="1526" spans="2:10" s="19" customFormat="1" x14ac:dyDescent="0.25">
      <c r="B1526" s="35"/>
      <c r="C1526" s="36"/>
      <c r="J1526" s="38"/>
    </row>
    <row r="1527" spans="2:10" s="19" customFormat="1" x14ac:dyDescent="0.25">
      <c r="B1527" s="35"/>
      <c r="C1527" s="36"/>
      <c r="J1527" s="38"/>
    </row>
    <row r="1528" spans="2:10" s="19" customFormat="1" x14ac:dyDescent="0.25">
      <c r="B1528" s="35"/>
      <c r="C1528" s="36"/>
      <c r="J1528" s="38"/>
    </row>
    <row r="1529" spans="2:10" s="19" customFormat="1" x14ac:dyDescent="0.25">
      <c r="B1529" s="35"/>
      <c r="C1529" s="36"/>
      <c r="J1529" s="38"/>
    </row>
    <row r="1530" spans="2:10" s="19" customFormat="1" x14ac:dyDescent="0.25">
      <c r="B1530" s="35"/>
      <c r="C1530" s="36"/>
      <c r="J1530" s="38"/>
    </row>
    <row r="1531" spans="2:10" s="19" customFormat="1" x14ac:dyDescent="0.25">
      <c r="B1531" s="35"/>
      <c r="C1531" s="36"/>
      <c r="J1531" s="38"/>
    </row>
    <row r="1532" spans="2:10" s="19" customFormat="1" x14ac:dyDescent="0.25">
      <c r="B1532" s="35"/>
      <c r="C1532" s="36"/>
      <c r="J1532" s="38"/>
    </row>
    <row r="1533" spans="2:10" s="19" customFormat="1" x14ac:dyDescent="0.25">
      <c r="B1533" s="35"/>
      <c r="C1533" s="36"/>
      <c r="J1533" s="38"/>
    </row>
    <row r="1534" spans="2:10" s="19" customFormat="1" x14ac:dyDescent="0.25">
      <c r="B1534" s="35"/>
      <c r="C1534" s="36"/>
      <c r="J1534" s="38"/>
    </row>
    <row r="1535" spans="2:10" s="19" customFormat="1" x14ac:dyDescent="0.25">
      <c r="B1535" s="35"/>
      <c r="C1535" s="36"/>
      <c r="J1535" s="38"/>
    </row>
    <row r="1536" spans="2:10" s="19" customFormat="1" x14ac:dyDescent="0.25">
      <c r="B1536" s="35"/>
      <c r="C1536" s="36"/>
      <c r="J1536" s="38"/>
    </row>
    <row r="1537" spans="2:10" s="19" customFormat="1" x14ac:dyDescent="0.25">
      <c r="B1537" s="35"/>
      <c r="C1537" s="36"/>
      <c r="J1537" s="38"/>
    </row>
    <row r="1538" spans="2:10" s="19" customFormat="1" x14ac:dyDescent="0.25">
      <c r="B1538" s="35"/>
      <c r="C1538" s="36"/>
      <c r="J1538" s="38"/>
    </row>
    <row r="1539" spans="2:10" s="19" customFormat="1" x14ac:dyDescent="0.25">
      <c r="B1539" s="35"/>
      <c r="C1539" s="36"/>
      <c r="J1539" s="38"/>
    </row>
    <row r="1540" spans="2:10" s="19" customFormat="1" x14ac:dyDescent="0.25">
      <c r="B1540" s="35"/>
      <c r="C1540" s="36"/>
      <c r="J1540" s="38"/>
    </row>
    <row r="1541" spans="2:10" s="19" customFormat="1" x14ac:dyDescent="0.25">
      <c r="B1541" s="35"/>
      <c r="C1541" s="36"/>
      <c r="J1541" s="38"/>
    </row>
    <row r="1542" spans="2:10" s="19" customFormat="1" x14ac:dyDescent="0.25">
      <c r="B1542" s="35"/>
      <c r="C1542" s="36"/>
      <c r="J1542" s="38"/>
    </row>
    <row r="1543" spans="2:10" s="19" customFormat="1" x14ac:dyDescent="0.25">
      <c r="B1543" s="35"/>
      <c r="C1543" s="36"/>
      <c r="J1543" s="38"/>
    </row>
    <row r="1544" spans="2:10" s="19" customFormat="1" x14ac:dyDescent="0.25">
      <c r="B1544" s="35"/>
      <c r="C1544" s="36"/>
      <c r="J1544" s="38"/>
    </row>
    <row r="1545" spans="2:10" s="19" customFormat="1" x14ac:dyDescent="0.25">
      <c r="B1545" s="35"/>
      <c r="C1545" s="36"/>
      <c r="J1545" s="38"/>
    </row>
    <row r="1546" spans="2:10" s="19" customFormat="1" x14ac:dyDescent="0.25">
      <c r="B1546" s="35"/>
      <c r="C1546" s="36"/>
      <c r="J1546" s="38"/>
    </row>
    <row r="1547" spans="2:10" s="19" customFormat="1" x14ac:dyDescent="0.25">
      <c r="B1547" s="35"/>
      <c r="C1547" s="36"/>
      <c r="J1547" s="38"/>
    </row>
    <row r="1548" spans="2:10" s="19" customFormat="1" x14ac:dyDescent="0.25">
      <c r="B1548" s="35"/>
      <c r="C1548" s="36"/>
      <c r="J1548" s="38"/>
    </row>
    <row r="1549" spans="2:10" s="19" customFormat="1" x14ac:dyDescent="0.25">
      <c r="B1549" s="35"/>
      <c r="C1549" s="36"/>
      <c r="J1549" s="38"/>
    </row>
    <row r="1550" spans="2:10" s="19" customFormat="1" x14ac:dyDescent="0.25">
      <c r="B1550" s="35"/>
      <c r="C1550" s="36"/>
      <c r="J1550" s="38"/>
    </row>
    <row r="1551" spans="2:10" s="19" customFormat="1" x14ac:dyDescent="0.25">
      <c r="B1551" s="35"/>
      <c r="C1551" s="36"/>
      <c r="J1551" s="38"/>
    </row>
    <row r="1552" spans="2:10" s="19" customFormat="1" x14ac:dyDescent="0.25">
      <c r="B1552" s="35"/>
      <c r="C1552" s="36"/>
      <c r="J1552" s="38"/>
    </row>
    <row r="1553" spans="2:10" s="19" customFormat="1" x14ac:dyDescent="0.25">
      <c r="B1553" s="35"/>
      <c r="C1553" s="36"/>
      <c r="J1553" s="38"/>
    </row>
    <row r="1554" spans="2:10" s="19" customFormat="1" x14ac:dyDescent="0.25">
      <c r="B1554" s="35"/>
      <c r="C1554" s="36"/>
      <c r="J1554" s="38"/>
    </row>
    <row r="1555" spans="2:10" s="19" customFormat="1" x14ac:dyDescent="0.25">
      <c r="B1555" s="35"/>
      <c r="C1555" s="36"/>
      <c r="J1555" s="38"/>
    </row>
    <row r="1556" spans="2:10" s="19" customFormat="1" x14ac:dyDescent="0.25">
      <c r="B1556" s="35"/>
      <c r="C1556" s="36"/>
      <c r="J1556" s="38"/>
    </row>
    <row r="1557" spans="2:10" s="19" customFormat="1" x14ac:dyDescent="0.25">
      <c r="B1557" s="35"/>
      <c r="C1557" s="36"/>
      <c r="J1557" s="38"/>
    </row>
    <row r="1558" spans="2:10" s="19" customFormat="1" x14ac:dyDescent="0.25">
      <c r="B1558" s="35"/>
      <c r="C1558" s="36"/>
      <c r="J1558" s="38"/>
    </row>
    <row r="1559" spans="2:10" s="19" customFormat="1" x14ac:dyDescent="0.25">
      <c r="B1559" s="35"/>
      <c r="C1559" s="36"/>
      <c r="J1559" s="38"/>
    </row>
    <row r="1560" spans="2:10" s="19" customFormat="1" x14ac:dyDescent="0.25">
      <c r="B1560" s="35"/>
      <c r="C1560" s="36"/>
      <c r="J1560" s="38"/>
    </row>
    <row r="1561" spans="2:10" s="19" customFormat="1" x14ac:dyDescent="0.25">
      <c r="B1561" s="35"/>
      <c r="C1561" s="36"/>
      <c r="J1561" s="38"/>
    </row>
    <row r="1562" spans="2:10" s="19" customFormat="1" x14ac:dyDescent="0.25">
      <c r="B1562" s="35"/>
      <c r="C1562" s="36"/>
      <c r="J1562" s="38"/>
    </row>
    <row r="1563" spans="2:10" s="19" customFormat="1" x14ac:dyDescent="0.25">
      <c r="B1563" s="35"/>
      <c r="C1563" s="36"/>
      <c r="J1563" s="38"/>
    </row>
    <row r="1564" spans="2:10" s="19" customFormat="1" x14ac:dyDescent="0.25">
      <c r="B1564" s="35"/>
      <c r="C1564" s="36"/>
      <c r="J1564" s="38"/>
    </row>
    <row r="1565" spans="2:10" s="19" customFormat="1" x14ac:dyDescent="0.25">
      <c r="B1565" s="35"/>
      <c r="C1565" s="36"/>
      <c r="J1565" s="38"/>
    </row>
    <row r="1566" spans="2:10" s="19" customFormat="1" x14ac:dyDescent="0.25">
      <c r="B1566" s="35"/>
      <c r="C1566" s="36"/>
      <c r="J1566" s="38"/>
    </row>
    <row r="1567" spans="2:10" s="19" customFormat="1" x14ac:dyDescent="0.25">
      <c r="B1567" s="35"/>
      <c r="C1567" s="36"/>
      <c r="J1567" s="38"/>
    </row>
    <row r="1568" spans="2:10" s="19" customFormat="1" x14ac:dyDescent="0.25">
      <c r="B1568" s="35"/>
      <c r="C1568" s="36"/>
      <c r="J1568" s="38"/>
    </row>
    <row r="1569" spans="2:10" s="19" customFormat="1" x14ac:dyDescent="0.25">
      <c r="B1569" s="35"/>
      <c r="C1569" s="36"/>
      <c r="J1569" s="38"/>
    </row>
    <row r="1570" spans="2:10" s="19" customFormat="1" x14ac:dyDescent="0.25">
      <c r="B1570" s="35"/>
      <c r="C1570" s="36"/>
      <c r="J1570" s="38"/>
    </row>
    <row r="1571" spans="2:10" s="19" customFormat="1" x14ac:dyDescent="0.25">
      <c r="B1571" s="35"/>
      <c r="C1571" s="36"/>
      <c r="J1571" s="38"/>
    </row>
    <row r="1572" spans="2:10" s="19" customFormat="1" x14ac:dyDescent="0.25">
      <c r="B1572" s="35"/>
      <c r="C1572" s="36"/>
      <c r="J1572" s="38"/>
    </row>
    <row r="1573" spans="2:10" s="19" customFormat="1" x14ac:dyDescent="0.25">
      <c r="B1573" s="35"/>
      <c r="C1573" s="36"/>
      <c r="J1573" s="38"/>
    </row>
    <row r="1574" spans="2:10" s="19" customFormat="1" x14ac:dyDescent="0.25">
      <c r="B1574" s="35"/>
      <c r="C1574" s="36"/>
      <c r="J1574" s="38"/>
    </row>
    <row r="1575" spans="2:10" s="19" customFormat="1" x14ac:dyDescent="0.25">
      <c r="B1575" s="35"/>
      <c r="C1575" s="36"/>
      <c r="J1575" s="38"/>
    </row>
    <row r="1576" spans="2:10" s="19" customFormat="1" x14ac:dyDescent="0.25">
      <c r="B1576" s="35"/>
      <c r="C1576" s="36"/>
      <c r="J1576" s="38"/>
    </row>
    <row r="1577" spans="2:10" s="19" customFormat="1" x14ac:dyDescent="0.25">
      <c r="B1577" s="35"/>
      <c r="C1577" s="36"/>
      <c r="J1577" s="38"/>
    </row>
    <row r="1578" spans="2:10" s="19" customFormat="1" x14ac:dyDescent="0.25">
      <c r="B1578" s="35"/>
      <c r="C1578" s="36"/>
      <c r="J1578" s="38"/>
    </row>
    <row r="1579" spans="2:10" s="19" customFormat="1" x14ac:dyDescent="0.25">
      <c r="B1579" s="35"/>
      <c r="C1579" s="36"/>
      <c r="J1579" s="38"/>
    </row>
    <row r="1580" spans="2:10" s="19" customFormat="1" x14ac:dyDescent="0.25">
      <c r="B1580" s="35"/>
      <c r="C1580" s="36"/>
      <c r="J1580" s="38"/>
    </row>
    <row r="1581" spans="2:10" s="19" customFormat="1" x14ac:dyDescent="0.25">
      <c r="B1581" s="35"/>
      <c r="C1581" s="36"/>
      <c r="J1581" s="38"/>
    </row>
    <row r="1582" spans="2:10" s="19" customFormat="1" x14ac:dyDescent="0.25">
      <c r="B1582" s="35"/>
      <c r="C1582" s="36"/>
      <c r="J1582" s="38"/>
    </row>
    <row r="1583" spans="2:10" s="19" customFormat="1" x14ac:dyDescent="0.25">
      <c r="B1583" s="35"/>
      <c r="C1583" s="36"/>
      <c r="J1583" s="38"/>
    </row>
    <row r="1584" spans="2:10" s="19" customFormat="1" x14ac:dyDescent="0.25">
      <c r="B1584" s="35"/>
      <c r="C1584" s="36"/>
      <c r="J1584" s="38"/>
    </row>
    <row r="1585" spans="2:10" s="19" customFormat="1" x14ac:dyDescent="0.25">
      <c r="B1585" s="35"/>
      <c r="C1585" s="36"/>
      <c r="J1585" s="38"/>
    </row>
    <row r="1586" spans="2:10" s="19" customFormat="1" x14ac:dyDescent="0.25">
      <c r="B1586" s="35"/>
      <c r="C1586" s="36"/>
      <c r="J1586" s="38"/>
    </row>
    <row r="1587" spans="2:10" s="19" customFormat="1" x14ac:dyDescent="0.25">
      <c r="B1587" s="35"/>
      <c r="C1587" s="36"/>
      <c r="J1587" s="38"/>
    </row>
    <row r="1588" spans="2:10" s="19" customFormat="1" x14ac:dyDescent="0.25">
      <c r="B1588" s="35"/>
      <c r="C1588" s="36"/>
      <c r="J1588" s="38"/>
    </row>
    <row r="1589" spans="2:10" s="19" customFormat="1" x14ac:dyDescent="0.25">
      <c r="B1589" s="35"/>
      <c r="C1589" s="36"/>
      <c r="J1589" s="38"/>
    </row>
    <row r="1590" spans="2:10" s="19" customFormat="1" x14ac:dyDescent="0.25">
      <c r="B1590" s="35"/>
      <c r="C1590" s="36"/>
      <c r="J1590" s="38"/>
    </row>
    <row r="1591" spans="2:10" s="19" customFormat="1" x14ac:dyDescent="0.25">
      <c r="B1591" s="35"/>
      <c r="C1591" s="36"/>
      <c r="J1591" s="38"/>
    </row>
    <row r="1592" spans="2:10" s="19" customFormat="1" x14ac:dyDescent="0.25">
      <c r="B1592" s="35"/>
      <c r="C1592" s="36"/>
      <c r="J1592" s="38"/>
    </row>
    <row r="1593" spans="2:10" s="19" customFormat="1" x14ac:dyDescent="0.25">
      <c r="B1593" s="35"/>
      <c r="C1593" s="36"/>
      <c r="J1593" s="38"/>
    </row>
    <row r="1594" spans="2:10" s="19" customFormat="1" x14ac:dyDescent="0.25">
      <c r="B1594" s="35"/>
      <c r="C1594" s="36"/>
      <c r="J1594" s="38"/>
    </row>
    <row r="1595" spans="2:10" s="19" customFormat="1" x14ac:dyDescent="0.25">
      <c r="B1595" s="35"/>
      <c r="C1595" s="36"/>
      <c r="J1595" s="38"/>
    </row>
    <row r="1596" spans="2:10" s="19" customFormat="1" x14ac:dyDescent="0.25">
      <c r="B1596" s="35"/>
      <c r="C1596" s="36"/>
      <c r="J1596" s="38"/>
    </row>
    <row r="1597" spans="2:10" s="19" customFormat="1" x14ac:dyDescent="0.25">
      <c r="B1597" s="35"/>
      <c r="C1597" s="36"/>
      <c r="J1597" s="38"/>
    </row>
    <row r="1598" spans="2:10" s="19" customFormat="1" x14ac:dyDescent="0.25">
      <c r="B1598" s="35"/>
      <c r="C1598" s="36"/>
      <c r="J1598" s="38"/>
    </row>
    <row r="1599" spans="2:10" s="19" customFormat="1" x14ac:dyDescent="0.25">
      <c r="B1599" s="35"/>
      <c r="C1599" s="36"/>
      <c r="J1599" s="38"/>
    </row>
    <row r="1600" spans="2:10" s="19" customFormat="1" x14ac:dyDescent="0.25">
      <c r="B1600" s="35"/>
      <c r="C1600" s="36"/>
      <c r="J1600" s="38"/>
    </row>
    <row r="1601" spans="2:10" s="19" customFormat="1" x14ac:dyDescent="0.25">
      <c r="B1601" s="35"/>
      <c r="C1601" s="36"/>
      <c r="J1601" s="38"/>
    </row>
    <row r="1602" spans="2:10" s="19" customFormat="1" x14ac:dyDescent="0.25">
      <c r="B1602" s="35"/>
      <c r="C1602" s="36"/>
      <c r="J1602" s="38"/>
    </row>
    <row r="1603" spans="2:10" s="19" customFormat="1" x14ac:dyDescent="0.25">
      <c r="B1603" s="35"/>
      <c r="C1603" s="36"/>
      <c r="J1603" s="38"/>
    </row>
    <row r="1604" spans="2:10" s="19" customFormat="1" x14ac:dyDescent="0.25">
      <c r="B1604" s="35"/>
      <c r="C1604" s="36"/>
      <c r="J1604" s="38"/>
    </row>
    <row r="1605" spans="2:10" s="19" customFormat="1" x14ac:dyDescent="0.25">
      <c r="B1605" s="35"/>
      <c r="C1605" s="36"/>
      <c r="J1605" s="38"/>
    </row>
    <row r="1606" spans="2:10" s="19" customFormat="1" x14ac:dyDescent="0.25">
      <c r="B1606" s="35"/>
      <c r="C1606" s="36"/>
      <c r="J1606" s="38"/>
    </row>
    <row r="1607" spans="2:10" s="19" customFormat="1" x14ac:dyDescent="0.25">
      <c r="B1607" s="35"/>
      <c r="C1607" s="36"/>
      <c r="J1607" s="38"/>
    </row>
    <row r="1608" spans="2:10" s="19" customFormat="1" x14ac:dyDescent="0.25">
      <c r="B1608" s="35"/>
      <c r="C1608" s="36"/>
      <c r="J1608" s="38"/>
    </row>
    <row r="1609" spans="2:10" s="19" customFormat="1" x14ac:dyDescent="0.25">
      <c r="B1609" s="35"/>
      <c r="C1609" s="36"/>
      <c r="J1609" s="38"/>
    </row>
    <row r="1610" spans="2:10" s="19" customFormat="1" x14ac:dyDescent="0.25">
      <c r="B1610" s="35"/>
      <c r="C1610" s="36"/>
      <c r="J1610" s="38"/>
    </row>
    <row r="1611" spans="2:10" s="19" customFormat="1" x14ac:dyDescent="0.25">
      <c r="B1611" s="35"/>
      <c r="C1611" s="36"/>
      <c r="J1611" s="38"/>
    </row>
    <row r="1612" spans="2:10" s="19" customFormat="1" x14ac:dyDescent="0.25">
      <c r="B1612" s="35"/>
      <c r="C1612" s="36"/>
      <c r="J1612" s="38"/>
    </row>
    <row r="1613" spans="2:10" s="19" customFormat="1" x14ac:dyDescent="0.25">
      <c r="B1613" s="35"/>
      <c r="C1613" s="36"/>
      <c r="J1613" s="38"/>
    </row>
    <row r="1614" spans="2:10" s="19" customFormat="1" x14ac:dyDescent="0.25">
      <c r="B1614" s="35"/>
      <c r="C1614" s="36"/>
      <c r="J1614" s="38"/>
    </row>
    <row r="1615" spans="2:10" s="19" customFormat="1" x14ac:dyDescent="0.25">
      <c r="B1615" s="35"/>
      <c r="C1615" s="36"/>
      <c r="J1615" s="38"/>
    </row>
    <row r="1616" spans="2:10" s="19" customFormat="1" x14ac:dyDescent="0.25">
      <c r="B1616" s="35"/>
      <c r="C1616" s="36"/>
      <c r="J1616" s="38"/>
    </row>
    <row r="1617" spans="2:10" s="19" customFormat="1" x14ac:dyDescent="0.25">
      <c r="B1617" s="35"/>
      <c r="C1617" s="36"/>
      <c r="J1617" s="38"/>
    </row>
    <row r="1618" spans="2:10" s="19" customFormat="1" x14ac:dyDescent="0.25">
      <c r="B1618" s="35"/>
      <c r="C1618" s="36"/>
      <c r="J1618" s="38"/>
    </row>
    <row r="1619" spans="2:10" s="19" customFormat="1" x14ac:dyDescent="0.25">
      <c r="B1619" s="35"/>
      <c r="C1619" s="36"/>
      <c r="J1619" s="38"/>
    </row>
    <row r="1620" spans="2:10" s="19" customFormat="1" x14ac:dyDescent="0.25">
      <c r="B1620" s="35"/>
      <c r="C1620" s="36"/>
      <c r="J1620" s="38"/>
    </row>
    <row r="1621" spans="2:10" s="19" customFormat="1" x14ac:dyDescent="0.25">
      <c r="B1621" s="35"/>
      <c r="C1621" s="36"/>
      <c r="J1621" s="38"/>
    </row>
    <row r="1622" spans="2:10" s="19" customFormat="1" x14ac:dyDescent="0.25">
      <c r="B1622" s="35"/>
      <c r="C1622" s="36"/>
      <c r="J1622" s="38"/>
    </row>
    <row r="1623" spans="2:10" s="19" customFormat="1" x14ac:dyDescent="0.25">
      <c r="B1623" s="35"/>
      <c r="C1623" s="36"/>
      <c r="J1623" s="38"/>
    </row>
    <row r="1624" spans="2:10" s="19" customFormat="1" x14ac:dyDescent="0.25">
      <c r="B1624" s="35"/>
      <c r="C1624" s="36"/>
      <c r="J1624" s="38"/>
    </row>
    <row r="1625" spans="2:10" s="19" customFormat="1" x14ac:dyDescent="0.25">
      <c r="B1625" s="35"/>
      <c r="C1625" s="36"/>
      <c r="J1625" s="38"/>
    </row>
    <row r="1626" spans="2:10" s="19" customFormat="1" x14ac:dyDescent="0.25">
      <c r="B1626" s="35"/>
      <c r="C1626" s="36"/>
      <c r="J1626" s="38"/>
    </row>
    <row r="1627" spans="2:10" s="19" customFormat="1" x14ac:dyDescent="0.25">
      <c r="B1627" s="35"/>
      <c r="C1627" s="36"/>
      <c r="J1627" s="38"/>
    </row>
    <row r="1628" spans="2:10" s="19" customFormat="1" x14ac:dyDescent="0.25">
      <c r="B1628" s="35"/>
      <c r="C1628" s="36"/>
      <c r="J1628" s="38"/>
    </row>
    <row r="1629" spans="2:10" s="19" customFormat="1" x14ac:dyDescent="0.25">
      <c r="B1629" s="35"/>
      <c r="C1629" s="36"/>
      <c r="J1629" s="38"/>
    </row>
    <row r="1630" spans="2:10" s="19" customFormat="1" x14ac:dyDescent="0.25">
      <c r="B1630" s="35"/>
      <c r="C1630" s="36"/>
      <c r="J1630" s="38"/>
    </row>
    <row r="1631" spans="2:10" s="19" customFormat="1" x14ac:dyDescent="0.25">
      <c r="B1631" s="35"/>
      <c r="C1631" s="36"/>
      <c r="J1631" s="38"/>
    </row>
    <row r="1632" spans="2:10" s="19" customFormat="1" x14ac:dyDescent="0.25">
      <c r="B1632" s="35"/>
      <c r="C1632" s="36"/>
      <c r="J1632" s="38"/>
    </row>
    <row r="1633" spans="2:10" s="19" customFormat="1" x14ac:dyDescent="0.25">
      <c r="B1633" s="35"/>
      <c r="C1633" s="36"/>
      <c r="J1633" s="38"/>
    </row>
    <row r="1634" spans="2:10" s="19" customFormat="1" x14ac:dyDescent="0.25">
      <c r="B1634" s="35"/>
      <c r="C1634" s="36"/>
      <c r="J1634" s="38"/>
    </row>
    <row r="1635" spans="2:10" s="19" customFormat="1" x14ac:dyDescent="0.25">
      <c r="B1635" s="35"/>
      <c r="C1635" s="36"/>
      <c r="J1635" s="38"/>
    </row>
    <row r="1636" spans="2:10" s="19" customFormat="1" x14ac:dyDescent="0.25">
      <c r="B1636" s="35"/>
      <c r="C1636" s="36"/>
      <c r="J1636" s="38"/>
    </row>
    <row r="1637" spans="2:10" s="19" customFormat="1" x14ac:dyDescent="0.25">
      <c r="B1637" s="35"/>
      <c r="C1637" s="36"/>
      <c r="J1637" s="38"/>
    </row>
    <row r="1638" spans="2:10" s="19" customFormat="1" x14ac:dyDescent="0.25">
      <c r="B1638" s="35"/>
      <c r="C1638" s="36"/>
      <c r="J1638" s="38"/>
    </row>
    <row r="1639" spans="2:10" s="19" customFormat="1" x14ac:dyDescent="0.25">
      <c r="B1639" s="35"/>
      <c r="C1639" s="36"/>
      <c r="J1639" s="38"/>
    </row>
    <row r="1640" spans="2:10" s="19" customFormat="1" x14ac:dyDescent="0.25">
      <c r="B1640" s="35"/>
      <c r="C1640" s="36"/>
      <c r="J1640" s="38"/>
    </row>
    <row r="1641" spans="2:10" s="19" customFormat="1" x14ac:dyDescent="0.25">
      <c r="B1641" s="35"/>
      <c r="C1641" s="36"/>
      <c r="J1641" s="38"/>
    </row>
    <row r="1642" spans="2:10" s="19" customFormat="1" x14ac:dyDescent="0.25">
      <c r="B1642" s="35"/>
      <c r="C1642" s="36"/>
      <c r="J1642" s="38"/>
    </row>
    <row r="1643" spans="2:10" s="19" customFormat="1" x14ac:dyDescent="0.25">
      <c r="B1643" s="35"/>
      <c r="C1643" s="36"/>
      <c r="J1643" s="38"/>
    </row>
    <row r="1644" spans="2:10" s="19" customFormat="1" x14ac:dyDescent="0.25">
      <c r="B1644" s="35"/>
      <c r="C1644" s="36"/>
      <c r="J1644" s="38"/>
    </row>
    <row r="1645" spans="2:10" s="19" customFormat="1" x14ac:dyDescent="0.25">
      <c r="B1645" s="35"/>
      <c r="C1645" s="36"/>
      <c r="J1645" s="38"/>
    </row>
    <row r="1646" spans="2:10" s="19" customFormat="1" x14ac:dyDescent="0.25">
      <c r="B1646" s="35"/>
      <c r="C1646" s="36"/>
      <c r="J1646" s="38"/>
    </row>
    <row r="1647" spans="2:10" s="19" customFormat="1" x14ac:dyDescent="0.25">
      <c r="B1647" s="35"/>
      <c r="C1647" s="36"/>
      <c r="J1647" s="38"/>
    </row>
    <row r="1648" spans="2:10" s="19" customFormat="1" x14ac:dyDescent="0.25">
      <c r="B1648" s="35"/>
      <c r="C1648" s="36"/>
      <c r="J1648" s="38"/>
    </row>
    <row r="1649" spans="2:10" s="19" customFormat="1" x14ac:dyDescent="0.25">
      <c r="B1649" s="35"/>
      <c r="C1649" s="36"/>
      <c r="J1649" s="38"/>
    </row>
    <row r="1650" spans="2:10" s="19" customFormat="1" x14ac:dyDescent="0.25">
      <c r="B1650" s="35"/>
      <c r="C1650" s="36"/>
      <c r="J1650" s="38"/>
    </row>
    <row r="1651" spans="2:10" s="19" customFormat="1" x14ac:dyDescent="0.25">
      <c r="B1651" s="35"/>
      <c r="C1651" s="36"/>
      <c r="J1651" s="38"/>
    </row>
    <row r="1652" spans="2:10" s="19" customFormat="1" x14ac:dyDescent="0.25">
      <c r="B1652" s="35"/>
      <c r="C1652" s="36"/>
      <c r="J1652" s="38"/>
    </row>
    <row r="1653" spans="2:10" s="19" customFormat="1" x14ac:dyDescent="0.25">
      <c r="B1653" s="35"/>
      <c r="C1653" s="36"/>
      <c r="J1653" s="38"/>
    </row>
    <row r="1654" spans="2:10" s="19" customFormat="1" x14ac:dyDescent="0.25">
      <c r="B1654" s="35"/>
      <c r="C1654" s="36"/>
      <c r="J1654" s="38"/>
    </row>
    <row r="1655" spans="2:10" s="19" customFormat="1" x14ac:dyDescent="0.25">
      <c r="B1655" s="35"/>
      <c r="C1655" s="36"/>
      <c r="J1655" s="38"/>
    </row>
    <row r="1656" spans="2:10" s="19" customFormat="1" x14ac:dyDescent="0.25">
      <c r="B1656" s="35"/>
      <c r="C1656" s="36"/>
      <c r="J1656" s="38"/>
    </row>
    <row r="1657" spans="2:10" s="19" customFormat="1" x14ac:dyDescent="0.25">
      <c r="B1657" s="35"/>
      <c r="C1657" s="36"/>
      <c r="J1657" s="38"/>
    </row>
    <row r="1658" spans="2:10" s="19" customFormat="1" x14ac:dyDescent="0.25">
      <c r="B1658" s="35"/>
      <c r="C1658" s="36"/>
      <c r="J1658" s="38"/>
    </row>
    <row r="1659" spans="2:10" s="19" customFormat="1" x14ac:dyDescent="0.25">
      <c r="B1659" s="35"/>
      <c r="C1659" s="36"/>
      <c r="J1659" s="38"/>
    </row>
    <row r="1660" spans="2:10" s="19" customFormat="1" x14ac:dyDescent="0.25">
      <c r="B1660" s="35"/>
      <c r="C1660" s="36"/>
      <c r="J1660" s="38"/>
    </row>
    <row r="1661" spans="2:10" s="19" customFormat="1" x14ac:dyDescent="0.25">
      <c r="B1661" s="35"/>
      <c r="C1661" s="36"/>
      <c r="J1661" s="38"/>
    </row>
    <row r="1662" spans="2:10" s="19" customFormat="1" x14ac:dyDescent="0.25">
      <c r="B1662" s="35"/>
      <c r="C1662" s="36"/>
      <c r="J1662" s="38"/>
    </row>
    <row r="1663" spans="2:10" s="19" customFormat="1" x14ac:dyDescent="0.25">
      <c r="B1663" s="35"/>
      <c r="C1663" s="36"/>
      <c r="J1663" s="38"/>
    </row>
    <row r="1664" spans="2:10" s="19" customFormat="1" x14ac:dyDescent="0.25">
      <c r="B1664" s="35"/>
      <c r="C1664" s="36"/>
      <c r="J1664" s="38"/>
    </row>
    <row r="1665" spans="2:10" s="19" customFormat="1" x14ac:dyDescent="0.25">
      <c r="B1665" s="35"/>
      <c r="C1665" s="36"/>
      <c r="J1665" s="38"/>
    </row>
    <row r="1666" spans="2:10" s="19" customFormat="1" x14ac:dyDescent="0.25">
      <c r="B1666" s="35"/>
      <c r="C1666" s="36"/>
      <c r="J1666" s="38"/>
    </row>
    <row r="1667" spans="2:10" s="19" customFormat="1" x14ac:dyDescent="0.25">
      <c r="B1667" s="35"/>
      <c r="C1667" s="36"/>
      <c r="J1667" s="38"/>
    </row>
    <row r="1668" spans="2:10" s="19" customFormat="1" x14ac:dyDescent="0.25">
      <c r="B1668" s="35"/>
      <c r="C1668" s="36"/>
      <c r="J1668" s="38"/>
    </row>
    <row r="1669" spans="2:10" s="19" customFormat="1" x14ac:dyDescent="0.25">
      <c r="B1669" s="35"/>
      <c r="C1669" s="36"/>
      <c r="J1669" s="38"/>
    </row>
    <row r="1670" spans="2:10" s="19" customFormat="1" x14ac:dyDescent="0.25">
      <c r="B1670" s="35"/>
      <c r="C1670" s="36"/>
      <c r="J1670" s="38"/>
    </row>
    <row r="1671" spans="2:10" s="19" customFormat="1" x14ac:dyDescent="0.25">
      <c r="B1671" s="35"/>
      <c r="C1671" s="36"/>
      <c r="J1671" s="38"/>
    </row>
    <row r="1672" spans="2:10" s="19" customFormat="1" x14ac:dyDescent="0.25">
      <c r="B1672" s="35"/>
      <c r="C1672" s="36"/>
      <c r="J1672" s="38"/>
    </row>
    <row r="1673" spans="2:10" s="19" customFormat="1" x14ac:dyDescent="0.25">
      <c r="B1673" s="35"/>
      <c r="C1673" s="36"/>
      <c r="J1673" s="38"/>
    </row>
    <row r="1674" spans="2:10" s="19" customFormat="1" x14ac:dyDescent="0.25">
      <c r="B1674" s="35"/>
      <c r="C1674" s="36"/>
      <c r="J1674" s="38"/>
    </row>
    <row r="1675" spans="2:10" s="19" customFormat="1" x14ac:dyDescent="0.25">
      <c r="B1675" s="35"/>
      <c r="C1675" s="36"/>
      <c r="J1675" s="38"/>
    </row>
    <row r="1676" spans="2:10" s="19" customFormat="1" x14ac:dyDescent="0.25">
      <c r="B1676" s="35"/>
      <c r="C1676" s="36"/>
      <c r="J1676" s="38"/>
    </row>
    <row r="1677" spans="2:10" s="19" customFormat="1" x14ac:dyDescent="0.25">
      <c r="B1677" s="35"/>
      <c r="C1677" s="36"/>
      <c r="J1677" s="38"/>
    </row>
    <row r="1678" spans="2:10" s="19" customFormat="1" x14ac:dyDescent="0.25">
      <c r="B1678" s="35"/>
      <c r="C1678" s="36"/>
      <c r="J1678" s="38"/>
    </row>
    <row r="1679" spans="2:10" s="19" customFormat="1" x14ac:dyDescent="0.25">
      <c r="B1679" s="35"/>
      <c r="C1679" s="36"/>
      <c r="J1679" s="38"/>
    </row>
    <row r="1680" spans="2:10" s="19" customFormat="1" x14ac:dyDescent="0.25">
      <c r="B1680" s="35"/>
      <c r="C1680" s="36"/>
      <c r="J1680" s="38"/>
    </row>
    <row r="1681" spans="2:10" s="19" customFormat="1" x14ac:dyDescent="0.25">
      <c r="B1681" s="35"/>
      <c r="C1681" s="36"/>
      <c r="J1681" s="38"/>
    </row>
    <row r="1682" spans="2:10" s="19" customFormat="1" x14ac:dyDescent="0.25">
      <c r="B1682" s="35"/>
      <c r="C1682" s="36"/>
      <c r="J1682" s="38"/>
    </row>
    <row r="1683" spans="2:10" s="19" customFormat="1" x14ac:dyDescent="0.25">
      <c r="B1683" s="35"/>
      <c r="C1683" s="36"/>
      <c r="J1683" s="38"/>
    </row>
    <row r="1684" spans="2:10" s="19" customFormat="1" x14ac:dyDescent="0.25">
      <c r="B1684" s="35"/>
      <c r="C1684" s="36"/>
      <c r="J1684" s="38"/>
    </row>
    <row r="1685" spans="2:10" s="19" customFormat="1" x14ac:dyDescent="0.25">
      <c r="B1685" s="35"/>
      <c r="C1685" s="36"/>
      <c r="J1685" s="38"/>
    </row>
    <row r="1686" spans="2:10" s="19" customFormat="1" x14ac:dyDescent="0.25">
      <c r="B1686" s="35"/>
      <c r="C1686" s="36"/>
      <c r="J1686" s="38"/>
    </row>
    <row r="1687" spans="2:10" s="19" customFormat="1" x14ac:dyDescent="0.25">
      <c r="B1687" s="35"/>
      <c r="C1687" s="36"/>
      <c r="J1687" s="38"/>
    </row>
    <row r="1688" spans="2:10" s="19" customFormat="1" x14ac:dyDescent="0.25">
      <c r="B1688" s="35"/>
      <c r="C1688" s="36"/>
      <c r="J1688" s="38"/>
    </row>
    <row r="1689" spans="2:10" s="19" customFormat="1" x14ac:dyDescent="0.25">
      <c r="B1689" s="35"/>
      <c r="C1689" s="36"/>
      <c r="J1689" s="38"/>
    </row>
    <row r="1690" spans="2:10" s="19" customFormat="1" x14ac:dyDescent="0.25">
      <c r="B1690" s="35"/>
      <c r="C1690" s="36"/>
      <c r="J1690" s="38"/>
    </row>
    <row r="1691" spans="2:10" s="19" customFormat="1" x14ac:dyDescent="0.25">
      <c r="B1691" s="35"/>
      <c r="C1691" s="36"/>
      <c r="J1691" s="38"/>
    </row>
    <row r="1692" spans="2:10" s="19" customFormat="1" x14ac:dyDescent="0.25">
      <c r="B1692" s="35"/>
      <c r="C1692" s="36"/>
      <c r="J1692" s="38"/>
    </row>
    <row r="1693" spans="2:10" s="19" customFormat="1" x14ac:dyDescent="0.25">
      <c r="B1693" s="35"/>
      <c r="C1693" s="36"/>
      <c r="J1693" s="38"/>
    </row>
    <row r="1694" spans="2:10" s="19" customFormat="1" x14ac:dyDescent="0.25">
      <c r="B1694" s="35"/>
      <c r="C1694" s="36"/>
      <c r="J1694" s="38"/>
    </row>
    <row r="1695" spans="2:10" s="19" customFormat="1" x14ac:dyDescent="0.25">
      <c r="B1695" s="35"/>
      <c r="C1695" s="36"/>
      <c r="J1695" s="38"/>
    </row>
    <row r="1696" spans="2:10" s="19" customFormat="1" x14ac:dyDescent="0.25">
      <c r="B1696" s="35"/>
      <c r="C1696" s="36"/>
      <c r="J1696" s="38"/>
    </row>
    <row r="1697" spans="2:10" s="19" customFormat="1" x14ac:dyDescent="0.25">
      <c r="B1697" s="35"/>
      <c r="C1697" s="36"/>
      <c r="J1697" s="38"/>
    </row>
    <row r="1698" spans="2:10" s="19" customFormat="1" x14ac:dyDescent="0.25">
      <c r="B1698" s="35"/>
      <c r="C1698" s="36"/>
      <c r="J1698" s="38"/>
    </row>
    <row r="1699" spans="2:10" s="19" customFormat="1" x14ac:dyDescent="0.25">
      <c r="B1699" s="35"/>
      <c r="C1699" s="36"/>
      <c r="J1699" s="38"/>
    </row>
    <row r="1700" spans="2:10" s="19" customFormat="1" x14ac:dyDescent="0.25">
      <c r="B1700" s="35"/>
      <c r="C1700" s="36"/>
      <c r="J1700" s="38"/>
    </row>
    <row r="1701" spans="2:10" s="19" customFormat="1" x14ac:dyDescent="0.25">
      <c r="B1701" s="35"/>
      <c r="C1701" s="36"/>
      <c r="J1701" s="38"/>
    </row>
    <row r="1702" spans="2:10" s="19" customFormat="1" x14ac:dyDescent="0.25">
      <c r="B1702" s="35"/>
      <c r="C1702" s="36"/>
      <c r="J1702" s="38"/>
    </row>
    <row r="1703" spans="2:10" s="19" customFormat="1" x14ac:dyDescent="0.25">
      <c r="B1703" s="35"/>
      <c r="C1703" s="36"/>
      <c r="J1703" s="38"/>
    </row>
    <row r="1704" spans="2:10" s="19" customFormat="1" x14ac:dyDescent="0.25">
      <c r="B1704" s="35"/>
      <c r="C1704" s="36"/>
      <c r="J1704" s="38"/>
    </row>
    <row r="1705" spans="2:10" s="19" customFormat="1" x14ac:dyDescent="0.25">
      <c r="B1705" s="35"/>
      <c r="C1705" s="36"/>
      <c r="J1705" s="38"/>
    </row>
    <row r="1706" spans="2:10" s="19" customFormat="1" x14ac:dyDescent="0.25">
      <c r="B1706" s="35"/>
      <c r="C1706" s="36"/>
      <c r="J1706" s="38"/>
    </row>
    <row r="1707" spans="2:10" s="19" customFormat="1" x14ac:dyDescent="0.25">
      <c r="B1707" s="35"/>
      <c r="C1707" s="36"/>
      <c r="J1707" s="38"/>
    </row>
    <row r="1708" spans="2:10" s="19" customFormat="1" x14ac:dyDescent="0.25">
      <c r="B1708" s="35"/>
      <c r="C1708" s="36"/>
      <c r="J1708" s="38"/>
    </row>
    <row r="1709" spans="2:10" s="19" customFormat="1" x14ac:dyDescent="0.25">
      <c r="B1709" s="35"/>
      <c r="C1709" s="36"/>
      <c r="J1709" s="38"/>
    </row>
    <row r="1710" spans="2:10" s="19" customFormat="1" x14ac:dyDescent="0.25">
      <c r="B1710" s="35"/>
      <c r="C1710" s="36"/>
      <c r="J1710" s="38"/>
    </row>
    <row r="1711" spans="2:10" s="19" customFormat="1" x14ac:dyDescent="0.25">
      <c r="B1711" s="35"/>
      <c r="C1711" s="36"/>
      <c r="J1711" s="38"/>
    </row>
    <row r="1712" spans="2:10" s="19" customFormat="1" x14ac:dyDescent="0.25">
      <c r="B1712" s="35"/>
      <c r="C1712" s="36"/>
      <c r="J1712" s="38"/>
    </row>
    <row r="1713" spans="2:10" s="19" customFormat="1" x14ac:dyDescent="0.25">
      <c r="B1713" s="35"/>
      <c r="C1713" s="36"/>
      <c r="J1713" s="38"/>
    </row>
    <row r="1714" spans="2:10" s="19" customFormat="1" x14ac:dyDescent="0.25">
      <c r="B1714" s="35"/>
      <c r="C1714" s="36"/>
      <c r="J1714" s="38"/>
    </row>
    <row r="1715" spans="2:10" s="19" customFormat="1" x14ac:dyDescent="0.25">
      <c r="B1715" s="35"/>
      <c r="C1715" s="36"/>
      <c r="J1715" s="38"/>
    </row>
    <row r="1716" spans="2:10" s="19" customFormat="1" x14ac:dyDescent="0.25">
      <c r="B1716" s="35"/>
      <c r="C1716" s="36"/>
      <c r="J1716" s="38"/>
    </row>
    <row r="1717" spans="2:10" s="19" customFormat="1" x14ac:dyDescent="0.25">
      <c r="B1717" s="35"/>
      <c r="C1717" s="36"/>
      <c r="J1717" s="38"/>
    </row>
    <row r="1718" spans="2:10" s="19" customFormat="1" x14ac:dyDescent="0.25">
      <c r="B1718" s="35"/>
      <c r="C1718" s="36"/>
      <c r="J1718" s="38"/>
    </row>
    <row r="1719" spans="2:10" s="19" customFormat="1" x14ac:dyDescent="0.25">
      <c r="B1719" s="35"/>
      <c r="C1719" s="36"/>
      <c r="J1719" s="38"/>
    </row>
    <row r="1720" spans="2:10" s="19" customFormat="1" x14ac:dyDescent="0.25">
      <c r="B1720" s="35"/>
      <c r="C1720" s="36"/>
      <c r="J1720" s="38"/>
    </row>
    <row r="1721" spans="2:10" s="19" customFormat="1" x14ac:dyDescent="0.25">
      <c r="B1721" s="35"/>
      <c r="C1721" s="36"/>
      <c r="J1721" s="38"/>
    </row>
    <row r="1722" spans="2:10" s="19" customFormat="1" x14ac:dyDescent="0.25">
      <c r="B1722" s="35"/>
      <c r="C1722" s="36"/>
      <c r="J1722" s="38"/>
    </row>
    <row r="1723" spans="2:10" s="19" customFormat="1" x14ac:dyDescent="0.25">
      <c r="B1723" s="35"/>
      <c r="C1723" s="36"/>
      <c r="J1723" s="38"/>
    </row>
    <row r="1724" spans="2:10" s="19" customFormat="1" x14ac:dyDescent="0.25">
      <c r="B1724" s="35"/>
      <c r="C1724" s="36"/>
      <c r="J1724" s="38"/>
    </row>
    <row r="1725" spans="2:10" s="19" customFormat="1" x14ac:dyDescent="0.25">
      <c r="B1725" s="35"/>
      <c r="C1725" s="36"/>
      <c r="J1725" s="38"/>
    </row>
    <row r="1726" spans="2:10" s="19" customFormat="1" x14ac:dyDescent="0.25">
      <c r="B1726" s="35"/>
      <c r="C1726" s="36"/>
      <c r="J1726" s="38"/>
    </row>
    <row r="1727" spans="2:10" s="19" customFormat="1" x14ac:dyDescent="0.25">
      <c r="B1727" s="35"/>
      <c r="C1727" s="36"/>
      <c r="J1727" s="38"/>
    </row>
    <row r="1728" spans="2:10" s="19" customFormat="1" x14ac:dyDescent="0.25">
      <c r="B1728" s="35"/>
      <c r="C1728" s="36"/>
      <c r="J1728" s="38"/>
    </row>
    <row r="1729" spans="2:10" s="19" customFormat="1" x14ac:dyDescent="0.25">
      <c r="B1729" s="35"/>
      <c r="C1729" s="36"/>
      <c r="J1729" s="38"/>
    </row>
    <row r="1730" spans="2:10" s="19" customFormat="1" x14ac:dyDescent="0.25">
      <c r="B1730" s="35"/>
      <c r="C1730" s="36"/>
      <c r="J1730" s="38"/>
    </row>
    <row r="1731" spans="2:10" s="19" customFormat="1" x14ac:dyDescent="0.25">
      <c r="B1731" s="35"/>
      <c r="C1731" s="36"/>
      <c r="J1731" s="38"/>
    </row>
    <row r="1732" spans="2:10" s="19" customFormat="1" x14ac:dyDescent="0.25">
      <c r="B1732" s="35"/>
      <c r="C1732" s="36"/>
      <c r="J1732" s="38"/>
    </row>
    <row r="1733" spans="2:10" s="19" customFormat="1" x14ac:dyDescent="0.25">
      <c r="B1733" s="35"/>
      <c r="C1733" s="36"/>
      <c r="J1733" s="38"/>
    </row>
    <row r="1734" spans="2:10" s="19" customFormat="1" x14ac:dyDescent="0.25">
      <c r="B1734" s="35"/>
      <c r="C1734" s="36"/>
      <c r="J1734" s="38"/>
    </row>
    <row r="1735" spans="2:10" s="19" customFormat="1" x14ac:dyDescent="0.25">
      <c r="B1735" s="35"/>
      <c r="C1735" s="36"/>
      <c r="J1735" s="38"/>
    </row>
    <row r="1736" spans="2:10" s="19" customFormat="1" x14ac:dyDescent="0.25">
      <c r="B1736" s="35"/>
      <c r="C1736" s="36"/>
      <c r="J1736" s="38"/>
    </row>
    <row r="1737" spans="2:10" s="19" customFormat="1" x14ac:dyDescent="0.25">
      <c r="B1737" s="35"/>
      <c r="C1737" s="36"/>
      <c r="J1737" s="38"/>
    </row>
    <row r="1738" spans="2:10" s="19" customFormat="1" x14ac:dyDescent="0.25">
      <c r="B1738" s="35"/>
      <c r="C1738" s="36"/>
      <c r="J1738" s="38"/>
    </row>
    <row r="1739" spans="2:10" s="19" customFormat="1" x14ac:dyDescent="0.25">
      <c r="B1739" s="35"/>
      <c r="C1739" s="36"/>
      <c r="J1739" s="38"/>
    </row>
    <row r="1740" spans="2:10" s="19" customFormat="1" x14ac:dyDescent="0.25">
      <c r="B1740" s="35"/>
      <c r="C1740" s="36"/>
      <c r="J1740" s="38"/>
    </row>
    <row r="1741" spans="2:10" s="19" customFormat="1" x14ac:dyDescent="0.25">
      <c r="B1741" s="35"/>
      <c r="C1741" s="36"/>
      <c r="J1741" s="38"/>
    </row>
    <row r="1742" spans="2:10" s="19" customFormat="1" x14ac:dyDescent="0.25">
      <c r="B1742" s="35"/>
      <c r="C1742" s="36"/>
      <c r="J1742" s="38"/>
    </row>
    <row r="1743" spans="2:10" s="19" customFormat="1" x14ac:dyDescent="0.25">
      <c r="B1743" s="35"/>
      <c r="C1743" s="36"/>
      <c r="J1743" s="38"/>
    </row>
    <row r="1744" spans="2:10" s="19" customFormat="1" x14ac:dyDescent="0.25">
      <c r="B1744" s="35"/>
      <c r="C1744" s="36"/>
      <c r="J1744" s="38"/>
    </row>
    <row r="1745" spans="2:10" s="19" customFormat="1" x14ac:dyDescent="0.25">
      <c r="B1745" s="35"/>
      <c r="C1745" s="36"/>
      <c r="J1745" s="38"/>
    </row>
    <row r="1746" spans="2:10" s="19" customFormat="1" x14ac:dyDescent="0.25">
      <c r="B1746" s="35"/>
      <c r="C1746" s="36"/>
      <c r="J1746" s="38"/>
    </row>
    <row r="1747" spans="2:10" s="19" customFormat="1" x14ac:dyDescent="0.25">
      <c r="B1747" s="35"/>
      <c r="C1747" s="36"/>
      <c r="J1747" s="38"/>
    </row>
    <row r="1748" spans="2:10" s="19" customFormat="1" x14ac:dyDescent="0.25">
      <c r="B1748" s="35"/>
      <c r="C1748" s="36"/>
      <c r="J1748" s="38"/>
    </row>
    <row r="1749" spans="2:10" s="19" customFormat="1" x14ac:dyDescent="0.25">
      <c r="B1749" s="35"/>
      <c r="C1749" s="36"/>
      <c r="J1749" s="38"/>
    </row>
    <row r="1750" spans="2:10" s="19" customFormat="1" x14ac:dyDescent="0.25">
      <c r="B1750" s="35"/>
      <c r="C1750" s="36"/>
      <c r="J1750" s="38"/>
    </row>
    <row r="1751" spans="2:10" s="19" customFormat="1" x14ac:dyDescent="0.25">
      <c r="B1751" s="35"/>
      <c r="C1751" s="36"/>
      <c r="J1751" s="38"/>
    </row>
    <row r="1752" spans="2:10" s="19" customFormat="1" x14ac:dyDescent="0.25">
      <c r="B1752" s="35"/>
      <c r="C1752" s="36"/>
      <c r="J1752" s="38"/>
    </row>
    <row r="1753" spans="2:10" s="19" customFormat="1" x14ac:dyDescent="0.25">
      <c r="B1753" s="35"/>
      <c r="C1753" s="36"/>
      <c r="J1753" s="38"/>
    </row>
    <row r="1754" spans="2:10" s="19" customFormat="1" x14ac:dyDescent="0.25">
      <c r="B1754" s="35"/>
      <c r="C1754" s="36"/>
      <c r="J1754" s="38"/>
    </row>
    <row r="1755" spans="2:10" s="19" customFormat="1" x14ac:dyDescent="0.25">
      <c r="B1755" s="35"/>
      <c r="C1755" s="36"/>
      <c r="J1755" s="38"/>
    </row>
    <row r="1756" spans="2:10" s="19" customFormat="1" x14ac:dyDescent="0.25">
      <c r="B1756" s="35"/>
      <c r="C1756" s="36"/>
      <c r="J1756" s="38"/>
    </row>
    <row r="1757" spans="2:10" s="19" customFormat="1" x14ac:dyDescent="0.25">
      <c r="B1757" s="35"/>
      <c r="C1757" s="36"/>
      <c r="J1757" s="38"/>
    </row>
    <row r="1758" spans="2:10" s="19" customFormat="1" x14ac:dyDescent="0.25">
      <c r="B1758" s="35"/>
      <c r="C1758" s="36"/>
      <c r="J1758" s="38"/>
    </row>
    <row r="1759" spans="2:10" s="19" customFormat="1" x14ac:dyDescent="0.25">
      <c r="B1759" s="35"/>
      <c r="C1759" s="36"/>
      <c r="J1759" s="38"/>
    </row>
    <row r="1760" spans="2:10" s="19" customFormat="1" x14ac:dyDescent="0.25">
      <c r="B1760" s="35"/>
      <c r="C1760" s="36"/>
      <c r="J1760" s="38"/>
    </row>
    <row r="1761" spans="2:10" s="19" customFormat="1" x14ac:dyDescent="0.25">
      <c r="B1761" s="35"/>
      <c r="C1761" s="36"/>
      <c r="J1761" s="38"/>
    </row>
    <row r="1762" spans="2:10" s="19" customFormat="1" x14ac:dyDescent="0.25">
      <c r="B1762" s="35"/>
      <c r="C1762" s="36"/>
      <c r="J1762" s="38"/>
    </row>
    <row r="1763" spans="2:10" s="19" customFormat="1" x14ac:dyDescent="0.25">
      <c r="B1763" s="35"/>
      <c r="C1763" s="36"/>
      <c r="J1763" s="38"/>
    </row>
    <row r="1764" spans="2:10" s="19" customFormat="1" x14ac:dyDescent="0.25">
      <c r="B1764" s="35"/>
      <c r="C1764" s="36"/>
      <c r="J1764" s="38"/>
    </row>
    <row r="1765" spans="2:10" s="19" customFormat="1" x14ac:dyDescent="0.25">
      <c r="B1765" s="35"/>
      <c r="C1765" s="36"/>
      <c r="J1765" s="38"/>
    </row>
    <row r="1766" spans="2:10" s="19" customFormat="1" x14ac:dyDescent="0.25">
      <c r="B1766" s="35"/>
      <c r="C1766" s="36"/>
      <c r="J1766" s="38"/>
    </row>
    <row r="1767" spans="2:10" s="19" customFormat="1" x14ac:dyDescent="0.25">
      <c r="B1767" s="35"/>
      <c r="C1767" s="36"/>
      <c r="J1767" s="38"/>
    </row>
    <row r="1768" spans="2:10" s="19" customFormat="1" x14ac:dyDescent="0.25">
      <c r="B1768" s="35"/>
      <c r="C1768" s="36"/>
      <c r="J1768" s="38"/>
    </row>
    <row r="1769" spans="2:10" s="19" customFormat="1" x14ac:dyDescent="0.25">
      <c r="B1769" s="35"/>
      <c r="C1769" s="36"/>
      <c r="J1769" s="38"/>
    </row>
    <row r="1770" spans="2:10" s="19" customFormat="1" x14ac:dyDescent="0.25">
      <c r="B1770" s="35"/>
      <c r="C1770" s="36"/>
      <c r="J1770" s="38"/>
    </row>
    <row r="1771" spans="2:10" s="19" customFormat="1" x14ac:dyDescent="0.25">
      <c r="B1771" s="35"/>
      <c r="C1771" s="36"/>
      <c r="J1771" s="38"/>
    </row>
    <row r="1772" spans="2:10" s="19" customFormat="1" x14ac:dyDescent="0.25">
      <c r="B1772" s="35"/>
      <c r="C1772" s="36"/>
      <c r="J1772" s="38"/>
    </row>
    <row r="1773" spans="2:10" s="19" customFormat="1" x14ac:dyDescent="0.25">
      <c r="B1773" s="35"/>
      <c r="C1773" s="36"/>
      <c r="J1773" s="38"/>
    </row>
    <row r="1774" spans="2:10" s="19" customFormat="1" x14ac:dyDescent="0.25">
      <c r="B1774" s="35"/>
      <c r="C1774" s="36"/>
      <c r="J1774" s="38"/>
    </row>
    <row r="1775" spans="2:10" s="19" customFormat="1" x14ac:dyDescent="0.25">
      <c r="B1775" s="35"/>
      <c r="C1775" s="36"/>
      <c r="J1775" s="38"/>
    </row>
    <row r="1776" spans="2:10" s="19" customFormat="1" x14ac:dyDescent="0.25">
      <c r="B1776" s="35"/>
      <c r="C1776" s="36"/>
      <c r="J1776" s="38"/>
    </row>
    <row r="1777" spans="2:10" s="19" customFormat="1" x14ac:dyDescent="0.25">
      <c r="B1777" s="35"/>
      <c r="C1777" s="36"/>
      <c r="J1777" s="38"/>
    </row>
    <row r="1778" spans="2:10" s="19" customFormat="1" x14ac:dyDescent="0.25">
      <c r="B1778" s="35"/>
      <c r="C1778" s="36"/>
      <c r="J1778" s="38"/>
    </row>
    <row r="1779" spans="2:10" s="19" customFormat="1" x14ac:dyDescent="0.25">
      <c r="B1779" s="35"/>
      <c r="C1779" s="36"/>
      <c r="J1779" s="38"/>
    </row>
    <row r="1780" spans="2:10" s="19" customFormat="1" x14ac:dyDescent="0.25">
      <c r="B1780" s="35"/>
      <c r="C1780" s="36"/>
      <c r="J1780" s="38"/>
    </row>
    <row r="1781" spans="2:10" s="19" customFormat="1" x14ac:dyDescent="0.25">
      <c r="B1781" s="35"/>
      <c r="C1781" s="36"/>
      <c r="J1781" s="38"/>
    </row>
    <row r="1782" spans="2:10" s="19" customFormat="1" x14ac:dyDescent="0.25">
      <c r="B1782" s="35"/>
      <c r="C1782" s="36"/>
      <c r="J1782" s="38"/>
    </row>
    <row r="1783" spans="2:10" s="19" customFormat="1" x14ac:dyDescent="0.25">
      <c r="B1783" s="35"/>
      <c r="C1783" s="36"/>
      <c r="J1783" s="38"/>
    </row>
    <row r="1784" spans="2:10" s="19" customFormat="1" x14ac:dyDescent="0.25">
      <c r="B1784" s="35"/>
      <c r="C1784" s="36"/>
      <c r="J1784" s="38"/>
    </row>
    <row r="1785" spans="2:10" s="19" customFormat="1" x14ac:dyDescent="0.25">
      <c r="B1785" s="35"/>
      <c r="C1785" s="36"/>
      <c r="J1785" s="38"/>
    </row>
    <row r="1786" spans="2:10" s="19" customFormat="1" x14ac:dyDescent="0.25">
      <c r="B1786" s="35"/>
      <c r="C1786" s="36"/>
      <c r="J1786" s="38"/>
    </row>
    <row r="1787" spans="2:10" s="19" customFormat="1" x14ac:dyDescent="0.25">
      <c r="B1787" s="35"/>
      <c r="C1787" s="36"/>
      <c r="J1787" s="38"/>
    </row>
    <row r="1788" spans="2:10" s="19" customFormat="1" x14ac:dyDescent="0.25">
      <c r="B1788" s="35"/>
      <c r="C1788" s="36"/>
      <c r="J1788" s="38"/>
    </row>
    <row r="1789" spans="2:10" s="19" customFormat="1" x14ac:dyDescent="0.25">
      <c r="B1789" s="35"/>
      <c r="C1789" s="36"/>
      <c r="J1789" s="38"/>
    </row>
    <row r="1790" spans="2:10" s="19" customFormat="1" x14ac:dyDescent="0.25">
      <c r="B1790" s="35"/>
      <c r="C1790" s="36"/>
      <c r="J1790" s="38"/>
    </row>
    <row r="1791" spans="2:10" s="19" customFormat="1" x14ac:dyDescent="0.25">
      <c r="B1791" s="35"/>
      <c r="C1791" s="36"/>
      <c r="J1791" s="38"/>
    </row>
    <row r="1792" spans="2:10" s="19" customFormat="1" x14ac:dyDescent="0.25">
      <c r="B1792" s="35"/>
      <c r="C1792" s="36"/>
      <c r="J1792" s="38"/>
    </row>
    <row r="1793" spans="2:10" s="19" customFormat="1" x14ac:dyDescent="0.25">
      <c r="B1793" s="35"/>
      <c r="C1793" s="36"/>
      <c r="J1793" s="38"/>
    </row>
    <row r="1794" spans="2:10" s="19" customFormat="1" x14ac:dyDescent="0.25">
      <c r="B1794" s="35"/>
      <c r="C1794" s="36"/>
      <c r="J1794" s="38"/>
    </row>
    <row r="1795" spans="2:10" s="19" customFormat="1" x14ac:dyDescent="0.25">
      <c r="B1795" s="35"/>
      <c r="C1795" s="36"/>
      <c r="J1795" s="38"/>
    </row>
    <row r="1796" spans="2:10" s="19" customFormat="1" x14ac:dyDescent="0.25">
      <c r="B1796" s="35"/>
      <c r="C1796" s="36"/>
      <c r="J1796" s="38"/>
    </row>
    <row r="1797" spans="2:10" s="19" customFormat="1" x14ac:dyDescent="0.25">
      <c r="B1797" s="35"/>
      <c r="C1797" s="36"/>
      <c r="J1797" s="38"/>
    </row>
    <row r="1798" spans="2:10" s="19" customFormat="1" x14ac:dyDescent="0.25">
      <c r="B1798" s="35"/>
      <c r="C1798" s="36"/>
      <c r="J1798" s="38"/>
    </row>
    <row r="1799" spans="2:10" s="19" customFormat="1" x14ac:dyDescent="0.25">
      <c r="B1799" s="35"/>
      <c r="C1799" s="36"/>
      <c r="J1799" s="38"/>
    </row>
    <row r="1800" spans="2:10" s="19" customFormat="1" x14ac:dyDescent="0.25">
      <c r="B1800" s="35"/>
      <c r="C1800" s="36"/>
      <c r="J1800" s="38"/>
    </row>
    <row r="1801" spans="2:10" s="19" customFormat="1" x14ac:dyDescent="0.25">
      <c r="B1801" s="35"/>
      <c r="C1801" s="36"/>
      <c r="J1801" s="38"/>
    </row>
    <row r="1802" spans="2:10" s="19" customFormat="1" x14ac:dyDescent="0.25">
      <c r="B1802" s="35"/>
      <c r="C1802" s="36"/>
      <c r="J1802" s="38"/>
    </row>
    <row r="1803" spans="2:10" s="19" customFormat="1" x14ac:dyDescent="0.25">
      <c r="B1803" s="35"/>
      <c r="C1803" s="36"/>
      <c r="J1803" s="38"/>
    </row>
    <row r="1804" spans="2:10" s="19" customFormat="1" x14ac:dyDescent="0.25">
      <c r="B1804" s="35"/>
      <c r="C1804" s="36"/>
      <c r="J1804" s="38"/>
    </row>
    <row r="1805" spans="2:10" s="19" customFormat="1" x14ac:dyDescent="0.25">
      <c r="B1805" s="35"/>
      <c r="C1805" s="36"/>
      <c r="J1805" s="38"/>
    </row>
    <row r="1806" spans="2:10" s="19" customFormat="1" x14ac:dyDescent="0.25">
      <c r="B1806" s="35"/>
      <c r="C1806" s="36"/>
      <c r="J1806" s="38"/>
    </row>
    <row r="1807" spans="2:10" s="19" customFormat="1" x14ac:dyDescent="0.25">
      <c r="B1807" s="35"/>
      <c r="C1807" s="36"/>
      <c r="J1807" s="38"/>
    </row>
    <row r="1808" spans="2:10" s="19" customFormat="1" x14ac:dyDescent="0.25">
      <c r="B1808" s="35"/>
      <c r="C1808" s="36"/>
      <c r="J1808" s="38"/>
    </row>
    <row r="1809" spans="2:10" s="19" customFormat="1" x14ac:dyDescent="0.25">
      <c r="B1809" s="35"/>
      <c r="C1809" s="36"/>
      <c r="J1809" s="38"/>
    </row>
    <row r="1810" spans="2:10" s="19" customFormat="1" x14ac:dyDescent="0.25">
      <c r="B1810" s="35"/>
      <c r="C1810" s="36"/>
      <c r="J1810" s="38"/>
    </row>
    <row r="1811" spans="2:10" s="19" customFormat="1" x14ac:dyDescent="0.25">
      <c r="B1811" s="35"/>
      <c r="C1811" s="36"/>
      <c r="J1811" s="38"/>
    </row>
    <row r="1812" spans="2:10" s="19" customFormat="1" x14ac:dyDescent="0.25">
      <c r="B1812" s="35"/>
      <c r="C1812" s="36"/>
      <c r="J1812" s="38"/>
    </row>
    <row r="1813" spans="2:10" s="19" customFormat="1" x14ac:dyDescent="0.25">
      <c r="B1813" s="35"/>
      <c r="C1813" s="36"/>
      <c r="J1813" s="38"/>
    </row>
    <row r="1814" spans="2:10" s="19" customFormat="1" x14ac:dyDescent="0.25">
      <c r="B1814" s="35"/>
      <c r="C1814" s="36"/>
      <c r="J1814" s="38"/>
    </row>
    <row r="1815" spans="2:10" s="19" customFormat="1" x14ac:dyDescent="0.25">
      <c r="B1815" s="35"/>
      <c r="C1815" s="36"/>
      <c r="J1815" s="38"/>
    </row>
    <row r="1816" spans="2:10" s="19" customFormat="1" x14ac:dyDescent="0.25">
      <c r="B1816" s="35"/>
      <c r="C1816" s="36"/>
      <c r="J1816" s="38"/>
    </row>
    <row r="1817" spans="2:10" s="19" customFormat="1" x14ac:dyDescent="0.25">
      <c r="B1817" s="35"/>
      <c r="C1817" s="36"/>
      <c r="J1817" s="38"/>
    </row>
    <row r="1818" spans="2:10" s="19" customFormat="1" x14ac:dyDescent="0.25">
      <c r="B1818" s="35"/>
      <c r="C1818" s="36"/>
      <c r="J1818" s="38"/>
    </row>
    <row r="1819" spans="2:10" s="19" customFormat="1" x14ac:dyDescent="0.25">
      <c r="B1819" s="35"/>
      <c r="C1819" s="36"/>
      <c r="J1819" s="38"/>
    </row>
    <row r="1820" spans="2:10" s="19" customFormat="1" x14ac:dyDescent="0.25">
      <c r="B1820" s="35"/>
      <c r="C1820" s="36"/>
      <c r="J1820" s="38"/>
    </row>
    <row r="1821" spans="2:10" s="19" customFormat="1" x14ac:dyDescent="0.25">
      <c r="B1821" s="35"/>
      <c r="C1821" s="36"/>
      <c r="J1821" s="38"/>
    </row>
    <row r="1822" spans="2:10" s="19" customFormat="1" x14ac:dyDescent="0.25">
      <c r="B1822" s="35"/>
      <c r="C1822" s="36"/>
      <c r="J1822" s="38"/>
    </row>
    <row r="1823" spans="2:10" s="19" customFormat="1" x14ac:dyDescent="0.25">
      <c r="B1823" s="35"/>
      <c r="C1823" s="36"/>
      <c r="J1823" s="38"/>
    </row>
    <row r="1824" spans="2:10" s="19" customFormat="1" x14ac:dyDescent="0.25">
      <c r="B1824" s="35"/>
      <c r="C1824" s="36"/>
      <c r="J1824" s="38"/>
    </row>
    <row r="1825" spans="2:10" s="19" customFormat="1" x14ac:dyDescent="0.25">
      <c r="B1825" s="35"/>
      <c r="C1825" s="36"/>
      <c r="J1825" s="38"/>
    </row>
    <row r="1826" spans="2:10" s="19" customFormat="1" x14ac:dyDescent="0.25">
      <c r="B1826" s="35"/>
      <c r="C1826" s="36"/>
      <c r="J1826" s="38"/>
    </row>
    <row r="1827" spans="2:10" s="19" customFormat="1" x14ac:dyDescent="0.25">
      <c r="B1827" s="35"/>
      <c r="C1827" s="36"/>
      <c r="J1827" s="38"/>
    </row>
    <row r="1828" spans="2:10" s="19" customFormat="1" x14ac:dyDescent="0.25">
      <c r="B1828" s="35"/>
      <c r="C1828" s="36"/>
      <c r="J1828" s="38"/>
    </row>
    <row r="1829" spans="2:10" s="19" customFormat="1" x14ac:dyDescent="0.25">
      <c r="B1829" s="35"/>
      <c r="C1829" s="36"/>
      <c r="J1829" s="38"/>
    </row>
    <row r="1830" spans="2:10" s="19" customFormat="1" x14ac:dyDescent="0.25">
      <c r="B1830" s="35"/>
      <c r="C1830" s="36"/>
      <c r="J1830" s="38"/>
    </row>
    <row r="1831" spans="2:10" s="19" customFormat="1" x14ac:dyDescent="0.25">
      <c r="B1831" s="35"/>
      <c r="C1831" s="36"/>
      <c r="J1831" s="38"/>
    </row>
    <row r="1832" spans="2:10" s="19" customFormat="1" x14ac:dyDescent="0.25">
      <c r="B1832" s="35"/>
      <c r="C1832" s="36"/>
      <c r="J1832" s="38"/>
    </row>
    <row r="1833" spans="2:10" s="19" customFormat="1" x14ac:dyDescent="0.25">
      <c r="B1833" s="35"/>
      <c r="C1833" s="36"/>
      <c r="J1833" s="38"/>
    </row>
    <row r="1834" spans="2:10" s="19" customFormat="1" x14ac:dyDescent="0.25">
      <c r="B1834" s="35"/>
      <c r="C1834" s="36"/>
      <c r="J1834" s="38"/>
    </row>
    <row r="1835" spans="2:10" s="19" customFormat="1" x14ac:dyDescent="0.25">
      <c r="B1835" s="35"/>
      <c r="C1835" s="36"/>
      <c r="J1835" s="38"/>
    </row>
    <row r="1836" spans="2:10" s="19" customFormat="1" x14ac:dyDescent="0.25">
      <c r="B1836" s="35"/>
      <c r="C1836" s="36"/>
      <c r="J1836" s="38"/>
    </row>
    <row r="1837" spans="2:10" s="19" customFormat="1" x14ac:dyDescent="0.25">
      <c r="B1837" s="35"/>
      <c r="C1837" s="36"/>
      <c r="J1837" s="38"/>
    </row>
    <row r="1838" spans="2:10" s="19" customFormat="1" x14ac:dyDescent="0.25">
      <c r="B1838" s="35"/>
      <c r="C1838" s="36"/>
      <c r="J1838" s="38"/>
    </row>
    <row r="1839" spans="2:10" s="19" customFormat="1" x14ac:dyDescent="0.25">
      <c r="B1839" s="35"/>
      <c r="C1839" s="36"/>
      <c r="J1839" s="38"/>
    </row>
    <row r="1840" spans="2:10" s="19" customFormat="1" x14ac:dyDescent="0.25">
      <c r="B1840" s="35"/>
      <c r="C1840" s="36"/>
      <c r="J1840" s="38"/>
    </row>
    <row r="1841" spans="2:10" s="19" customFormat="1" x14ac:dyDescent="0.25">
      <c r="B1841" s="35"/>
      <c r="C1841" s="36"/>
      <c r="J1841" s="38"/>
    </row>
    <row r="1842" spans="2:10" s="19" customFormat="1" x14ac:dyDescent="0.25">
      <c r="B1842" s="35"/>
      <c r="C1842" s="36"/>
      <c r="J1842" s="38"/>
    </row>
    <row r="1843" spans="2:10" s="19" customFormat="1" x14ac:dyDescent="0.25">
      <c r="B1843" s="35"/>
      <c r="C1843" s="36"/>
      <c r="J1843" s="38"/>
    </row>
    <row r="1844" spans="2:10" s="19" customFormat="1" x14ac:dyDescent="0.25">
      <c r="B1844" s="35"/>
      <c r="C1844" s="36"/>
      <c r="J1844" s="38"/>
    </row>
    <row r="1845" spans="2:10" s="19" customFormat="1" x14ac:dyDescent="0.25">
      <c r="B1845" s="35"/>
      <c r="C1845" s="36"/>
      <c r="J1845" s="38"/>
    </row>
    <row r="1846" spans="2:10" s="19" customFormat="1" x14ac:dyDescent="0.25">
      <c r="B1846" s="35"/>
      <c r="C1846" s="36"/>
      <c r="J1846" s="38"/>
    </row>
    <row r="1847" spans="2:10" s="19" customFormat="1" x14ac:dyDescent="0.25">
      <c r="B1847" s="35"/>
      <c r="C1847" s="36"/>
      <c r="J1847" s="38"/>
    </row>
    <row r="1848" spans="2:10" s="19" customFormat="1" x14ac:dyDescent="0.25">
      <c r="B1848" s="35"/>
      <c r="C1848" s="36"/>
      <c r="J1848" s="38"/>
    </row>
    <row r="1849" spans="2:10" s="19" customFormat="1" x14ac:dyDescent="0.25">
      <c r="B1849" s="35"/>
      <c r="C1849" s="36"/>
      <c r="J1849" s="38"/>
    </row>
    <row r="1850" spans="2:10" s="19" customFormat="1" x14ac:dyDescent="0.25">
      <c r="B1850" s="35"/>
      <c r="C1850" s="36"/>
      <c r="J1850" s="38"/>
    </row>
    <row r="1851" spans="2:10" s="19" customFormat="1" x14ac:dyDescent="0.25">
      <c r="B1851" s="35"/>
      <c r="C1851" s="36"/>
      <c r="J1851" s="38"/>
    </row>
    <row r="1852" spans="2:10" s="19" customFormat="1" x14ac:dyDescent="0.25">
      <c r="B1852" s="35"/>
      <c r="C1852" s="36"/>
      <c r="J1852" s="38"/>
    </row>
    <row r="1853" spans="2:10" s="19" customFormat="1" x14ac:dyDescent="0.25">
      <c r="B1853" s="35"/>
      <c r="C1853" s="36"/>
      <c r="J1853" s="38"/>
    </row>
    <row r="1854" spans="2:10" s="19" customFormat="1" x14ac:dyDescent="0.25">
      <c r="B1854" s="35"/>
      <c r="C1854" s="36"/>
      <c r="J1854" s="38"/>
    </row>
    <row r="1855" spans="2:10" s="19" customFormat="1" x14ac:dyDescent="0.25">
      <c r="B1855" s="35"/>
      <c r="C1855" s="36"/>
      <c r="J1855" s="38"/>
    </row>
    <row r="1856" spans="2:10" s="19" customFormat="1" x14ac:dyDescent="0.25">
      <c r="B1856" s="35"/>
      <c r="C1856" s="36"/>
      <c r="J1856" s="38"/>
    </row>
    <row r="1857" spans="2:10" s="19" customFormat="1" x14ac:dyDescent="0.25">
      <c r="B1857" s="35"/>
      <c r="C1857" s="36"/>
      <c r="J1857" s="38"/>
    </row>
    <row r="1858" spans="2:10" s="19" customFormat="1" x14ac:dyDescent="0.25">
      <c r="B1858" s="35"/>
      <c r="C1858" s="36"/>
      <c r="J1858" s="38"/>
    </row>
    <row r="1859" spans="2:10" s="19" customFormat="1" x14ac:dyDescent="0.25">
      <c r="B1859" s="35"/>
      <c r="C1859" s="36"/>
      <c r="J1859" s="38"/>
    </row>
    <row r="1860" spans="2:10" s="19" customFormat="1" x14ac:dyDescent="0.25">
      <c r="B1860" s="35"/>
      <c r="C1860" s="36"/>
      <c r="J1860" s="38"/>
    </row>
    <row r="1861" spans="2:10" s="19" customFormat="1" x14ac:dyDescent="0.25">
      <c r="B1861" s="35"/>
      <c r="C1861" s="36"/>
      <c r="J1861" s="38"/>
    </row>
    <row r="1862" spans="2:10" s="19" customFormat="1" x14ac:dyDescent="0.25">
      <c r="B1862" s="35"/>
      <c r="C1862" s="36"/>
      <c r="J1862" s="38"/>
    </row>
    <row r="1863" spans="2:10" s="19" customFormat="1" x14ac:dyDescent="0.25">
      <c r="B1863" s="35"/>
      <c r="C1863" s="36"/>
      <c r="J1863" s="38"/>
    </row>
    <row r="1864" spans="2:10" s="19" customFormat="1" x14ac:dyDescent="0.25">
      <c r="B1864" s="35"/>
      <c r="C1864" s="36"/>
      <c r="J1864" s="38"/>
    </row>
    <row r="1865" spans="2:10" s="19" customFormat="1" x14ac:dyDescent="0.25">
      <c r="B1865" s="35"/>
      <c r="C1865" s="36"/>
      <c r="J1865" s="38"/>
    </row>
    <row r="1866" spans="2:10" s="19" customFormat="1" x14ac:dyDescent="0.25">
      <c r="B1866" s="35"/>
      <c r="C1866" s="36"/>
      <c r="J1866" s="38"/>
    </row>
    <row r="1867" spans="2:10" s="19" customFormat="1" x14ac:dyDescent="0.25">
      <c r="B1867" s="35"/>
      <c r="C1867" s="36"/>
      <c r="J1867" s="38"/>
    </row>
    <row r="1868" spans="2:10" s="19" customFormat="1" x14ac:dyDescent="0.25">
      <c r="B1868" s="35"/>
      <c r="C1868" s="36"/>
      <c r="J1868" s="38"/>
    </row>
    <row r="1869" spans="2:10" s="19" customFormat="1" x14ac:dyDescent="0.25">
      <c r="B1869" s="35"/>
      <c r="C1869" s="36"/>
      <c r="J1869" s="38"/>
    </row>
    <row r="1870" spans="2:10" s="19" customFormat="1" x14ac:dyDescent="0.25">
      <c r="B1870" s="35"/>
      <c r="C1870" s="36"/>
      <c r="J1870" s="38"/>
    </row>
    <row r="1871" spans="2:10" s="19" customFormat="1" x14ac:dyDescent="0.25">
      <c r="B1871" s="35"/>
      <c r="C1871" s="36"/>
      <c r="J1871" s="38"/>
    </row>
    <row r="1872" spans="2:10" s="19" customFormat="1" x14ac:dyDescent="0.25">
      <c r="B1872" s="35"/>
      <c r="C1872" s="36"/>
      <c r="J1872" s="38"/>
    </row>
    <row r="1873" spans="2:10" s="19" customFormat="1" x14ac:dyDescent="0.25">
      <c r="B1873" s="35"/>
      <c r="C1873" s="36"/>
      <c r="J1873" s="38"/>
    </row>
    <row r="1874" spans="2:10" s="19" customFormat="1" x14ac:dyDescent="0.25">
      <c r="B1874" s="35"/>
      <c r="C1874" s="36"/>
      <c r="J1874" s="38"/>
    </row>
    <row r="1875" spans="2:10" s="19" customFormat="1" x14ac:dyDescent="0.25">
      <c r="B1875" s="35"/>
      <c r="C1875" s="36"/>
      <c r="J1875" s="38"/>
    </row>
    <row r="1876" spans="2:10" s="19" customFormat="1" x14ac:dyDescent="0.25">
      <c r="B1876" s="35"/>
      <c r="C1876" s="36"/>
      <c r="J1876" s="38"/>
    </row>
    <row r="1877" spans="2:10" s="19" customFormat="1" x14ac:dyDescent="0.25">
      <c r="B1877" s="35"/>
      <c r="C1877" s="36"/>
      <c r="J1877" s="38"/>
    </row>
    <row r="1878" spans="2:10" s="19" customFormat="1" x14ac:dyDescent="0.25">
      <c r="B1878" s="35"/>
      <c r="C1878" s="36"/>
      <c r="J1878" s="38"/>
    </row>
    <row r="1879" spans="2:10" s="19" customFormat="1" x14ac:dyDescent="0.25">
      <c r="B1879" s="35"/>
      <c r="C1879" s="36"/>
      <c r="J1879" s="38"/>
    </row>
    <row r="1880" spans="2:10" s="19" customFormat="1" x14ac:dyDescent="0.25">
      <c r="B1880" s="35"/>
      <c r="C1880" s="36"/>
      <c r="J1880" s="38"/>
    </row>
    <row r="1881" spans="2:10" s="19" customFormat="1" x14ac:dyDescent="0.25">
      <c r="B1881" s="35"/>
      <c r="C1881" s="36"/>
      <c r="J1881" s="38"/>
    </row>
    <row r="1882" spans="2:10" s="19" customFormat="1" x14ac:dyDescent="0.25">
      <c r="B1882" s="35"/>
      <c r="C1882" s="36"/>
      <c r="J1882" s="38"/>
    </row>
    <row r="1883" spans="2:10" s="19" customFormat="1" x14ac:dyDescent="0.25">
      <c r="B1883" s="35"/>
      <c r="C1883" s="36"/>
      <c r="J1883" s="38"/>
    </row>
    <row r="1884" spans="2:10" s="19" customFormat="1" x14ac:dyDescent="0.25">
      <c r="B1884" s="35"/>
      <c r="C1884" s="36"/>
      <c r="J1884" s="38"/>
    </row>
    <row r="1885" spans="2:10" s="19" customFormat="1" x14ac:dyDescent="0.25">
      <c r="B1885" s="35"/>
      <c r="C1885" s="36"/>
      <c r="J1885" s="38"/>
    </row>
    <row r="1886" spans="2:10" s="19" customFormat="1" x14ac:dyDescent="0.25">
      <c r="B1886" s="35"/>
      <c r="C1886" s="36"/>
      <c r="J1886" s="38"/>
    </row>
    <row r="1887" spans="2:10" s="19" customFormat="1" x14ac:dyDescent="0.25">
      <c r="B1887" s="35"/>
      <c r="C1887" s="36"/>
      <c r="J1887" s="38"/>
    </row>
    <row r="1888" spans="2:10" s="19" customFormat="1" x14ac:dyDescent="0.25">
      <c r="B1888" s="35"/>
      <c r="C1888" s="36"/>
      <c r="J1888" s="38"/>
    </row>
    <row r="1889" spans="2:10" s="19" customFormat="1" x14ac:dyDescent="0.25">
      <c r="B1889" s="35"/>
      <c r="C1889" s="36"/>
      <c r="J1889" s="38"/>
    </row>
    <row r="1890" spans="2:10" s="19" customFormat="1" x14ac:dyDescent="0.25">
      <c r="B1890" s="35"/>
      <c r="C1890" s="36"/>
      <c r="J1890" s="38"/>
    </row>
    <row r="1891" spans="2:10" s="19" customFormat="1" x14ac:dyDescent="0.25">
      <c r="B1891" s="35"/>
      <c r="C1891" s="36"/>
      <c r="J1891" s="38"/>
    </row>
    <row r="1892" spans="2:10" s="19" customFormat="1" x14ac:dyDescent="0.25">
      <c r="B1892" s="35"/>
      <c r="C1892" s="36"/>
      <c r="J1892" s="38"/>
    </row>
    <row r="1893" spans="2:10" s="19" customFormat="1" x14ac:dyDescent="0.25">
      <c r="B1893" s="35"/>
      <c r="C1893" s="36"/>
      <c r="J1893" s="38"/>
    </row>
    <row r="1894" spans="2:10" s="19" customFormat="1" x14ac:dyDescent="0.25">
      <c r="B1894" s="35"/>
      <c r="C1894" s="36"/>
      <c r="J1894" s="38"/>
    </row>
    <row r="1895" spans="2:10" s="19" customFormat="1" x14ac:dyDescent="0.25">
      <c r="B1895" s="35"/>
      <c r="C1895" s="36"/>
      <c r="J1895" s="38"/>
    </row>
    <row r="1896" spans="2:10" s="19" customFormat="1" x14ac:dyDescent="0.25">
      <c r="B1896" s="35"/>
      <c r="C1896" s="36"/>
      <c r="J1896" s="38"/>
    </row>
    <row r="1897" spans="2:10" s="19" customFormat="1" x14ac:dyDescent="0.25">
      <c r="B1897" s="35"/>
      <c r="C1897" s="36"/>
      <c r="J1897" s="38"/>
    </row>
    <row r="1898" spans="2:10" s="19" customFormat="1" x14ac:dyDescent="0.25">
      <c r="B1898" s="35"/>
      <c r="C1898" s="36"/>
      <c r="J1898" s="38"/>
    </row>
    <row r="1899" spans="2:10" s="19" customFormat="1" x14ac:dyDescent="0.25">
      <c r="B1899" s="35"/>
      <c r="C1899" s="36"/>
      <c r="J1899" s="38"/>
    </row>
    <row r="1900" spans="2:10" s="19" customFormat="1" x14ac:dyDescent="0.25">
      <c r="B1900" s="35"/>
      <c r="C1900" s="36"/>
      <c r="J1900" s="38"/>
    </row>
    <row r="1901" spans="2:10" s="19" customFormat="1" x14ac:dyDescent="0.25">
      <c r="B1901" s="35"/>
      <c r="C1901" s="36"/>
      <c r="J1901" s="38"/>
    </row>
    <row r="1902" spans="2:10" s="19" customFormat="1" x14ac:dyDescent="0.25">
      <c r="B1902" s="35"/>
      <c r="C1902" s="36"/>
      <c r="J1902" s="38"/>
    </row>
    <row r="1903" spans="2:10" s="19" customFormat="1" x14ac:dyDescent="0.25">
      <c r="B1903" s="35"/>
      <c r="C1903" s="36"/>
      <c r="J1903" s="38"/>
    </row>
    <row r="1904" spans="2:10" s="19" customFormat="1" x14ac:dyDescent="0.25">
      <c r="B1904" s="35"/>
      <c r="C1904" s="36"/>
      <c r="J1904" s="38"/>
    </row>
    <row r="1905" spans="2:10" s="19" customFormat="1" x14ac:dyDescent="0.25">
      <c r="B1905" s="35"/>
      <c r="C1905" s="36"/>
      <c r="J1905" s="38"/>
    </row>
    <row r="1906" spans="2:10" s="19" customFormat="1" x14ac:dyDescent="0.25">
      <c r="B1906" s="35"/>
      <c r="C1906" s="36"/>
      <c r="J1906" s="38"/>
    </row>
    <row r="1907" spans="2:10" s="19" customFormat="1" x14ac:dyDescent="0.25">
      <c r="B1907" s="35"/>
      <c r="C1907" s="36"/>
      <c r="J1907" s="38"/>
    </row>
    <row r="1908" spans="2:10" s="19" customFormat="1" x14ac:dyDescent="0.25">
      <c r="B1908" s="35"/>
      <c r="C1908" s="36"/>
      <c r="J1908" s="38"/>
    </row>
    <row r="1909" spans="2:10" s="19" customFormat="1" x14ac:dyDescent="0.25">
      <c r="B1909" s="35"/>
      <c r="C1909" s="36"/>
      <c r="J1909" s="38"/>
    </row>
    <row r="1910" spans="2:10" s="19" customFormat="1" x14ac:dyDescent="0.25">
      <c r="B1910" s="35"/>
      <c r="C1910" s="36"/>
      <c r="J1910" s="38"/>
    </row>
    <row r="1911" spans="2:10" s="19" customFormat="1" x14ac:dyDescent="0.25">
      <c r="B1911" s="35"/>
      <c r="C1911" s="36"/>
      <c r="J1911" s="38"/>
    </row>
    <row r="1912" spans="2:10" s="19" customFormat="1" x14ac:dyDescent="0.25">
      <c r="B1912" s="35"/>
      <c r="C1912" s="36"/>
      <c r="J1912" s="38"/>
    </row>
    <row r="1913" spans="2:10" s="19" customFormat="1" x14ac:dyDescent="0.25">
      <c r="B1913" s="35"/>
      <c r="C1913" s="36"/>
      <c r="J1913" s="38"/>
    </row>
    <row r="1914" spans="2:10" s="19" customFormat="1" x14ac:dyDescent="0.25">
      <c r="B1914" s="35"/>
      <c r="C1914" s="36"/>
      <c r="J1914" s="38"/>
    </row>
    <row r="1915" spans="2:10" s="19" customFormat="1" x14ac:dyDescent="0.25">
      <c r="B1915" s="35"/>
      <c r="C1915" s="36"/>
      <c r="J1915" s="38"/>
    </row>
    <row r="1916" spans="2:10" s="19" customFormat="1" x14ac:dyDescent="0.25">
      <c r="B1916" s="35"/>
      <c r="C1916" s="36"/>
      <c r="J1916" s="38"/>
    </row>
    <row r="1917" spans="2:10" s="19" customFormat="1" x14ac:dyDescent="0.25">
      <c r="B1917" s="35"/>
      <c r="C1917" s="36"/>
      <c r="J1917" s="38"/>
    </row>
    <row r="1918" spans="2:10" s="19" customFormat="1" x14ac:dyDescent="0.25">
      <c r="B1918" s="35"/>
      <c r="C1918" s="36"/>
      <c r="J1918" s="38"/>
    </row>
    <row r="1919" spans="2:10" s="19" customFormat="1" x14ac:dyDescent="0.25">
      <c r="B1919" s="35"/>
      <c r="C1919" s="36"/>
      <c r="J1919" s="38"/>
    </row>
    <row r="1920" spans="2:10" s="19" customFormat="1" x14ac:dyDescent="0.25">
      <c r="B1920" s="35"/>
      <c r="C1920" s="36"/>
      <c r="J1920" s="38"/>
    </row>
    <row r="1921" spans="2:10" s="19" customFormat="1" x14ac:dyDescent="0.25">
      <c r="B1921" s="35"/>
      <c r="C1921" s="36"/>
      <c r="J1921" s="38"/>
    </row>
    <row r="1922" spans="2:10" s="19" customFormat="1" x14ac:dyDescent="0.25">
      <c r="B1922" s="35"/>
      <c r="C1922" s="36"/>
      <c r="J1922" s="38"/>
    </row>
    <row r="1923" spans="2:10" s="19" customFormat="1" x14ac:dyDescent="0.25">
      <c r="B1923" s="35"/>
      <c r="C1923" s="36"/>
      <c r="J1923" s="38"/>
    </row>
    <row r="1924" spans="2:10" s="19" customFormat="1" x14ac:dyDescent="0.25">
      <c r="B1924" s="35"/>
      <c r="C1924" s="36"/>
      <c r="J1924" s="38"/>
    </row>
    <row r="1925" spans="2:10" s="19" customFormat="1" x14ac:dyDescent="0.25">
      <c r="B1925" s="35"/>
      <c r="C1925" s="36"/>
      <c r="J1925" s="38"/>
    </row>
    <row r="1926" spans="2:10" s="19" customFormat="1" x14ac:dyDescent="0.25">
      <c r="B1926" s="35"/>
      <c r="C1926" s="36"/>
      <c r="J1926" s="38"/>
    </row>
    <row r="1927" spans="2:10" s="19" customFormat="1" x14ac:dyDescent="0.25">
      <c r="B1927" s="35"/>
      <c r="C1927" s="36"/>
      <c r="J1927" s="38"/>
    </row>
    <row r="1928" spans="2:10" s="19" customFormat="1" x14ac:dyDescent="0.25">
      <c r="B1928" s="35"/>
      <c r="C1928" s="36"/>
      <c r="J1928" s="38"/>
    </row>
    <row r="1929" spans="2:10" s="19" customFormat="1" x14ac:dyDescent="0.25">
      <c r="B1929" s="35"/>
      <c r="C1929" s="36"/>
      <c r="J1929" s="38"/>
    </row>
    <row r="1930" spans="2:10" s="19" customFormat="1" x14ac:dyDescent="0.25">
      <c r="B1930" s="35"/>
      <c r="C1930" s="36"/>
      <c r="J1930" s="38"/>
    </row>
    <row r="1931" spans="2:10" s="19" customFormat="1" x14ac:dyDescent="0.25">
      <c r="B1931" s="35"/>
      <c r="C1931" s="36"/>
      <c r="J1931" s="38"/>
    </row>
    <row r="1932" spans="2:10" s="19" customFormat="1" x14ac:dyDescent="0.25">
      <c r="B1932" s="35"/>
      <c r="C1932" s="36"/>
      <c r="J1932" s="38"/>
    </row>
    <row r="1933" spans="2:10" s="19" customFormat="1" x14ac:dyDescent="0.25">
      <c r="B1933" s="35"/>
      <c r="C1933" s="36"/>
      <c r="J1933" s="38"/>
    </row>
    <row r="1934" spans="2:10" s="19" customFormat="1" x14ac:dyDescent="0.25">
      <c r="B1934" s="35"/>
      <c r="C1934" s="36"/>
      <c r="J1934" s="38"/>
    </row>
    <row r="1935" spans="2:10" s="19" customFormat="1" x14ac:dyDescent="0.25">
      <c r="B1935" s="35"/>
      <c r="C1935" s="36"/>
      <c r="J1935" s="38"/>
    </row>
    <row r="1936" spans="2:10" s="19" customFormat="1" x14ac:dyDescent="0.25">
      <c r="B1936" s="35"/>
      <c r="C1936" s="36"/>
      <c r="J1936" s="38"/>
    </row>
    <row r="1937" spans="2:10" s="19" customFormat="1" x14ac:dyDescent="0.25">
      <c r="B1937" s="35"/>
      <c r="C1937" s="36"/>
      <c r="J1937" s="38"/>
    </row>
    <row r="1938" spans="2:10" s="19" customFormat="1" x14ac:dyDescent="0.25">
      <c r="B1938" s="35"/>
      <c r="C1938" s="36"/>
      <c r="J1938" s="38"/>
    </row>
    <row r="1939" spans="2:10" s="19" customFormat="1" x14ac:dyDescent="0.25">
      <c r="B1939" s="35"/>
      <c r="C1939" s="36"/>
      <c r="J1939" s="38"/>
    </row>
    <row r="1940" spans="2:10" s="19" customFormat="1" x14ac:dyDescent="0.25">
      <c r="B1940" s="35"/>
      <c r="C1940" s="36"/>
      <c r="J1940" s="38"/>
    </row>
    <row r="1941" spans="2:10" s="19" customFormat="1" x14ac:dyDescent="0.25">
      <c r="B1941" s="35"/>
      <c r="C1941" s="36"/>
      <c r="J1941" s="38"/>
    </row>
    <row r="1942" spans="2:10" s="19" customFormat="1" x14ac:dyDescent="0.25">
      <c r="B1942" s="35"/>
      <c r="C1942" s="36"/>
      <c r="J1942" s="38"/>
    </row>
    <row r="1943" spans="2:10" s="19" customFormat="1" x14ac:dyDescent="0.25">
      <c r="B1943" s="35"/>
      <c r="C1943" s="36"/>
      <c r="J1943" s="38"/>
    </row>
    <row r="1944" spans="2:10" s="19" customFormat="1" x14ac:dyDescent="0.25">
      <c r="B1944" s="35"/>
      <c r="C1944" s="36"/>
      <c r="J1944" s="38"/>
    </row>
    <row r="1945" spans="2:10" s="19" customFormat="1" x14ac:dyDescent="0.25">
      <c r="B1945" s="35"/>
      <c r="C1945" s="36"/>
      <c r="J1945" s="38"/>
    </row>
    <row r="1946" spans="2:10" s="19" customFormat="1" x14ac:dyDescent="0.25">
      <c r="B1946" s="35"/>
      <c r="C1946" s="36"/>
      <c r="J1946" s="38"/>
    </row>
    <row r="1947" spans="2:10" s="19" customFormat="1" x14ac:dyDescent="0.25">
      <c r="B1947" s="35"/>
      <c r="C1947" s="36"/>
      <c r="J1947" s="38"/>
    </row>
    <row r="1948" spans="2:10" s="19" customFormat="1" x14ac:dyDescent="0.25">
      <c r="B1948" s="35"/>
      <c r="C1948" s="36"/>
      <c r="J1948" s="38"/>
    </row>
    <row r="1949" spans="2:10" s="19" customFormat="1" x14ac:dyDescent="0.25">
      <c r="B1949" s="35"/>
      <c r="C1949" s="36"/>
      <c r="J1949" s="38"/>
    </row>
    <row r="1950" spans="2:10" s="19" customFormat="1" x14ac:dyDescent="0.25">
      <c r="B1950" s="35"/>
      <c r="C1950" s="36"/>
      <c r="J1950" s="38"/>
    </row>
    <row r="1951" spans="2:10" s="19" customFormat="1" x14ac:dyDescent="0.25">
      <c r="B1951" s="35"/>
      <c r="C1951" s="36"/>
      <c r="J1951" s="38"/>
    </row>
    <row r="1952" spans="2:10" s="19" customFormat="1" x14ac:dyDescent="0.25">
      <c r="B1952" s="35"/>
      <c r="C1952" s="36"/>
      <c r="J1952" s="38"/>
    </row>
    <row r="1953" spans="2:10" s="19" customFormat="1" x14ac:dyDescent="0.25">
      <c r="B1953" s="35"/>
      <c r="C1953" s="36"/>
      <c r="J1953" s="38"/>
    </row>
    <row r="1954" spans="2:10" s="19" customFormat="1" x14ac:dyDescent="0.25">
      <c r="B1954" s="35"/>
      <c r="C1954" s="36"/>
      <c r="J1954" s="38"/>
    </row>
    <row r="1955" spans="2:10" s="19" customFormat="1" x14ac:dyDescent="0.25">
      <c r="B1955" s="35"/>
      <c r="C1955" s="36"/>
      <c r="J1955" s="38"/>
    </row>
    <row r="1956" spans="2:10" s="19" customFormat="1" x14ac:dyDescent="0.25">
      <c r="B1956" s="35"/>
      <c r="C1956" s="36"/>
      <c r="J1956" s="38"/>
    </row>
    <row r="1957" spans="2:10" s="19" customFormat="1" x14ac:dyDescent="0.25">
      <c r="B1957" s="35"/>
      <c r="C1957" s="36"/>
      <c r="J1957" s="38"/>
    </row>
    <row r="1958" spans="2:10" s="19" customFormat="1" x14ac:dyDescent="0.25">
      <c r="B1958" s="35"/>
      <c r="C1958" s="36"/>
      <c r="J1958" s="38"/>
    </row>
    <row r="1959" spans="2:10" s="19" customFormat="1" x14ac:dyDescent="0.25">
      <c r="B1959" s="35"/>
      <c r="C1959" s="36"/>
      <c r="J1959" s="38"/>
    </row>
    <row r="1960" spans="2:10" s="19" customFormat="1" x14ac:dyDescent="0.25">
      <c r="B1960" s="35"/>
      <c r="C1960" s="36"/>
      <c r="J1960" s="38"/>
    </row>
    <row r="1961" spans="2:10" s="19" customFormat="1" x14ac:dyDescent="0.25">
      <c r="B1961" s="35"/>
      <c r="C1961" s="36"/>
      <c r="J1961" s="38"/>
    </row>
    <row r="1962" spans="2:10" s="19" customFormat="1" x14ac:dyDescent="0.25">
      <c r="B1962" s="35"/>
      <c r="C1962" s="36"/>
      <c r="J1962" s="38"/>
    </row>
    <row r="1963" spans="2:10" s="19" customFormat="1" x14ac:dyDescent="0.25">
      <c r="B1963" s="35"/>
      <c r="C1963" s="36"/>
      <c r="J1963" s="38"/>
    </row>
    <row r="1964" spans="2:10" s="19" customFormat="1" x14ac:dyDescent="0.25">
      <c r="B1964" s="35"/>
      <c r="C1964" s="36"/>
      <c r="J1964" s="38"/>
    </row>
    <row r="1965" spans="2:10" s="19" customFormat="1" x14ac:dyDescent="0.25">
      <c r="B1965" s="35"/>
      <c r="C1965" s="36"/>
      <c r="J1965" s="38"/>
    </row>
    <row r="1966" spans="2:10" s="19" customFormat="1" x14ac:dyDescent="0.25">
      <c r="B1966" s="35"/>
      <c r="C1966" s="36"/>
      <c r="J1966" s="38"/>
    </row>
    <row r="1967" spans="2:10" s="19" customFormat="1" x14ac:dyDescent="0.25">
      <c r="B1967" s="35"/>
      <c r="C1967" s="36"/>
      <c r="J1967" s="38"/>
    </row>
    <row r="1968" spans="2:10" s="19" customFormat="1" x14ac:dyDescent="0.25">
      <c r="B1968" s="35"/>
      <c r="C1968" s="36"/>
      <c r="J1968" s="38"/>
    </row>
    <row r="1969" spans="2:10" s="19" customFormat="1" x14ac:dyDescent="0.25">
      <c r="B1969" s="35"/>
      <c r="C1969" s="36"/>
      <c r="J1969" s="38"/>
    </row>
    <row r="1970" spans="2:10" s="19" customFormat="1" x14ac:dyDescent="0.25">
      <c r="B1970" s="35"/>
      <c r="C1970" s="36"/>
      <c r="J1970" s="38"/>
    </row>
    <row r="1971" spans="2:10" s="19" customFormat="1" x14ac:dyDescent="0.25">
      <c r="B1971" s="35"/>
      <c r="C1971" s="36"/>
      <c r="J1971" s="38"/>
    </row>
    <row r="1972" spans="2:10" s="19" customFormat="1" x14ac:dyDescent="0.25">
      <c r="B1972" s="35"/>
      <c r="C1972" s="36"/>
      <c r="J1972" s="38"/>
    </row>
    <row r="1973" spans="2:10" s="19" customFormat="1" x14ac:dyDescent="0.25">
      <c r="B1973" s="35"/>
      <c r="C1973" s="36"/>
      <c r="J1973" s="38"/>
    </row>
    <row r="1974" spans="2:10" s="19" customFormat="1" x14ac:dyDescent="0.25">
      <c r="B1974" s="35"/>
      <c r="C1974" s="36"/>
      <c r="J1974" s="38"/>
    </row>
    <row r="1975" spans="2:10" s="19" customFormat="1" x14ac:dyDescent="0.25">
      <c r="B1975" s="35"/>
      <c r="C1975" s="36"/>
      <c r="J1975" s="38"/>
    </row>
    <row r="1976" spans="2:10" s="19" customFormat="1" x14ac:dyDescent="0.25">
      <c r="B1976" s="35"/>
      <c r="C1976" s="36"/>
      <c r="J1976" s="38"/>
    </row>
    <row r="1977" spans="2:10" s="19" customFormat="1" x14ac:dyDescent="0.25">
      <c r="B1977" s="35"/>
      <c r="C1977" s="36"/>
      <c r="J1977" s="38"/>
    </row>
    <row r="1978" spans="2:10" s="19" customFormat="1" x14ac:dyDescent="0.25">
      <c r="B1978" s="35"/>
      <c r="C1978" s="36"/>
      <c r="J1978" s="38"/>
    </row>
    <row r="1979" spans="2:10" s="19" customFormat="1" x14ac:dyDescent="0.25">
      <c r="B1979" s="35"/>
      <c r="C1979" s="36"/>
      <c r="J1979" s="38"/>
    </row>
    <row r="1980" spans="2:10" s="19" customFormat="1" x14ac:dyDescent="0.25">
      <c r="B1980" s="35"/>
      <c r="C1980" s="36"/>
      <c r="J1980" s="38"/>
    </row>
    <row r="1981" spans="2:10" s="19" customFormat="1" x14ac:dyDescent="0.25">
      <c r="B1981" s="35"/>
      <c r="C1981" s="36"/>
      <c r="J1981" s="38"/>
    </row>
    <row r="1982" spans="2:10" s="19" customFormat="1" x14ac:dyDescent="0.25">
      <c r="B1982" s="35"/>
      <c r="C1982" s="36"/>
      <c r="J1982" s="38"/>
    </row>
    <row r="1983" spans="2:10" s="19" customFormat="1" x14ac:dyDescent="0.25">
      <c r="B1983" s="35"/>
      <c r="C1983" s="36"/>
      <c r="J1983" s="38"/>
    </row>
    <row r="1984" spans="2:10" s="19" customFormat="1" x14ac:dyDescent="0.25">
      <c r="B1984" s="35"/>
      <c r="C1984" s="36"/>
      <c r="J1984" s="38"/>
    </row>
    <row r="1985" spans="2:10" s="19" customFormat="1" x14ac:dyDescent="0.25">
      <c r="B1985" s="35"/>
      <c r="C1985" s="36"/>
      <c r="J1985" s="38"/>
    </row>
    <row r="1986" spans="2:10" s="19" customFormat="1" x14ac:dyDescent="0.25">
      <c r="B1986" s="35"/>
      <c r="C1986" s="36"/>
      <c r="J1986" s="38"/>
    </row>
    <row r="1987" spans="2:10" s="19" customFormat="1" x14ac:dyDescent="0.25">
      <c r="B1987" s="35"/>
      <c r="C1987" s="36"/>
      <c r="J1987" s="38"/>
    </row>
    <row r="1988" spans="2:10" s="19" customFormat="1" x14ac:dyDescent="0.25">
      <c r="B1988" s="35"/>
      <c r="C1988" s="36"/>
      <c r="J1988" s="38"/>
    </row>
    <row r="1989" spans="2:10" s="19" customFormat="1" x14ac:dyDescent="0.25">
      <c r="B1989" s="35"/>
      <c r="C1989" s="36"/>
      <c r="J1989" s="38"/>
    </row>
    <row r="1990" spans="2:10" s="19" customFormat="1" x14ac:dyDescent="0.25">
      <c r="B1990" s="35"/>
      <c r="C1990" s="36"/>
      <c r="J1990" s="38"/>
    </row>
    <row r="1991" spans="2:10" s="19" customFormat="1" x14ac:dyDescent="0.25">
      <c r="B1991" s="35"/>
      <c r="C1991" s="36"/>
      <c r="J1991" s="38"/>
    </row>
    <row r="1992" spans="2:10" s="19" customFormat="1" x14ac:dyDescent="0.25">
      <c r="B1992" s="35"/>
      <c r="C1992" s="36"/>
      <c r="J1992" s="38"/>
    </row>
    <row r="1993" spans="2:10" s="19" customFormat="1" x14ac:dyDescent="0.25">
      <c r="B1993" s="35"/>
      <c r="C1993" s="36"/>
      <c r="J1993" s="38"/>
    </row>
    <row r="1994" spans="2:10" s="19" customFormat="1" x14ac:dyDescent="0.25">
      <c r="B1994" s="35"/>
      <c r="C1994" s="36"/>
      <c r="J1994" s="38"/>
    </row>
    <row r="1995" spans="2:10" s="19" customFormat="1" x14ac:dyDescent="0.25">
      <c r="B1995" s="35"/>
      <c r="C1995" s="36"/>
      <c r="J1995" s="38"/>
    </row>
    <row r="1996" spans="2:10" s="19" customFormat="1" x14ac:dyDescent="0.25">
      <c r="B1996" s="35"/>
      <c r="C1996" s="36"/>
      <c r="J1996" s="38"/>
    </row>
    <row r="1997" spans="2:10" s="19" customFormat="1" x14ac:dyDescent="0.25">
      <c r="B1997" s="35"/>
      <c r="C1997" s="36"/>
      <c r="J1997" s="38"/>
    </row>
    <row r="1998" spans="2:10" s="19" customFormat="1" x14ac:dyDescent="0.25">
      <c r="B1998" s="35"/>
      <c r="C1998" s="36"/>
      <c r="J1998" s="38"/>
    </row>
    <row r="1999" spans="2:10" s="19" customFormat="1" x14ac:dyDescent="0.25">
      <c r="B1999" s="35"/>
      <c r="C1999" s="36"/>
      <c r="J1999" s="38"/>
    </row>
    <row r="2000" spans="2:10" s="19" customFormat="1" x14ac:dyDescent="0.25">
      <c r="B2000" s="35"/>
      <c r="C2000" s="36"/>
      <c r="J2000" s="38"/>
    </row>
    <row r="2001" spans="2:10" s="19" customFormat="1" x14ac:dyDescent="0.25">
      <c r="B2001" s="35"/>
      <c r="C2001" s="36"/>
      <c r="J2001" s="38"/>
    </row>
    <row r="2002" spans="2:10" s="19" customFormat="1" x14ac:dyDescent="0.25">
      <c r="B2002" s="35"/>
      <c r="C2002" s="36"/>
      <c r="J2002" s="38"/>
    </row>
    <row r="2003" spans="2:10" s="19" customFormat="1" x14ac:dyDescent="0.25">
      <c r="B2003" s="35"/>
      <c r="C2003" s="36"/>
      <c r="J2003" s="38"/>
    </row>
    <row r="2004" spans="2:10" s="19" customFormat="1" x14ac:dyDescent="0.25">
      <c r="B2004" s="35"/>
      <c r="C2004" s="36"/>
      <c r="J2004" s="38"/>
    </row>
    <row r="2005" spans="2:10" s="19" customFormat="1" x14ac:dyDescent="0.25">
      <c r="B2005" s="35"/>
      <c r="C2005" s="36"/>
      <c r="J2005" s="38"/>
    </row>
    <row r="2006" spans="2:10" s="19" customFormat="1" x14ac:dyDescent="0.25">
      <c r="B2006" s="35"/>
      <c r="C2006" s="36"/>
      <c r="J2006" s="38"/>
    </row>
    <row r="2007" spans="2:10" s="19" customFormat="1" x14ac:dyDescent="0.25">
      <c r="B2007" s="35"/>
      <c r="C2007" s="36"/>
      <c r="J2007" s="38"/>
    </row>
    <row r="2008" spans="2:10" s="19" customFormat="1" x14ac:dyDescent="0.25">
      <c r="B2008" s="35"/>
      <c r="C2008" s="36"/>
      <c r="J2008" s="38"/>
    </row>
    <row r="2009" spans="2:10" s="19" customFormat="1" x14ac:dyDescent="0.25">
      <c r="B2009" s="35"/>
      <c r="C2009" s="36"/>
      <c r="J2009" s="38"/>
    </row>
    <row r="2010" spans="2:10" s="19" customFormat="1" x14ac:dyDescent="0.25">
      <c r="B2010" s="35"/>
      <c r="C2010" s="36"/>
      <c r="J2010" s="38"/>
    </row>
    <row r="2011" spans="2:10" s="19" customFormat="1" x14ac:dyDescent="0.25">
      <c r="B2011" s="35"/>
      <c r="C2011" s="36"/>
      <c r="J2011" s="38"/>
    </row>
    <row r="2012" spans="2:10" s="19" customFormat="1" x14ac:dyDescent="0.25">
      <c r="B2012" s="35"/>
      <c r="C2012" s="36"/>
      <c r="J2012" s="38"/>
    </row>
    <row r="2013" spans="2:10" s="19" customFormat="1" x14ac:dyDescent="0.25">
      <c r="B2013" s="35"/>
      <c r="C2013" s="36"/>
      <c r="J2013" s="38"/>
    </row>
    <row r="2014" spans="2:10" s="19" customFormat="1" x14ac:dyDescent="0.25">
      <c r="B2014" s="35"/>
      <c r="C2014" s="36"/>
      <c r="J2014" s="38"/>
    </row>
    <row r="2015" spans="2:10" s="19" customFormat="1" x14ac:dyDescent="0.25">
      <c r="B2015" s="35"/>
      <c r="C2015" s="36"/>
      <c r="J2015" s="38"/>
    </row>
    <row r="2016" spans="2:10" s="19" customFormat="1" x14ac:dyDescent="0.25">
      <c r="B2016" s="35"/>
      <c r="C2016" s="36"/>
      <c r="J2016" s="38"/>
    </row>
    <row r="2017" spans="2:10" s="19" customFormat="1" x14ac:dyDescent="0.25">
      <c r="B2017" s="35"/>
      <c r="C2017" s="36"/>
      <c r="J2017" s="38"/>
    </row>
    <row r="2018" spans="2:10" s="19" customFormat="1" x14ac:dyDescent="0.25">
      <c r="B2018" s="35"/>
      <c r="C2018" s="36"/>
      <c r="J2018" s="38"/>
    </row>
    <row r="2019" spans="2:10" s="19" customFormat="1" x14ac:dyDescent="0.25">
      <c r="B2019" s="35"/>
      <c r="C2019" s="36"/>
      <c r="J2019" s="38"/>
    </row>
    <row r="2020" spans="2:10" s="19" customFormat="1" x14ac:dyDescent="0.25">
      <c r="B2020" s="35"/>
      <c r="C2020" s="36"/>
      <c r="J2020" s="38"/>
    </row>
    <row r="2021" spans="2:10" s="19" customFormat="1" x14ac:dyDescent="0.25">
      <c r="B2021" s="35"/>
      <c r="C2021" s="36"/>
      <c r="J2021" s="38"/>
    </row>
    <row r="2022" spans="2:10" s="19" customFormat="1" x14ac:dyDescent="0.25">
      <c r="B2022" s="35"/>
      <c r="C2022" s="36"/>
      <c r="J2022" s="38"/>
    </row>
    <row r="2023" spans="2:10" s="19" customFormat="1" x14ac:dyDescent="0.25">
      <c r="B2023" s="35"/>
      <c r="C2023" s="36"/>
      <c r="J2023" s="38"/>
    </row>
    <row r="2024" spans="2:10" s="19" customFormat="1" x14ac:dyDescent="0.25">
      <c r="B2024" s="35"/>
      <c r="C2024" s="36"/>
      <c r="J2024" s="38"/>
    </row>
    <row r="2025" spans="2:10" s="19" customFormat="1" x14ac:dyDescent="0.25">
      <c r="B2025" s="35"/>
      <c r="C2025" s="36"/>
      <c r="J2025" s="38"/>
    </row>
    <row r="2026" spans="2:10" s="19" customFormat="1" x14ac:dyDescent="0.25">
      <c r="B2026" s="35"/>
      <c r="C2026" s="36"/>
      <c r="J2026" s="38"/>
    </row>
    <row r="2027" spans="2:10" s="19" customFormat="1" x14ac:dyDescent="0.25">
      <c r="B2027" s="35"/>
      <c r="C2027" s="36"/>
      <c r="J2027" s="38"/>
    </row>
    <row r="2028" spans="2:10" s="19" customFormat="1" x14ac:dyDescent="0.25">
      <c r="B2028" s="35"/>
      <c r="C2028" s="36"/>
      <c r="J2028" s="38"/>
    </row>
    <row r="2029" spans="2:10" s="19" customFormat="1" x14ac:dyDescent="0.25">
      <c r="B2029" s="35"/>
      <c r="C2029" s="36"/>
      <c r="J2029" s="38"/>
    </row>
    <row r="2030" spans="2:10" s="19" customFormat="1" x14ac:dyDescent="0.25">
      <c r="B2030" s="35"/>
      <c r="C2030" s="36"/>
      <c r="J2030" s="38"/>
    </row>
    <row r="2031" spans="2:10" s="19" customFormat="1" x14ac:dyDescent="0.25">
      <c r="B2031" s="35"/>
      <c r="C2031" s="36"/>
      <c r="J2031" s="38"/>
    </row>
    <row r="2032" spans="2:10" s="19" customFormat="1" x14ac:dyDescent="0.25">
      <c r="B2032" s="35"/>
      <c r="C2032" s="36"/>
      <c r="J2032" s="38"/>
    </row>
    <row r="2033" spans="2:10" s="19" customFormat="1" x14ac:dyDescent="0.25">
      <c r="B2033" s="35"/>
      <c r="C2033" s="36"/>
      <c r="J2033" s="38"/>
    </row>
    <row r="2034" spans="2:10" s="19" customFormat="1" x14ac:dyDescent="0.25">
      <c r="B2034" s="35"/>
      <c r="C2034" s="36"/>
      <c r="J2034" s="38"/>
    </row>
    <row r="2035" spans="2:10" s="19" customFormat="1" x14ac:dyDescent="0.25">
      <c r="B2035" s="35"/>
      <c r="C2035" s="36"/>
      <c r="J2035" s="38"/>
    </row>
    <row r="2036" spans="2:10" s="19" customFormat="1" x14ac:dyDescent="0.25">
      <c r="B2036" s="35"/>
      <c r="C2036" s="36"/>
      <c r="J2036" s="38"/>
    </row>
    <row r="2037" spans="2:10" s="19" customFormat="1" x14ac:dyDescent="0.25">
      <c r="B2037" s="35"/>
      <c r="C2037" s="36"/>
      <c r="J2037" s="38"/>
    </row>
    <row r="2038" spans="2:10" s="19" customFormat="1" x14ac:dyDescent="0.25">
      <c r="B2038" s="35"/>
      <c r="C2038" s="36"/>
      <c r="J2038" s="38"/>
    </row>
    <row r="2039" spans="2:10" s="19" customFormat="1" x14ac:dyDescent="0.25">
      <c r="B2039" s="35"/>
      <c r="C2039" s="36"/>
      <c r="J2039" s="38"/>
    </row>
    <row r="2040" spans="2:10" s="19" customFormat="1" x14ac:dyDescent="0.25">
      <c r="B2040" s="35"/>
      <c r="C2040" s="36"/>
      <c r="J2040" s="38"/>
    </row>
    <row r="2041" spans="2:10" s="19" customFormat="1" x14ac:dyDescent="0.25">
      <c r="B2041" s="35"/>
      <c r="C2041" s="36"/>
      <c r="J2041" s="38"/>
    </row>
    <row r="2042" spans="2:10" s="19" customFormat="1" x14ac:dyDescent="0.25">
      <c r="B2042" s="35"/>
      <c r="C2042" s="36"/>
      <c r="J2042" s="38"/>
    </row>
    <row r="2043" spans="2:10" s="19" customFormat="1" x14ac:dyDescent="0.25">
      <c r="B2043" s="35"/>
      <c r="C2043" s="36"/>
      <c r="J2043" s="38"/>
    </row>
    <row r="2044" spans="2:10" s="19" customFormat="1" x14ac:dyDescent="0.25">
      <c r="B2044" s="35"/>
      <c r="C2044" s="36"/>
      <c r="J2044" s="38"/>
    </row>
    <row r="2045" spans="2:10" s="19" customFormat="1" x14ac:dyDescent="0.25">
      <c r="B2045" s="35"/>
      <c r="C2045" s="36"/>
      <c r="J2045" s="38"/>
    </row>
    <row r="2046" spans="2:10" s="19" customFormat="1" x14ac:dyDescent="0.25">
      <c r="B2046" s="35"/>
      <c r="C2046" s="36"/>
      <c r="J2046" s="38"/>
    </row>
    <row r="2047" spans="2:10" s="19" customFormat="1" x14ac:dyDescent="0.25">
      <c r="B2047" s="35"/>
      <c r="C2047" s="36"/>
      <c r="J2047" s="38"/>
    </row>
    <row r="2048" spans="2:10" s="19" customFormat="1" x14ac:dyDescent="0.25">
      <c r="B2048" s="35"/>
      <c r="C2048" s="36"/>
      <c r="J2048" s="38"/>
    </row>
    <row r="2049" spans="2:10" s="19" customFormat="1" x14ac:dyDescent="0.25">
      <c r="B2049" s="35"/>
      <c r="C2049" s="36"/>
      <c r="J2049" s="38"/>
    </row>
    <row r="2050" spans="2:10" s="19" customFormat="1" x14ac:dyDescent="0.25">
      <c r="B2050" s="35"/>
      <c r="C2050" s="36"/>
      <c r="J2050" s="38"/>
    </row>
    <row r="2051" spans="2:10" s="19" customFormat="1" x14ac:dyDescent="0.25">
      <c r="B2051" s="35"/>
      <c r="C2051" s="36"/>
      <c r="J2051" s="38"/>
    </row>
    <row r="2052" spans="2:10" s="19" customFormat="1" x14ac:dyDescent="0.25">
      <c r="B2052" s="35"/>
      <c r="C2052" s="36"/>
      <c r="J2052" s="38"/>
    </row>
    <row r="2053" spans="2:10" s="19" customFormat="1" x14ac:dyDescent="0.25">
      <c r="B2053" s="35"/>
      <c r="C2053" s="36"/>
      <c r="J2053" s="38"/>
    </row>
    <row r="2054" spans="2:10" s="19" customFormat="1" x14ac:dyDescent="0.25">
      <c r="B2054" s="35"/>
      <c r="C2054" s="36"/>
      <c r="J2054" s="38"/>
    </row>
    <row r="2055" spans="2:10" s="19" customFormat="1" x14ac:dyDescent="0.25">
      <c r="B2055" s="35"/>
      <c r="C2055" s="36"/>
      <c r="J2055" s="38"/>
    </row>
    <row r="2056" spans="2:10" s="19" customFormat="1" x14ac:dyDescent="0.25">
      <c r="B2056" s="35"/>
      <c r="C2056" s="36"/>
      <c r="J2056" s="38"/>
    </row>
    <row r="2057" spans="2:10" s="19" customFormat="1" x14ac:dyDescent="0.25">
      <c r="B2057" s="35"/>
      <c r="C2057" s="36"/>
      <c r="J2057" s="38"/>
    </row>
    <row r="2058" spans="2:10" s="19" customFormat="1" x14ac:dyDescent="0.25">
      <c r="B2058" s="35"/>
      <c r="C2058" s="36"/>
      <c r="J2058" s="38"/>
    </row>
    <row r="2059" spans="2:10" s="19" customFormat="1" x14ac:dyDescent="0.25">
      <c r="B2059" s="35"/>
      <c r="C2059" s="36"/>
      <c r="J2059" s="38"/>
    </row>
    <row r="2060" spans="2:10" s="19" customFormat="1" x14ac:dyDescent="0.25">
      <c r="B2060" s="35"/>
      <c r="C2060" s="36"/>
      <c r="J2060" s="38"/>
    </row>
    <row r="2061" spans="2:10" s="19" customFormat="1" x14ac:dyDescent="0.25">
      <c r="B2061" s="35"/>
      <c r="C2061" s="36"/>
      <c r="J2061" s="38"/>
    </row>
    <row r="2062" spans="2:10" s="19" customFormat="1" x14ac:dyDescent="0.25">
      <c r="B2062" s="35"/>
      <c r="C2062" s="36"/>
      <c r="J2062" s="38"/>
    </row>
    <row r="2063" spans="2:10" s="19" customFormat="1" x14ac:dyDescent="0.25">
      <c r="B2063" s="35"/>
      <c r="C2063" s="36"/>
      <c r="J2063" s="38"/>
    </row>
    <row r="2064" spans="2:10" s="19" customFormat="1" x14ac:dyDescent="0.25">
      <c r="B2064" s="35"/>
      <c r="C2064" s="36"/>
      <c r="J2064" s="38"/>
    </row>
    <row r="2065" spans="2:10" s="19" customFormat="1" x14ac:dyDescent="0.25">
      <c r="B2065" s="35"/>
      <c r="C2065" s="36"/>
      <c r="J2065" s="38"/>
    </row>
    <row r="2066" spans="2:10" s="19" customFormat="1" x14ac:dyDescent="0.25">
      <c r="B2066" s="35"/>
      <c r="C2066" s="36"/>
      <c r="J2066" s="38"/>
    </row>
    <row r="2067" spans="2:10" s="19" customFormat="1" x14ac:dyDescent="0.25">
      <c r="B2067" s="35"/>
      <c r="C2067" s="36"/>
      <c r="J2067" s="38"/>
    </row>
    <row r="2068" spans="2:10" s="19" customFormat="1" x14ac:dyDescent="0.25">
      <c r="B2068" s="35"/>
      <c r="C2068" s="36"/>
      <c r="J2068" s="38"/>
    </row>
    <row r="2069" spans="2:10" s="19" customFormat="1" x14ac:dyDescent="0.25">
      <c r="B2069" s="35"/>
      <c r="C2069" s="36"/>
      <c r="J2069" s="38"/>
    </row>
    <row r="2070" spans="2:10" s="19" customFormat="1" x14ac:dyDescent="0.25">
      <c r="B2070" s="35"/>
      <c r="C2070" s="36"/>
      <c r="J2070" s="38"/>
    </row>
    <row r="2071" spans="2:10" s="19" customFormat="1" x14ac:dyDescent="0.25">
      <c r="B2071" s="35"/>
      <c r="C2071" s="36"/>
      <c r="J2071" s="38"/>
    </row>
    <row r="2072" spans="2:10" s="19" customFormat="1" x14ac:dyDescent="0.25">
      <c r="B2072" s="35"/>
      <c r="C2072" s="36"/>
      <c r="J2072" s="38"/>
    </row>
    <row r="2073" spans="2:10" s="19" customFormat="1" x14ac:dyDescent="0.25">
      <c r="B2073" s="35"/>
      <c r="C2073" s="36"/>
      <c r="J2073" s="38"/>
    </row>
    <row r="2074" spans="2:10" s="19" customFormat="1" x14ac:dyDescent="0.25">
      <c r="B2074" s="35"/>
      <c r="C2074" s="36"/>
      <c r="J2074" s="38"/>
    </row>
    <row r="2075" spans="2:10" s="19" customFormat="1" x14ac:dyDescent="0.25">
      <c r="B2075" s="35"/>
      <c r="C2075" s="36"/>
      <c r="J2075" s="38"/>
    </row>
    <row r="2076" spans="2:10" s="19" customFormat="1" x14ac:dyDescent="0.25">
      <c r="B2076" s="35"/>
      <c r="C2076" s="36"/>
      <c r="J2076" s="38"/>
    </row>
    <row r="2077" spans="2:10" s="19" customFormat="1" x14ac:dyDescent="0.25">
      <c r="B2077" s="35"/>
      <c r="C2077" s="36"/>
      <c r="J2077" s="38"/>
    </row>
    <row r="2078" spans="2:10" s="19" customFormat="1" x14ac:dyDescent="0.25">
      <c r="B2078" s="35"/>
      <c r="C2078" s="36"/>
      <c r="J2078" s="38"/>
    </row>
    <row r="2079" spans="2:10" s="19" customFormat="1" x14ac:dyDescent="0.25">
      <c r="B2079" s="35"/>
      <c r="C2079" s="36"/>
      <c r="J2079" s="38"/>
    </row>
    <row r="2080" spans="2:10" s="19" customFormat="1" x14ac:dyDescent="0.25">
      <c r="B2080" s="35"/>
      <c r="C2080" s="36"/>
      <c r="J2080" s="38"/>
    </row>
    <row r="2081" spans="2:10" s="19" customFormat="1" x14ac:dyDescent="0.25">
      <c r="B2081" s="35"/>
      <c r="C2081" s="36"/>
      <c r="J2081" s="38"/>
    </row>
    <row r="2082" spans="2:10" s="19" customFormat="1" x14ac:dyDescent="0.25">
      <c r="B2082" s="35"/>
      <c r="C2082" s="36"/>
      <c r="J2082" s="38"/>
    </row>
    <row r="2083" spans="2:10" s="19" customFormat="1" x14ac:dyDescent="0.25">
      <c r="B2083" s="35"/>
      <c r="C2083" s="36"/>
      <c r="J2083" s="38"/>
    </row>
    <row r="2084" spans="2:10" s="19" customFormat="1" x14ac:dyDescent="0.25">
      <c r="B2084" s="35"/>
      <c r="C2084" s="36"/>
      <c r="J2084" s="38"/>
    </row>
    <row r="2085" spans="2:10" s="19" customFormat="1" x14ac:dyDescent="0.25">
      <c r="B2085" s="35"/>
      <c r="C2085" s="36"/>
      <c r="J2085" s="38"/>
    </row>
    <row r="2086" spans="2:10" s="19" customFormat="1" x14ac:dyDescent="0.25">
      <c r="B2086" s="35"/>
      <c r="C2086" s="36"/>
      <c r="J2086" s="38"/>
    </row>
    <row r="2087" spans="2:10" s="19" customFormat="1" x14ac:dyDescent="0.25">
      <c r="B2087" s="35"/>
      <c r="C2087" s="36"/>
      <c r="J2087" s="38"/>
    </row>
    <row r="2088" spans="2:10" s="19" customFormat="1" x14ac:dyDescent="0.25">
      <c r="B2088" s="35"/>
      <c r="C2088" s="36"/>
      <c r="J2088" s="38"/>
    </row>
    <row r="2089" spans="2:10" s="19" customFormat="1" x14ac:dyDescent="0.25">
      <c r="B2089" s="35"/>
      <c r="C2089" s="36"/>
      <c r="J2089" s="38"/>
    </row>
    <row r="2090" spans="2:10" s="19" customFormat="1" x14ac:dyDescent="0.25">
      <c r="B2090" s="35"/>
      <c r="C2090" s="36"/>
      <c r="J2090" s="38"/>
    </row>
    <row r="2091" spans="2:10" s="19" customFormat="1" x14ac:dyDescent="0.25">
      <c r="B2091" s="35"/>
      <c r="C2091" s="36"/>
      <c r="J2091" s="38"/>
    </row>
    <row r="2092" spans="2:10" s="19" customFormat="1" x14ac:dyDescent="0.25">
      <c r="B2092" s="35"/>
      <c r="C2092" s="36"/>
      <c r="J2092" s="38"/>
    </row>
    <row r="2093" spans="2:10" s="19" customFormat="1" x14ac:dyDescent="0.25">
      <c r="B2093" s="35"/>
      <c r="C2093" s="36"/>
      <c r="J2093" s="38"/>
    </row>
    <row r="2094" spans="2:10" s="19" customFormat="1" x14ac:dyDescent="0.25">
      <c r="B2094" s="35"/>
      <c r="C2094" s="36"/>
      <c r="J2094" s="38"/>
    </row>
    <row r="2095" spans="2:10" s="19" customFormat="1" x14ac:dyDescent="0.25">
      <c r="B2095" s="35"/>
      <c r="C2095" s="36"/>
      <c r="J2095" s="38"/>
    </row>
    <row r="2096" spans="2:10" s="19" customFormat="1" x14ac:dyDescent="0.25">
      <c r="B2096" s="35"/>
      <c r="C2096" s="36"/>
      <c r="J2096" s="38"/>
    </row>
    <row r="2097" spans="2:10" s="19" customFormat="1" x14ac:dyDescent="0.25">
      <c r="B2097" s="35"/>
      <c r="C2097" s="36"/>
      <c r="J2097" s="38"/>
    </row>
    <row r="2098" spans="2:10" s="19" customFormat="1" x14ac:dyDescent="0.25">
      <c r="B2098" s="35"/>
      <c r="C2098" s="36"/>
      <c r="J2098" s="38"/>
    </row>
    <row r="2099" spans="2:10" s="19" customFormat="1" x14ac:dyDescent="0.25">
      <c r="B2099" s="35"/>
      <c r="C2099" s="36"/>
      <c r="J2099" s="38"/>
    </row>
    <row r="2100" spans="2:10" s="19" customFormat="1" x14ac:dyDescent="0.25">
      <c r="B2100" s="35"/>
      <c r="C2100" s="36"/>
      <c r="J2100" s="38"/>
    </row>
    <row r="2101" spans="2:10" s="19" customFormat="1" x14ac:dyDescent="0.25">
      <c r="B2101" s="35"/>
      <c r="C2101" s="36"/>
      <c r="J2101" s="38"/>
    </row>
    <row r="2102" spans="2:10" s="19" customFormat="1" x14ac:dyDescent="0.25">
      <c r="B2102" s="35"/>
      <c r="C2102" s="36"/>
      <c r="J2102" s="38"/>
    </row>
    <row r="2103" spans="2:10" s="19" customFormat="1" x14ac:dyDescent="0.25">
      <c r="B2103" s="35"/>
      <c r="C2103" s="36"/>
      <c r="J2103" s="38"/>
    </row>
    <row r="2104" spans="2:10" s="19" customFormat="1" x14ac:dyDescent="0.25">
      <c r="B2104" s="35"/>
      <c r="C2104" s="36"/>
      <c r="J2104" s="38"/>
    </row>
    <row r="2105" spans="2:10" s="19" customFormat="1" x14ac:dyDescent="0.25">
      <c r="B2105" s="35"/>
      <c r="C2105" s="36"/>
      <c r="J2105" s="38"/>
    </row>
    <row r="2106" spans="2:10" s="19" customFormat="1" x14ac:dyDescent="0.25">
      <c r="B2106" s="35"/>
      <c r="C2106" s="36"/>
      <c r="J2106" s="38"/>
    </row>
    <row r="2107" spans="2:10" s="19" customFormat="1" x14ac:dyDescent="0.25">
      <c r="B2107" s="35"/>
      <c r="C2107" s="36"/>
      <c r="J2107" s="38"/>
    </row>
    <row r="2108" spans="2:10" s="19" customFormat="1" x14ac:dyDescent="0.25">
      <c r="B2108" s="35"/>
      <c r="C2108" s="36"/>
      <c r="J2108" s="38"/>
    </row>
    <row r="2109" spans="2:10" s="19" customFormat="1" x14ac:dyDescent="0.25">
      <c r="B2109" s="35"/>
      <c r="C2109" s="36"/>
      <c r="J2109" s="38"/>
    </row>
    <row r="2110" spans="2:10" s="19" customFormat="1" x14ac:dyDescent="0.25">
      <c r="B2110" s="35"/>
      <c r="C2110" s="36"/>
      <c r="J2110" s="38"/>
    </row>
    <row r="2111" spans="2:10" s="19" customFormat="1" x14ac:dyDescent="0.25">
      <c r="B2111" s="35"/>
      <c r="C2111" s="36"/>
      <c r="J2111" s="38"/>
    </row>
    <row r="2112" spans="2:10" s="19" customFormat="1" x14ac:dyDescent="0.25">
      <c r="B2112" s="35"/>
      <c r="C2112" s="36"/>
      <c r="J2112" s="38"/>
    </row>
    <row r="2113" spans="2:10" s="19" customFormat="1" x14ac:dyDescent="0.25">
      <c r="B2113" s="35"/>
      <c r="C2113" s="36"/>
      <c r="J2113" s="38"/>
    </row>
    <row r="2114" spans="2:10" s="19" customFormat="1" x14ac:dyDescent="0.25">
      <c r="B2114" s="35"/>
      <c r="C2114" s="36"/>
      <c r="J2114" s="38"/>
    </row>
    <row r="2115" spans="2:10" s="19" customFormat="1" x14ac:dyDescent="0.25">
      <c r="B2115" s="35"/>
      <c r="C2115" s="36"/>
      <c r="J2115" s="38"/>
    </row>
    <row r="2116" spans="2:10" s="19" customFormat="1" x14ac:dyDescent="0.25">
      <c r="B2116" s="35"/>
      <c r="C2116" s="36"/>
      <c r="J2116" s="38"/>
    </row>
    <row r="2117" spans="2:10" s="19" customFormat="1" x14ac:dyDescent="0.25">
      <c r="B2117" s="35"/>
      <c r="C2117" s="36"/>
      <c r="J2117" s="38"/>
    </row>
    <row r="2118" spans="2:10" s="19" customFormat="1" x14ac:dyDescent="0.25">
      <c r="B2118" s="35"/>
      <c r="C2118" s="36"/>
      <c r="J2118" s="38"/>
    </row>
    <row r="2119" spans="2:10" s="19" customFormat="1" x14ac:dyDescent="0.25">
      <c r="B2119" s="35"/>
      <c r="C2119" s="36"/>
      <c r="J2119" s="38"/>
    </row>
    <row r="2120" spans="2:10" s="19" customFormat="1" x14ac:dyDescent="0.25">
      <c r="B2120" s="35"/>
      <c r="C2120" s="36"/>
      <c r="J2120" s="38"/>
    </row>
    <row r="2121" spans="2:10" s="19" customFormat="1" x14ac:dyDescent="0.25">
      <c r="B2121" s="35"/>
      <c r="C2121" s="36"/>
      <c r="J2121" s="38"/>
    </row>
    <row r="2122" spans="2:10" s="19" customFormat="1" x14ac:dyDescent="0.25">
      <c r="B2122" s="35"/>
      <c r="C2122" s="36"/>
      <c r="J2122" s="38"/>
    </row>
    <row r="2123" spans="2:10" s="19" customFormat="1" x14ac:dyDescent="0.25">
      <c r="B2123" s="35"/>
      <c r="C2123" s="36"/>
      <c r="J2123" s="38"/>
    </row>
    <row r="2124" spans="2:10" s="19" customFormat="1" x14ac:dyDescent="0.25">
      <c r="B2124" s="35"/>
      <c r="C2124" s="36"/>
      <c r="J2124" s="38"/>
    </row>
    <row r="2125" spans="2:10" s="19" customFormat="1" x14ac:dyDescent="0.25">
      <c r="B2125" s="35"/>
      <c r="C2125" s="36"/>
      <c r="J2125" s="38"/>
    </row>
    <row r="2126" spans="2:10" s="19" customFormat="1" x14ac:dyDescent="0.25">
      <c r="B2126" s="35"/>
      <c r="C2126" s="36"/>
      <c r="J2126" s="38"/>
    </row>
    <row r="2127" spans="2:10" s="19" customFormat="1" x14ac:dyDescent="0.25">
      <c r="B2127" s="35"/>
      <c r="C2127" s="36"/>
      <c r="J2127" s="38"/>
    </row>
    <row r="2128" spans="2:10" s="19" customFormat="1" x14ac:dyDescent="0.25">
      <c r="B2128" s="35"/>
      <c r="C2128" s="36"/>
      <c r="J2128" s="38"/>
    </row>
    <row r="2129" spans="2:10" s="19" customFormat="1" x14ac:dyDescent="0.25">
      <c r="B2129" s="35"/>
      <c r="C2129" s="36"/>
      <c r="J2129" s="38"/>
    </row>
    <row r="2130" spans="2:10" s="19" customFormat="1" x14ac:dyDescent="0.25">
      <c r="B2130" s="35"/>
      <c r="C2130" s="36"/>
      <c r="J2130" s="38"/>
    </row>
    <row r="2131" spans="2:10" s="19" customFormat="1" x14ac:dyDescent="0.25">
      <c r="B2131" s="35"/>
      <c r="C2131" s="36"/>
      <c r="J2131" s="38"/>
    </row>
    <row r="2132" spans="2:10" s="19" customFormat="1" x14ac:dyDescent="0.25">
      <c r="B2132" s="35"/>
      <c r="C2132" s="36"/>
      <c r="J2132" s="38"/>
    </row>
    <row r="2133" spans="2:10" s="19" customFormat="1" x14ac:dyDescent="0.25">
      <c r="B2133" s="35"/>
      <c r="C2133" s="36"/>
      <c r="J2133" s="38"/>
    </row>
    <row r="2134" spans="2:10" s="19" customFormat="1" x14ac:dyDescent="0.25">
      <c r="B2134" s="35"/>
      <c r="C2134" s="36"/>
      <c r="J2134" s="38"/>
    </row>
    <row r="2135" spans="2:10" s="19" customFormat="1" x14ac:dyDescent="0.25">
      <c r="B2135" s="35"/>
      <c r="C2135" s="36"/>
      <c r="J2135" s="38"/>
    </row>
    <row r="2136" spans="2:10" s="19" customFormat="1" x14ac:dyDescent="0.25">
      <c r="B2136" s="35"/>
      <c r="C2136" s="36"/>
      <c r="J2136" s="38"/>
    </row>
    <row r="2137" spans="2:10" s="19" customFormat="1" x14ac:dyDescent="0.25">
      <c r="B2137" s="35"/>
      <c r="C2137" s="36"/>
      <c r="J2137" s="38"/>
    </row>
    <row r="2138" spans="2:10" s="19" customFormat="1" x14ac:dyDescent="0.25">
      <c r="B2138" s="35"/>
      <c r="C2138" s="36"/>
      <c r="J2138" s="38"/>
    </row>
    <row r="2139" spans="2:10" s="19" customFormat="1" x14ac:dyDescent="0.25">
      <c r="B2139" s="35"/>
      <c r="C2139" s="36"/>
      <c r="J2139" s="38"/>
    </row>
    <row r="2140" spans="2:10" s="19" customFormat="1" x14ac:dyDescent="0.25">
      <c r="B2140" s="35"/>
      <c r="C2140" s="36"/>
      <c r="J2140" s="38"/>
    </row>
    <row r="2141" spans="2:10" s="19" customFormat="1" x14ac:dyDescent="0.25">
      <c r="B2141" s="35"/>
      <c r="C2141" s="36"/>
      <c r="J2141" s="38"/>
    </row>
    <row r="2142" spans="2:10" s="19" customFormat="1" x14ac:dyDescent="0.25">
      <c r="B2142" s="35"/>
      <c r="C2142" s="36"/>
      <c r="J2142" s="38"/>
    </row>
    <row r="2143" spans="2:10" s="19" customFormat="1" x14ac:dyDescent="0.25">
      <c r="B2143" s="35"/>
      <c r="C2143" s="36"/>
      <c r="J2143" s="38"/>
    </row>
    <row r="2144" spans="2:10" s="19" customFormat="1" x14ac:dyDescent="0.25">
      <c r="B2144" s="35"/>
      <c r="C2144" s="36"/>
      <c r="J2144" s="38"/>
    </row>
    <row r="2145" spans="2:10" s="19" customFormat="1" x14ac:dyDescent="0.25">
      <c r="B2145" s="35"/>
      <c r="C2145" s="36"/>
      <c r="J2145" s="38"/>
    </row>
    <row r="2146" spans="2:10" s="19" customFormat="1" x14ac:dyDescent="0.25">
      <c r="B2146" s="35"/>
      <c r="C2146" s="36"/>
      <c r="J2146" s="38"/>
    </row>
    <row r="2147" spans="2:10" s="19" customFormat="1" x14ac:dyDescent="0.25">
      <c r="B2147" s="35"/>
      <c r="C2147" s="36"/>
      <c r="J2147" s="38"/>
    </row>
    <row r="2148" spans="2:10" s="19" customFormat="1" x14ac:dyDescent="0.25">
      <c r="B2148" s="35"/>
      <c r="C2148" s="36"/>
      <c r="J2148" s="38"/>
    </row>
    <row r="2149" spans="2:10" s="19" customFormat="1" x14ac:dyDescent="0.25">
      <c r="B2149" s="35"/>
      <c r="C2149" s="36"/>
      <c r="J2149" s="38"/>
    </row>
    <row r="2150" spans="2:10" s="19" customFormat="1" x14ac:dyDescent="0.25">
      <c r="B2150" s="35"/>
      <c r="C2150" s="36"/>
      <c r="J2150" s="38"/>
    </row>
    <row r="2151" spans="2:10" s="19" customFormat="1" x14ac:dyDescent="0.25">
      <c r="B2151" s="35"/>
      <c r="C2151" s="36"/>
      <c r="J2151" s="38"/>
    </row>
    <row r="2152" spans="2:10" s="19" customFormat="1" x14ac:dyDescent="0.25">
      <c r="B2152" s="35"/>
      <c r="C2152" s="36"/>
      <c r="J2152" s="38"/>
    </row>
    <row r="2153" spans="2:10" s="19" customFormat="1" x14ac:dyDescent="0.25">
      <c r="B2153" s="35"/>
      <c r="C2153" s="36"/>
      <c r="J2153" s="38"/>
    </row>
    <row r="2154" spans="2:10" s="19" customFormat="1" x14ac:dyDescent="0.25">
      <c r="B2154" s="35"/>
      <c r="C2154" s="36"/>
      <c r="J2154" s="38"/>
    </row>
    <row r="2155" spans="2:10" s="19" customFormat="1" x14ac:dyDescent="0.25">
      <c r="B2155" s="35"/>
      <c r="C2155" s="36"/>
      <c r="J2155" s="38"/>
    </row>
    <row r="2156" spans="2:10" s="19" customFormat="1" x14ac:dyDescent="0.25">
      <c r="B2156" s="35"/>
      <c r="C2156" s="36"/>
      <c r="J2156" s="38"/>
    </row>
    <row r="2157" spans="2:10" s="19" customFormat="1" x14ac:dyDescent="0.25">
      <c r="B2157" s="35"/>
      <c r="C2157" s="36"/>
      <c r="J2157" s="38"/>
    </row>
    <row r="2158" spans="2:10" s="19" customFormat="1" x14ac:dyDescent="0.25">
      <c r="B2158" s="35"/>
      <c r="C2158" s="36"/>
      <c r="J2158" s="38"/>
    </row>
    <row r="2159" spans="2:10" s="19" customFormat="1" x14ac:dyDescent="0.25">
      <c r="B2159" s="35"/>
      <c r="C2159" s="36"/>
      <c r="J2159" s="38"/>
    </row>
    <row r="2160" spans="2:10" s="19" customFormat="1" x14ac:dyDescent="0.25">
      <c r="B2160" s="35"/>
      <c r="C2160" s="36"/>
      <c r="J2160" s="38"/>
    </row>
    <row r="2161" spans="2:10" s="19" customFormat="1" x14ac:dyDescent="0.25">
      <c r="B2161" s="35"/>
      <c r="C2161" s="36"/>
      <c r="J2161" s="38"/>
    </row>
    <row r="2162" spans="2:10" s="19" customFormat="1" x14ac:dyDescent="0.25">
      <c r="B2162" s="35"/>
      <c r="C2162" s="36"/>
      <c r="J2162" s="38"/>
    </row>
    <row r="2163" spans="2:10" s="19" customFormat="1" x14ac:dyDescent="0.25">
      <c r="B2163" s="35"/>
      <c r="C2163" s="36"/>
      <c r="J2163" s="38"/>
    </row>
    <row r="2164" spans="2:10" s="19" customFormat="1" x14ac:dyDescent="0.25">
      <c r="B2164" s="35"/>
      <c r="C2164" s="36"/>
      <c r="J2164" s="38"/>
    </row>
    <row r="2165" spans="2:10" s="19" customFormat="1" x14ac:dyDescent="0.25">
      <c r="B2165" s="35"/>
      <c r="C2165" s="36"/>
      <c r="J2165" s="38"/>
    </row>
    <row r="2166" spans="2:10" s="19" customFormat="1" x14ac:dyDescent="0.25">
      <c r="B2166" s="35"/>
      <c r="C2166" s="36"/>
      <c r="J2166" s="38"/>
    </row>
    <row r="2167" spans="2:10" s="19" customFormat="1" x14ac:dyDescent="0.25">
      <c r="B2167" s="35"/>
      <c r="C2167" s="36"/>
      <c r="J2167" s="38"/>
    </row>
    <row r="2168" spans="2:10" s="19" customFormat="1" x14ac:dyDescent="0.25">
      <c r="B2168" s="35"/>
      <c r="C2168" s="36"/>
      <c r="J2168" s="38"/>
    </row>
    <row r="2169" spans="2:10" s="19" customFormat="1" x14ac:dyDescent="0.25">
      <c r="B2169" s="35"/>
      <c r="C2169" s="36"/>
      <c r="J2169" s="38"/>
    </row>
    <row r="2170" spans="2:10" s="19" customFormat="1" x14ac:dyDescent="0.25">
      <c r="B2170" s="35"/>
      <c r="C2170" s="36"/>
      <c r="J2170" s="38"/>
    </row>
    <row r="2171" spans="2:10" s="19" customFormat="1" x14ac:dyDescent="0.25">
      <c r="B2171" s="35"/>
      <c r="C2171" s="36"/>
      <c r="J2171" s="38"/>
    </row>
    <row r="2172" spans="2:10" s="19" customFormat="1" x14ac:dyDescent="0.25">
      <c r="B2172" s="35"/>
      <c r="C2172" s="36"/>
      <c r="J2172" s="38"/>
    </row>
    <row r="2173" spans="2:10" s="19" customFormat="1" x14ac:dyDescent="0.25">
      <c r="B2173" s="35"/>
      <c r="C2173" s="36"/>
      <c r="J2173" s="38"/>
    </row>
    <row r="2174" spans="2:10" s="19" customFormat="1" x14ac:dyDescent="0.25">
      <c r="B2174" s="35"/>
      <c r="C2174" s="36"/>
      <c r="J2174" s="38"/>
    </row>
    <row r="2175" spans="2:10" s="19" customFormat="1" x14ac:dyDescent="0.25">
      <c r="B2175" s="35"/>
      <c r="C2175" s="36"/>
      <c r="J2175" s="38"/>
    </row>
    <row r="2176" spans="2:10" s="19" customFormat="1" x14ac:dyDescent="0.25">
      <c r="B2176" s="35"/>
      <c r="C2176" s="36"/>
      <c r="J2176" s="38"/>
    </row>
    <row r="2177" spans="2:10" s="19" customFormat="1" x14ac:dyDescent="0.25">
      <c r="B2177" s="35"/>
      <c r="C2177" s="36"/>
      <c r="J2177" s="38"/>
    </row>
    <row r="2178" spans="2:10" s="19" customFormat="1" x14ac:dyDescent="0.25">
      <c r="B2178" s="35"/>
      <c r="C2178" s="36"/>
      <c r="J2178" s="38"/>
    </row>
    <row r="2179" spans="2:10" s="19" customFormat="1" x14ac:dyDescent="0.25">
      <c r="B2179" s="35"/>
      <c r="C2179" s="36"/>
      <c r="J2179" s="38"/>
    </row>
    <row r="2180" spans="2:10" s="19" customFormat="1" x14ac:dyDescent="0.25">
      <c r="B2180" s="35"/>
      <c r="C2180" s="36"/>
      <c r="J2180" s="38"/>
    </row>
    <row r="2181" spans="2:10" s="19" customFormat="1" x14ac:dyDescent="0.25">
      <c r="B2181" s="35"/>
      <c r="C2181" s="36"/>
      <c r="J2181" s="38"/>
    </row>
    <row r="2182" spans="2:10" s="19" customFormat="1" x14ac:dyDescent="0.25">
      <c r="B2182" s="35"/>
      <c r="C2182" s="36"/>
      <c r="J2182" s="38"/>
    </row>
    <row r="2183" spans="2:10" s="19" customFormat="1" x14ac:dyDescent="0.25">
      <c r="B2183" s="35"/>
      <c r="C2183" s="36"/>
      <c r="J2183" s="38"/>
    </row>
    <row r="2184" spans="2:10" s="19" customFormat="1" x14ac:dyDescent="0.25">
      <c r="B2184" s="35"/>
      <c r="C2184" s="36"/>
      <c r="J2184" s="38"/>
    </row>
    <row r="2185" spans="2:10" s="19" customFormat="1" x14ac:dyDescent="0.25">
      <c r="B2185" s="35"/>
      <c r="C2185" s="36"/>
      <c r="J2185" s="38"/>
    </row>
    <row r="2186" spans="2:10" s="19" customFormat="1" x14ac:dyDescent="0.25">
      <c r="B2186" s="35"/>
      <c r="C2186" s="36"/>
      <c r="J2186" s="38"/>
    </row>
    <row r="2187" spans="2:10" s="19" customFormat="1" x14ac:dyDescent="0.25">
      <c r="B2187" s="35"/>
      <c r="C2187" s="36"/>
      <c r="J2187" s="38"/>
    </row>
    <row r="2188" spans="2:10" s="19" customFormat="1" x14ac:dyDescent="0.25">
      <c r="B2188" s="35"/>
      <c r="C2188" s="36"/>
      <c r="J2188" s="38"/>
    </row>
    <row r="2189" spans="2:10" s="19" customFormat="1" x14ac:dyDescent="0.25">
      <c r="B2189" s="35"/>
      <c r="C2189" s="36"/>
      <c r="J2189" s="38"/>
    </row>
    <row r="2190" spans="2:10" s="19" customFormat="1" x14ac:dyDescent="0.25">
      <c r="B2190" s="35"/>
      <c r="C2190" s="36"/>
      <c r="J2190" s="38"/>
    </row>
    <row r="2191" spans="2:10" s="19" customFormat="1" x14ac:dyDescent="0.25">
      <c r="B2191" s="35"/>
      <c r="C2191" s="36"/>
      <c r="J2191" s="38"/>
    </row>
    <row r="2192" spans="2:10" s="19" customFormat="1" x14ac:dyDescent="0.25">
      <c r="B2192" s="35"/>
      <c r="C2192" s="36"/>
      <c r="J2192" s="38"/>
    </row>
    <row r="2193" spans="2:10" s="19" customFormat="1" x14ac:dyDescent="0.25">
      <c r="B2193" s="35"/>
      <c r="C2193" s="36"/>
      <c r="J2193" s="38"/>
    </row>
    <row r="2194" spans="2:10" s="19" customFormat="1" x14ac:dyDescent="0.25">
      <c r="B2194" s="35"/>
      <c r="C2194" s="36"/>
      <c r="J2194" s="38"/>
    </row>
    <row r="2195" spans="2:10" s="19" customFormat="1" x14ac:dyDescent="0.25">
      <c r="B2195" s="35"/>
      <c r="C2195" s="36"/>
      <c r="J2195" s="38"/>
    </row>
    <row r="2196" spans="2:10" s="19" customFormat="1" x14ac:dyDescent="0.25">
      <c r="B2196" s="35"/>
      <c r="C2196" s="36"/>
      <c r="J2196" s="38"/>
    </row>
    <row r="2197" spans="2:10" s="19" customFormat="1" x14ac:dyDescent="0.25">
      <c r="B2197" s="35"/>
      <c r="C2197" s="36"/>
      <c r="J2197" s="38"/>
    </row>
    <row r="2198" spans="2:10" s="19" customFormat="1" x14ac:dyDescent="0.25">
      <c r="B2198" s="35"/>
      <c r="C2198" s="36"/>
      <c r="J2198" s="38"/>
    </row>
    <row r="2199" spans="2:10" s="19" customFormat="1" x14ac:dyDescent="0.25">
      <c r="B2199" s="35"/>
      <c r="C2199" s="36"/>
      <c r="J2199" s="38"/>
    </row>
    <row r="2200" spans="2:10" s="19" customFormat="1" x14ac:dyDescent="0.25">
      <c r="B2200" s="35"/>
      <c r="C2200" s="36"/>
      <c r="J2200" s="38"/>
    </row>
    <row r="2201" spans="2:10" s="19" customFormat="1" x14ac:dyDescent="0.25">
      <c r="B2201" s="35"/>
      <c r="C2201" s="36"/>
      <c r="J2201" s="38"/>
    </row>
    <row r="2202" spans="2:10" s="19" customFormat="1" x14ac:dyDescent="0.25">
      <c r="B2202" s="35"/>
      <c r="C2202" s="36"/>
      <c r="J2202" s="38"/>
    </row>
    <row r="2203" spans="2:10" s="19" customFormat="1" x14ac:dyDescent="0.25">
      <c r="B2203" s="35"/>
      <c r="C2203" s="36"/>
      <c r="J2203" s="38"/>
    </row>
    <row r="2204" spans="2:10" s="19" customFormat="1" x14ac:dyDescent="0.25">
      <c r="B2204" s="35"/>
      <c r="C2204" s="36"/>
      <c r="J2204" s="38"/>
    </row>
    <row r="2205" spans="2:10" s="19" customFormat="1" x14ac:dyDescent="0.25">
      <c r="B2205" s="35"/>
      <c r="C2205" s="36"/>
      <c r="J2205" s="38"/>
    </row>
    <row r="2206" spans="2:10" s="19" customFormat="1" x14ac:dyDescent="0.25">
      <c r="B2206" s="35"/>
      <c r="C2206" s="36"/>
      <c r="J2206" s="38"/>
    </row>
    <row r="2207" spans="2:10" s="19" customFormat="1" x14ac:dyDescent="0.25">
      <c r="B2207" s="35"/>
      <c r="C2207" s="36"/>
      <c r="J2207" s="38"/>
    </row>
    <row r="2208" spans="2:10" s="19" customFormat="1" x14ac:dyDescent="0.25">
      <c r="B2208" s="35"/>
      <c r="C2208" s="36"/>
      <c r="J2208" s="38"/>
    </row>
    <row r="2209" spans="2:10" s="19" customFormat="1" x14ac:dyDescent="0.25">
      <c r="B2209" s="35"/>
      <c r="C2209" s="36"/>
      <c r="J2209" s="38"/>
    </row>
    <row r="2210" spans="2:10" s="19" customFormat="1" x14ac:dyDescent="0.25">
      <c r="B2210" s="35"/>
      <c r="C2210" s="36"/>
      <c r="J2210" s="38"/>
    </row>
    <row r="2211" spans="2:10" s="19" customFormat="1" x14ac:dyDescent="0.25">
      <c r="B2211" s="35"/>
      <c r="C2211" s="36"/>
      <c r="J2211" s="38"/>
    </row>
    <row r="2212" spans="2:10" s="19" customFormat="1" x14ac:dyDescent="0.25">
      <c r="B2212" s="35"/>
      <c r="C2212" s="36"/>
      <c r="J2212" s="38"/>
    </row>
    <row r="2213" spans="2:10" s="19" customFormat="1" x14ac:dyDescent="0.25">
      <c r="B2213" s="35"/>
      <c r="C2213" s="36"/>
      <c r="J2213" s="38"/>
    </row>
    <row r="2214" spans="2:10" s="19" customFormat="1" x14ac:dyDescent="0.25">
      <c r="B2214" s="35"/>
      <c r="C2214" s="36"/>
      <c r="J2214" s="38"/>
    </row>
    <row r="2215" spans="2:10" s="19" customFormat="1" x14ac:dyDescent="0.25">
      <c r="B2215" s="35"/>
      <c r="C2215" s="36"/>
      <c r="J2215" s="38"/>
    </row>
    <row r="2216" spans="2:10" s="19" customFormat="1" x14ac:dyDescent="0.25">
      <c r="B2216" s="35"/>
      <c r="C2216" s="36"/>
      <c r="J2216" s="38"/>
    </row>
    <row r="2217" spans="2:10" s="19" customFormat="1" x14ac:dyDescent="0.25">
      <c r="B2217" s="35"/>
      <c r="C2217" s="36"/>
      <c r="J2217" s="38"/>
    </row>
    <row r="2218" spans="2:10" s="19" customFormat="1" x14ac:dyDescent="0.25">
      <c r="B2218" s="35"/>
      <c r="C2218" s="36"/>
      <c r="J2218" s="38"/>
    </row>
    <row r="2219" spans="2:10" s="19" customFormat="1" x14ac:dyDescent="0.25">
      <c r="B2219" s="35"/>
      <c r="C2219" s="36"/>
      <c r="J2219" s="38"/>
    </row>
    <row r="2220" spans="2:10" s="19" customFormat="1" x14ac:dyDescent="0.25">
      <c r="B2220" s="35"/>
      <c r="C2220" s="36"/>
      <c r="J2220" s="38"/>
    </row>
    <row r="2221" spans="2:10" s="19" customFormat="1" x14ac:dyDescent="0.25">
      <c r="B2221" s="35"/>
      <c r="C2221" s="36"/>
      <c r="J2221" s="38"/>
    </row>
    <row r="2222" spans="2:10" s="19" customFormat="1" x14ac:dyDescent="0.25">
      <c r="B2222" s="35"/>
      <c r="C2222" s="36"/>
      <c r="J2222" s="38"/>
    </row>
    <row r="2223" spans="2:10" s="19" customFormat="1" x14ac:dyDescent="0.25">
      <c r="B2223" s="35"/>
      <c r="C2223" s="36"/>
      <c r="J2223" s="38"/>
    </row>
    <row r="2224" spans="2:10" s="19" customFormat="1" x14ac:dyDescent="0.25">
      <c r="B2224" s="35"/>
      <c r="C2224" s="36"/>
      <c r="J2224" s="38"/>
    </row>
    <row r="2225" spans="2:10" s="19" customFormat="1" x14ac:dyDescent="0.25">
      <c r="B2225" s="35"/>
      <c r="C2225" s="36"/>
      <c r="J2225" s="38"/>
    </row>
    <row r="2226" spans="2:10" s="19" customFormat="1" x14ac:dyDescent="0.25">
      <c r="B2226" s="35"/>
      <c r="C2226" s="36"/>
      <c r="J2226" s="38"/>
    </row>
    <row r="2227" spans="2:10" s="19" customFormat="1" x14ac:dyDescent="0.25">
      <c r="B2227" s="35"/>
      <c r="C2227" s="36"/>
      <c r="J2227" s="38"/>
    </row>
    <row r="2228" spans="2:10" s="19" customFormat="1" x14ac:dyDescent="0.25">
      <c r="B2228" s="35"/>
      <c r="C2228" s="36"/>
      <c r="J2228" s="38"/>
    </row>
    <row r="2229" spans="2:10" s="19" customFormat="1" x14ac:dyDescent="0.25">
      <c r="B2229" s="35"/>
      <c r="C2229" s="36"/>
      <c r="J2229" s="38"/>
    </row>
    <row r="2230" spans="2:10" s="19" customFormat="1" x14ac:dyDescent="0.25">
      <c r="B2230" s="35"/>
      <c r="C2230" s="36"/>
      <c r="J2230" s="38"/>
    </row>
    <row r="2231" spans="2:10" s="19" customFormat="1" x14ac:dyDescent="0.25">
      <c r="B2231" s="35"/>
      <c r="C2231" s="36"/>
      <c r="J2231" s="38"/>
    </row>
    <row r="2232" spans="2:10" s="19" customFormat="1" x14ac:dyDescent="0.25">
      <c r="B2232" s="35"/>
      <c r="C2232" s="36"/>
      <c r="J2232" s="38"/>
    </row>
    <row r="2233" spans="2:10" s="19" customFormat="1" x14ac:dyDescent="0.25">
      <c r="B2233" s="35"/>
      <c r="C2233" s="36"/>
      <c r="J2233" s="38"/>
    </row>
    <row r="2234" spans="2:10" s="19" customFormat="1" x14ac:dyDescent="0.25">
      <c r="B2234" s="35"/>
      <c r="C2234" s="36"/>
      <c r="J2234" s="38"/>
    </row>
    <row r="2235" spans="2:10" s="19" customFormat="1" x14ac:dyDescent="0.25">
      <c r="B2235" s="35"/>
      <c r="C2235" s="36"/>
      <c r="J2235" s="38"/>
    </row>
    <row r="2236" spans="2:10" s="19" customFormat="1" x14ac:dyDescent="0.25">
      <c r="B2236" s="35"/>
      <c r="C2236" s="36"/>
      <c r="J2236" s="38"/>
    </row>
    <row r="2237" spans="2:10" s="19" customFormat="1" x14ac:dyDescent="0.25">
      <c r="B2237" s="35"/>
      <c r="C2237" s="36"/>
      <c r="J2237" s="38"/>
    </row>
    <row r="2238" spans="2:10" s="19" customFormat="1" x14ac:dyDescent="0.25">
      <c r="B2238" s="35"/>
      <c r="C2238" s="36"/>
      <c r="J2238" s="38"/>
    </row>
    <row r="2239" spans="2:10" s="19" customFormat="1" x14ac:dyDescent="0.25">
      <c r="B2239" s="35"/>
      <c r="C2239" s="36"/>
      <c r="J2239" s="38"/>
    </row>
    <row r="2240" spans="2:10" s="19" customFormat="1" x14ac:dyDescent="0.25">
      <c r="B2240" s="35"/>
      <c r="C2240" s="36"/>
      <c r="J2240" s="38"/>
    </row>
    <row r="2241" spans="2:10" s="19" customFormat="1" x14ac:dyDescent="0.25">
      <c r="B2241" s="35"/>
      <c r="C2241" s="36"/>
      <c r="J2241" s="38"/>
    </row>
    <row r="2242" spans="2:10" s="19" customFormat="1" x14ac:dyDescent="0.25">
      <c r="B2242" s="35"/>
      <c r="C2242" s="36"/>
      <c r="J2242" s="38"/>
    </row>
    <row r="2243" spans="2:10" s="19" customFormat="1" x14ac:dyDescent="0.25">
      <c r="B2243" s="35"/>
      <c r="C2243" s="36"/>
      <c r="J2243" s="38"/>
    </row>
    <row r="2244" spans="2:10" s="19" customFormat="1" x14ac:dyDescent="0.25">
      <c r="B2244" s="35"/>
      <c r="C2244" s="36"/>
      <c r="J2244" s="38"/>
    </row>
    <row r="2245" spans="2:10" s="19" customFormat="1" x14ac:dyDescent="0.25">
      <c r="B2245" s="35"/>
      <c r="C2245" s="36"/>
      <c r="J2245" s="38"/>
    </row>
    <row r="2246" spans="2:10" s="19" customFormat="1" x14ac:dyDescent="0.25">
      <c r="B2246" s="35"/>
      <c r="C2246" s="36"/>
      <c r="J2246" s="38"/>
    </row>
    <row r="2247" spans="2:10" s="19" customFormat="1" x14ac:dyDescent="0.25">
      <c r="B2247" s="35"/>
      <c r="C2247" s="36"/>
      <c r="J2247" s="38"/>
    </row>
    <row r="2248" spans="2:10" s="19" customFormat="1" x14ac:dyDescent="0.25">
      <c r="B2248" s="35"/>
      <c r="C2248" s="36"/>
      <c r="J2248" s="38"/>
    </row>
    <row r="2249" spans="2:10" s="19" customFormat="1" x14ac:dyDescent="0.25">
      <c r="B2249" s="35"/>
      <c r="C2249" s="36"/>
      <c r="J2249" s="38"/>
    </row>
    <row r="2250" spans="2:10" s="19" customFormat="1" x14ac:dyDescent="0.25">
      <c r="B2250" s="35"/>
      <c r="C2250" s="36"/>
      <c r="J2250" s="38"/>
    </row>
    <row r="2251" spans="2:10" s="19" customFormat="1" x14ac:dyDescent="0.25">
      <c r="B2251" s="35"/>
      <c r="C2251" s="36"/>
      <c r="J2251" s="38"/>
    </row>
    <row r="2252" spans="2:10" s="19" customFormat="1" x14ac:dyDescent="0.25">
      <c r="B2252" s="35"/>
      <c r="C2252" s="36"/>
      <c r="J2252" s="38"/>
    </row>
    <row r="2253" spans="2:10" s="19" customFormat="1" x14ac:dyDescent="0.25">
      <c r="B2253" s="35"/>
      <c r="C2253" s="36"/>
      <c r="J2253" s="38"/>
    </row>
    <row r="2254" spans="2:10" s="19" customFormat="1" x14ac:dyDescent="0.25">
      <c r="B2254" s="35"/>
      <c r="C2254" s="36"/>
      <c r="J2254" s="38"/>
    </row>
    <row r="2255" spans="2:10" s="19" customFormat="1" x14ac:dyDescent="0.25">
      <c r="B2255" s="35"/>
      <c r="C2255" s="36"/>
      <c r="J2255" s="38"/>
    </row>
    <row r="2256" spans="2:10" s="19" customFormat="1" x14ac:dyDescent="0.25">
      <c r="B2256" s="35"/>
      <c r="C2256" s="36"/>
      <c r="J2256" s="38"/>
    </row>
    <row r="2257" spans="2:10" s="19" customFormat="1" x14ac:dyDescent="0.25">
      <c r="B2257" s="35"/>
      <c r="C2257" s="36"/>
      <c r="J2257" s="38"/>
    </row>
    <row r="2258" spans="2:10" s="19" customFormat="1" x14ac:dyDescent="0.25">
      <c r="B2258" s="35"/>
      <c r="C2258" s="36"/>
      <c r="J2258" s="38"/>
    </row>
    <row r="2259" spans="2:10" s="19" customFormat="1" x14ac:dyDescent="0.25">
      <c r="B2259" s="35"/>
      <c r="C2259" s="36"/>
      <c r="J2259" s="38"/>
    </row>
    <row r="2260" spans="2:10" s="19" customFormat="1" x14ac:dyDescent="0.25">
      <c r="B2260" s="35"/>
      <c r="C2260" s="36"/>
      <c r="J2260" s="38"/>
    </row>
    <row r="2261" spans="2:10" s="19" customFormat="1" x14ac:dyDescent="0.25">
      <c r="B2261" s="35"/>
      <c r="C2261" s="36"/>
      <c r="J2261" s="38"/>
    </row>
    <row r="2262" spans="2:10" s="19" customFormat="1" x14ac:dyDescent="0.25">
      <c r="B2262" s="35"/>
      <c r="C2262" s="36"/>
      <c r="J2262" s="38"/>
    </row>
    <row r="2263" spans="2:10" s="19" customFormat="1" x14ac:dyDescent="0.25">
      <c r="B2263" s="35"/>
      <c r="C2263" s="36"/>
      <c r="J2263" s="38"/>
    </row>
    <row r="2264" spans="2:10" s="19" customFormat="1" x14ac:dyDescent="0.25">
      <c r="B2264" s="35"/>
      <c r="C2264" s="36"/>
      <c r="J2264" s="38"/>
    </row>
    <row r="2265" spans="2:10" s="19" customFormat="1" x14ac:dyDescent="0.25">
      <c r="B2265" s="35"/>
      <c r="C2265" s="36"/>
      <c r="J2265" s="38"/>
    </row>
    <row r="2266" spans="2:10" s="19" customFormat="1" x14ac:dyDescent="0.25">
      <c r="B2266" s="35"/>
      <c r="C2266" s="36"/>
      <c r="J2266" s="38"/>
    </row>
    <row r="2267" spans="2:10" s="19" customFormat="1" x14ac:dyDescent="0.25">
      <c r="B2267" s="35"/>
      <c r="C2267" s="36"/>
      <c r="J2267" s="38"/>
    </row>
    <row r="2268" spans="2:10" s="19" customFormat="1" x14ac:dyDescent="0.25">
      <c r="B2268" s="35"/>
      <c r="C2268" s="36"/>
      <c r="J2268" s="38"/>
    </row>
    <row r="2269" spans="2:10" s="19" customFormat="1" x14ac:dyDescent="0.25">
      <c r="B2269" s="35"/>
      <c r="C2269" s="36"/>
      <c r="J2269" s="38"/>
    </row>
    <row r="2270" spans="2:10" s="19" customFormat="1" x14ac:dyDescent="0.25">
      <c r="B2270" s="35"/>
      <c r="C2270" s="36"/>
      <c r="J2270" s="38"/>
    </row>
    <row r="2271" spans="2:10" s="19" customFormat="1" x14ac:dyDescent="0.25">
      <c r="B2271" s="35"/>
      <c r="C2271" s="36"/>
      <c r="J2271" s="38"/>
    </row>
    <row r="2272" spans="2:10" s="19" customFormat="1" x14ac:dyDescent="0.25">
      <c r="B2272" s="35"/>
      <c r="C2272" s="36"/>
      <c r="J2272" s="38"/>
    </row>
    <row r="2273" spans="2:10" s="19" customFormat="1" x14ac:dyDescent="0.25">
      <c r="B2273" s="35"/>
      <c r="C2273" s="36"/>
      <c r="J2273" s="38"/>
    </row>
    <row r="2274" spans="2:10" s="19" customFormat="1" x14ac:dyDescent="0.25">
      <c r="B2274" s="35"/>
      <c r="C2274" s="36"/>
      <c r="J2274" s="38"/>
    </row>
    <row r="2275" spans="2:10" s="19" customFormat="1" x14ac:dyDescent="0.25">
      <c r="B2275" s="35"/>
      <c r="C2275" s="36"/>
      <c r="J2275" s="38"/>
    </row>
    <row r="2276" spans="2:10" s="19" customFormat="1" x14ac:dyDescent="0.25">
      <c r="B2276" s="35"/>
      <c r="C2276" s="36"/>
      <c r="J2276" s="38"/>
    </row>
    <row r="2277" spans="2:10" s="19" customFormat="1" x14ac:dyDescent="0.25">
      <c r="B2277" s="35"/>
      <c r="C2277" s="36"/>
      <c r="J2277" s="38"/>
    </row>
    <row r="2278" spans="2:10" s="19" customFormat="1" x14ac:dyDescent="0.25">
      <c r="B2278" s="35"/>
      <c r="C2278" s="36"/>
      <c r="J2278" s="38"/>
    </row>
    <row r="2279" spans="2:10" s="19" customFormat="1" x14ac:dyDescent="0.25">
      <c r="B2279" s="35"/>
      <c r="C2279" s="36"/>
      <c r="J2279" s="38"/>
    </row>
    <row r="2280" spans="2:10" s="19" customFormat="1" x14ac:dyDescent="0.25">
      <c r="B2280" s="35"/>
      <c r="C2280" s="36"/>
      <c r="J2280" s="38"/>
    </row>
    <row r="2281" spans="2:10" s="19" customFormat="1" x14ac:dyDescent="0.25">
      <c r="B2281" s="35"/>
      <c r="C2281" s="36"/>
      <c r="J2281" s="38"/>
    </row>
    <row r="2282" spans="2:10" s="19" customFormat="1" x14ac:dyDescent="0.25">
      <c r="B2282" s="35"/>
      <c r="C2282" s="36"/>
      <c r="J2282" s="38"/>
    </row>
    <row r="2283" spans="2:10" s="19" customFormat="1" x14ac:dyDescent="0.25">
      <c r="B2283" s="35"/>
      <c r="C2283" s="36"/>
      <c r="J2283" s="38"/>
    </row>
    <row r="2284" spans="2:10" s="19" customFormat="1" x14ac:dyDescent="0.25">
      <c r="B2284" s="35"/>
      <c r="C2284" s="36"/>
      <c r="J2284" s="38"/>
    </row>
    <row r="2285" spans="2:10" s="19" customFormat="1" x14ac:dyDescent="0.25">
      <c r="B2285" s="35"/>
      <c r="C2285" s="36"/>
      <c r="J2285" s="38"/>
    </row>
    <row r="2286" spans="2:10" s="19" customFormat="1" x14ac:dyDescent="0.25">
      <c r="B2286" s="35"/>
      <c r="C2286" s="36"/>
      <c r="J2286" s="38"/>
    </row>
    <row r="2287" spans="2:10" s="19" customFormat="1" x14ac:dyDescent="0.25">
      <c r="B2287" s="35"/>
      <c r="C2287" s="36"/>
      <c r="J2287" s="38"/>
    </row>
    <row r="2288" spans="2:10" s="19" customFormat="1" x14ac:dyDescent="0.25">
      <c r="B2288" s="35"/>
      <c r="C2288" s="36"/>
      <c r="J2288" s="38"/>
    </row>
    <row r="2289" spans="2:10" s="19" customFormat="1" x14ac:dyDescent="0.25">
      <c r="B2289" s="35"/>
      <c r="C2289" s="36"/>
      <c r="J2289" s="38"/>
    </row>
    <row r="2290" spans="2:10" s="19" customFormat="1" x14ac:dyDescent="0.25">
      <c r="B2290" s="35"/>
      <c r="C2290" s="36"/>
      <c r="J2290" s="38"/>
    </row>
    <row r="2291" spans="2:10" s="19" customFormat="1" x14ac:dyDescent="0.25">
      <c r="B2291" s="35"/>
      <c r="C2291" s="36"/>
      <c r="J2291" s="38"/>
    </row>
    <row r="2292" spans="2:10" s="19" customFormat="1" x14ac:dyDescent="0.25">
      <c r="B2292" s="35"/>
      <c r="C2292" s="36"/>
      <c r="J2292" s="38"/>
    </row>
    <row r="2293" spans="2:10" s="19" customFormat="1" x14ac:dyDescent="0.25">
      <c r="B2293" s="35"/>
      <c r="C2293" s="36"/>
      <c r="J2293" s="38"/>
    </row>
    <row r="2294" spans="2:10" s="19" customFormat="1" x14ac:dyDescent="0.25">
      <c r="B2294" s="35"/>
      <c r="C2294" s="36"/>
      <c r="J2294" s="38"/>
    </row>
    <row r="2295" spans="2:10" s="19" customFormat="1" x14ac:dyDescent="0.25">
      <c r="B2295" s="35"/>
      <c r="C2295" s="36"/>
      <c r="J2295" s="38"/>
    </row>
    <row r="2296" spans="2:10" s="19" customFormat="1" x14ac:dyDescent="0.25">
      <c r="B2296" s="35"/>
      <c r="C2296" s="36"/>
      <c r="J2296" s="38"/>
    </row>
    <row r="2297" spans="2:10" s="19" customFormat="1" x14ac:dyDescent="0.25">
      <c r="B2297" s="35"/>
      <c r="C2297" s="36"/>
      <c r="J2297" s="38"/>
    </row>
    <row r="2298" spans="2:10" s="19" customFormat="1" x14ac:dyDescent="0.25">
      <c r="B2298" s="35"/>
      <c r="C2298" s="36"/>
      <c r="J2298" s="38"/>
    </row>
    <row r="2299" spans="2:10" s="19" customFormat="1" x14ac:dyDescent="0.25">
      <c r="B2299" s="35"/>
      <c r="C2299" s="36"/>
      <c r="J2299" s="38"/>
    </row>
    <row r="2300" spans="2:10" s="19" customFormat="1" x14ac:dyDescent="0.25">
      <c r="B2300" s="35"/>
      <c r="C2300" s="36"/>
      <c r="J2300" s="38"/>
    </row>
    <row r="2301" spans="2:10" s="19" customFormat="1" x14ac:dyDescent="0.25">
      <c r="B2301" s="35"/>
      <c r="C2301" s="36"/>
      <c r="J2301" s="38"/>
    </row>
    <row r="2302" spans="2:10" s="19" customFormat="1" x14ac:dyDescent="0.25">
      <c r="B2302" s="35"/>
      <c r="C2302" s="36"/>
      <c r="J2302" s="38"/>
    </row>
    <row r="2303" spans="2:10" s="19" customFormat="1" x14ac:dyDescent="0.25">
      <c r="B2303" s="35"/>
      <c r="C2303" s="36"/>
      <c r="J2303" s="38"/>
    </row>
    <row r="2304" spans="2:10" s="19" customFormat="1" x14ac:dyDescent="0.25">
      <c r="B2304" s="35"/>
      <c r="C2304" s="36"/>
      <c r="J2304" s="38"/>
    </row>
    <row r="2305" spans="2:10" s="19" customFormat="1" x14ac:dyDescent="0.25">
      <c r="B2305" s="35"/>
      <c r="C2305" s="36"/>
      <c r="J2305" s="38"/>
    </row>
    <row r="2306" spans="2:10" s="19" customFormat="1" x14ac:dyDescent="0.25">
      <c r="B2306" s="35"/>
      <c r="C2306" s="36"/>
      <c r="J2306" s="38"/>
    </row>
    <row r="2307" spans="2:10" s="19" customFormat="1" x14ac:dyDescent="0.25">
      <c r="B2307" s="35"/>
      <c r="C2307" s="36"/>
      <c r="J2307" s="38"/>
    </row>
    <row r="2308" spans="2:10" s="19" customFormat="1" x14ac:dyDescent="0.25">
      <c r="B2308" s="35"/>
      <c r="C2308" s="36"/>
      <c r="J2308" s="38"/>
    </row>
    <row r="2309" spans="2:10" s="19" customFormat="1" x14ac:dyDescent="0.25">
      <c r="B2309" s="35"/>
      <c r="C2309" s="36"/>
      <c r="J2309" s="38"/>
    </row>
    <row r="2310" spans="2:10" s="19" customFormat="1" x14ac:dyDescent="0.25">
      <c r="B2310" s="35"/>
      <c r="C2310" s="36"/>
      <c r="J2310" s="38"/>
    </row>
    <row r="2311" spans="2:10" s="19" customFormat="1" x14ac:dyDescent="0.25">
      <c r="B2311" s="35"/>
      <c r="C2311" s="36"/>
      <c r="J2311" s="38"/>
    </row>
    <row r="2312" spans="2:10" s="19" customFormat="1" x14ac:dyDescent="0.25">
      <c r="B2312" s="35"/>
      <c r="C2312" s="36"/>
      <c r="J2312" s="38"/>
    </row>
    <row r="2313" spans="2:10" s="19" customFormat="1" x14ac:dyDescent="0.25">
      <c r="B2313" s="35"/>
      <c r="C2313" s="36"/>
      <c r="J2313" s="38"/>
    </row>
    <row r="2314" spans="2:10" s="19" customFormat="1" x14ac:dyDescent="0.25">
      <c r="B2314" s="35"/>
      <c r="C2314" s="36"/>
      <c r="J2314" s="38"/>
    </row>
    <row r="2315" spans="2:10" s="19" customFormat="1" x14ac:dyDescent="0.25">
      <c r="B2315" s="35"/>
      <c r="C2315" s="36"/>
      <c r="J2315" s="38"/>
    </row>
    <row r="2316" spans="2:10" s="19" customFormat="1" x14ac:dyDescent="0.25">
      <c r="B2316" s="35"/>
      <c r="C2316" s="36"/>
      <c r="J2316" s="38"/>
    </row>
    <row r="2317" spans="2:10" s="19" customFormat="1" x14ac:dyDescent="0.25">
      <c r="B2317" s="35"/>
      <c r="C2317" s="36"/>
      <c r="J2317" s="38"/>
    </row>
    <row r="2318" spans="2:10" s="19" customFormat="1" x14ac:dyDescent="0.25">
      <c r="B2318" s="35"/>
      <c r="C2318" s="36"/>
      <c r="J2318" s="38"/>
    </row>
    <row r="2319" spans="2:10" s="19" customFormat="1" x14ac:dyDescent="0.25">
      <c r="B2319" s="35"/>
      <c r="C2319" s="36"/>
      <c r="J2319" s="38"/>
    </row>
    <row r="2320" spans="2:10" s="19" customFormat="1" x14ac:dyDescent="0.25">
      <c r="B2320" s="35"/>
      <c r="C2320" s="36"/>
      <c r="J2320" s="38"/>
    </row>
    <row r="2321" spans="2:10" s="19" customFormat="1" x14ac:dyDescent="0.25">
      <c r="B2321" s="35"/>
      <c r="C2321" s="36"/>
      <c r="J2321" s="38"/>
    </row>
    <row r="2322" spans="2:10" s="19" customFormat="1" x14ac:dyDescent="0.25">
      <c r="B2322" s="35"/>
      <c r="C2322" s="36"/>
      <c r="J2322" s="38"/>
    </row>
    <row r="2323" spans="2:10" s="19" customFormat="1" x14ac:dyDescent="0.25">
      <c r="B2323" s="35"/>
      <c r="C2323" s="36"/>
      <c r="J2323" s="38"/>
    </row>
    <row r="2324" spans="2:10" s="19" customFormat="1" x14ac:dyDescent="0.25">
      <c r="B2324" s="35"/>
      <c r="C2324" s="36"/>
      <c r="J2324" s="38"/>
    </row>
    <row r="2325" spans="2:10" s="19" customFormat="1" x14ac:dyDescent="0.25">
      <c r="B2325" s="35"/>
      <c r="C2325" s="36"/>
      <c r="J2325" s="38"/>
    </row>
    <row r="2326" spans="2:10" s="19" customFormat="1" x14ac:dyDescent="0.25">
      <c r="B2326" s="35"/>
      <c r="C2326" s="36"/>
      <c r="J2326" s="38"/>
    </row>
    <row r="2327" spans="2:10" s="19" customFormat="1" x14ac:dyDescent="0.25">
      <c r="B2327" s="35"/>
      <c r="C2327" s="36"/>
      <c r="J2327" s="38"/>
    </row>
    <row r="2328" spans="2:10" s="19" customFormat="1" x14ac:dyDescent="0.25">
      <c r="B2328" s="35"/>
      <c r="C2328" s="36"/>
      <c r="J2328" s="38"/>
    </row>
    <row r="2329" spans="2:10" s="19" customFormat="1" x14ac:dyDescent="0.25">
      <c r="B2329" s="35"/>
      <c r="C2329" s="36"/>
      <c r="J2329" s="38"/>
    </row>
    <row r="2330" spans="2:10" s="19" customFormat="1" x14ac:dyDescent="0.25">
      <c r="B2330" s="35"/>
      <c r="C2330" s="36"/>
      <c r="J2330" s="38"/>
    </row>
    <row r="2331" spans="2:10" s="19" customFormat="1" x14ac:dyDescent="0.25">
      <c r="B2331" s="35"/>
      <c r="C2331" s="36"/>
      <c r="J2331" s="38"/>
    </row>
    <row r="2332" spans="2:10" s="19" customFormat="1" x14ac:dyDescent="0.25">
      <c r="B2332" s="35"/>
      <c r="C2332" s="36"/>
      <c r="J2332" s="38"/>
    </row>
    <row r="2333" spans="2:10" s="19" customFormat="1" x14ac:dyDescent="0.25">
      <c r="B2333" s="35"/>
      <c r="C2333" s="36"/>
      <c r="J2333" s="38"/>
    </row>
    <row r="2334" spans="2:10" s="19" customFormat="1" x14ac:dyDescent="0.25">
      <c r="B2334" s="35"/>
      <c r="C2334" s="36"/>
      <c r="J2334" s="38"/>
    </row>
    <row r="2335" spans="2:10" s="19" customFormat="1" x14ac:dyDescent="0.25">
      <c r="B2335" s="35"/>
      <c r="C2335" s="36"/>
      <c r="J2335" s="38"/>
    </row>
    <row r="2336" spans="2:10" s="19" customFormat="1" x14ac:dyDescent="0.25">
      <c r="B2336" s="35"/>
      <c r="C2336" s="36"/>
      <c r="J2336" s="38"/>
    </row>
    <row r="2337" spans="2:10" s="19" customFormat="1" x14ac:dyDescent="0.25">
      <c r="B2337" s="35"/>
      <c r="C2337" s="36"/>
      <c r="J2337" s="38"/>
    </row>
    <row r="2338" spans="2:10" s="19" customFormat="1" x14ac:dyDescent="0.25">
      <c r="B2338" s="35"/>
      <c r="C2338" s="36"/>
      <c r="J2338" s="38"/>
    </row>
    <row r="2339" spans="2:10" s="19" customFormat="1" x14ac:dyDescent="0.25">
      <c r="B2339" s="35"/>
      <c r="C2339" s="36"/>
      <c r="J2339" s="38"/>
    </row>
    <row r="2340" spans="2:10" s="19" customFormat="1" x14ac:dyDescent="0.25">
      <c r="B2340" s="35"/>
      <c r="C2340" s="36"/>
      <c r="J2340" s="38"/>
    </row>
    <row r="2341" spans="2:10" s="19" customFormat="1" x14ac:dyDescent="0.25">
      <c r="B2341" s="35"/>
      <c r="C2341" s="36"/>
      <c r="J2341" s="38"/>
    </row>
    <row r="2342" spans="2:10" s="19" customFormat="1" x14ac:dyDescent="0.25">
      <c r="B2342" s="35"/>
      <c r="C2342" s="36"/>
      <c r="J2342" s="38"/>
    </row>
    <row r="2343" spans="2:10" s="19" customFormat="1" x14ac:dyDescent="0.25">
      <c r="B2343" s="35"/>
      <c r="C2343" s="36"/>
      <c r="J2343" s="38"/>
    </row>
    <row r="2344" spans="2:10" s="19" customFormat="1" x14ac:dyDescent="0.25">
      <c r="B2344" s="35"/>
      <c r="C2344" s="36"/>
      <c r="J2344" s="38"/>
    </row>
    <row r="2345" spans="2:10" s="19" customFormat="1" x14ac:dyDescent="0.25">
      <c r="B2345" s="35"/>
      <c r="C2345" s="36"/>
      <c r="J2345" s="38"/>
    </row>
    <row r="2346" spans="2:10" s="19" customFormat="1" x14ac:dyDescent="0.25">
      <c r="B2346" s="35"/>
      <c r="C2346" s="36"/>
      <c r="J2346" s="38"/>
    </row>
    <row r="2347" spans="2:10" s="19" customFormat="1" x14ac:dyDescent="0.25">
      <c r="B2347" s="35"/>
      <c r="C2347" s="36"/>
      <c r="J2347" s="38"/>
    </row>
    <row r="2348" spans="2:10" s="19" customFormat="1" x14ac:dyDescent="0.25">
      <c r="B2348" s="35"/>
      <c r="C2348" s="36"/>
      <c r="J2348" s="38"/>
    </row>
    <row r="2349" spans="2:10" s="19" customFormat="1" x14ac:dyDescent="0.25">
      <c r="B2349" s="35"/>
      <c r="C2349" s="36"/>
      <c r="J2349" s="38"/>
    </row>
    <row r="2350" spans="2:10" s="19" customFormat="1" x14ac:dyDescent="0.25">
      <c r="B2350" s="35"/>
      <c r="C2350" s="36"/>
      <c r="J2350" s="38"/>
    </row>
    <row r="2351" spans="2:10" s="19" customFormat="1" x14ac:dyDescent="0.25">
      <c r="B2351" s="35"/>
      <c r="C2351" s="36"/>
      <c r="J2351" s="38"/>
    </row>
    <row r="2352" spans="2:10" s="19" customFormat="1" x14ac:dyDescent="0.25">
      <c r="B2352" s="35"/>
      <c r="C2352" s="36"/>
      <c r="J2352" s="38"/>
    </row>
    <row r="2353" spans="2:10" s="19" customFormat="1" x14ac:dyDescent="0.25">
      <c r="B2353" s="35"/>
      <c r="C2353" s="36"/>
      <c r="J2353" s="38"/>
    </row>
    <row r="2354" spans="2:10" s="19" customFormat="1" x14ac:dyDescent="0.25">
      <c r="B2354" s="35"/>
      <c r="C2354" s="36"/>
      <c r="J2354" s="38"/>
    </row>
    <row r="2355" spans="2:10" s="19" customFormat="1" x14ac:dyDescent="0.25">
      <c r="B2355" s="35"/>
      <c r="C2355" s="36"/>
      <c r="J2355" s="38"/>
    </row>
    <row r="2356" spans="2:10" s="19" customFormat="1" x14ac:dyDescent="0.25">
      <c r="B2356" s="35"/>
      <c r="C2356" s="36"/>
      <c r="J2356" s="38"/>
    </row>
    <row r="2357" spans="2:10" s="19" customFormat="1" x14ac:dyDescent="0.25">
      <c r="B2357" s="35"/>
      <c r="C2357" s="36"/>
      <c r="J2357" s="38"/>
    </row>
    <row r="2358" spans="2:10" s="19" customFormat="1" x14ac:dyDescent="0.25">
      <c r="B2358" s="35"/>
      <c r="C2358" s="36"/>
      <c r="J2358" s="38"/>
    </row>
    <row r="2359" spans="2:10" s="19" customFormat="1" x14ac:dyDescent="0.25">
      <c r="B2359" s="35"/>
      <c r="C2359" s="36"/>
      <c r="J2359" s="38"/>
    </row>
    <row r="2360" spans="2:10" s="19" customFormat="1" x14ac:dyDescent="0.25">
      <c r="B2360" s="35"/>
      <c r="C2360" s="36"/>
      <c r="J2360" s="38"/>
    </row>
    <row r="2361" spans="2:10" s="19" customFormat="1" x14ac:dyDescent="0.25">
      <c r="B2361" s="35"/>
      <c r="C2361" s="36"/>
      <c r="J2361" s="38"/>
    </row>
    <row r="2362" spans="2:10" s="19" customFormat="1" x14ac:dyDescent="0.25">
      <c r="B2362" s="35"/>
      <c r="C2362" s="36"/>
      <c r="J2362" s="38"/>
    </row>
    <row r="2363" spans="2:10" s="19" customFormat="1" x14ac:dyDescent="0.25">
      <c r="B2363" s="35"/>
      <c r="C2363" s="36"/>
      <c r="J2363" s="38"/>
    </row>
    <row r="2364" spans="2:10" s="19" customFormat="1" x14ac:dyDescent="0.25">
      <c r="B2364" s="35"/>
      <c r="C2364" s="36"/>
      <c r="J2364" s="38"/>
    </row>
    <row r="2365" spans="2:10" s="19" customFormat="1" x14ac:dyDescent="0.25">
      <c r="B2365" s="35"/>
      <c r="C2365" s="36"/>
      <c r="J2365" s="38"/>
    </row>
    <row r="2366" spans="2:10" s="19" customFormat="1" x14ac:dyDescent="0.25">
      <c r="B2366" s="35"/>
      <c r="C2366" s="36"/>
      <c r="J2366" s="38"/>
    </row>
    <row r="2367" spans="2:10" s="19" customFormat="1" x14ac:dyDescent="0.25">
      <c r="B2367" s="35"/>
      <c r="C2367" s="36"/>
      <c r="J2367" s="38"/>
    </row>
    <row r="2368" spans="2:10" s="19" customFormat="1" x14ac:dyDescent="0.25">
      <c r="B2368" s="35"/>
      <c r="C2368" s="36"/>
      <c r="J2368" s="38"/>
    </row>
    <row r="2369" spans="2:10" s="19" customFormat="1" x14ac:dyDescent="0.25">
      <c r="B2369" s="35"/>
      <c r="C2369" s="36"/>
      <c r="J2369" s="38"/>
    </row>
    <row r="2370" spans="2:10" s="19" customFormat="1" x14ac:dyDescent="0.25">
      <c r="B2370" s="35"/>
      <c r="C2370" s="36"/>
      <c r="J2370" s="38"/>
    </row>
    <row r="2371" spans="2:10" s="19" customFormat="1" x14ac:dyDescent="0.25">
      <c r="B2371" s="35"/>
      <c r="C2371" s="36"/>
      <c r="J2371" s="38"/>
    </row>
    <row r="2372" spans="2:10" s="19" customFormat="1" x14ac:dyDescent="0.25">
      <c r="B2372" s="35"/>
      <c r="C2372" s="36"/>
      <c r="J2372" s="38"/>
    </row>
    <row r="2373" spans="2:10" s="19" customFormat="1" x14ac:dyDescent="0.25">
      <c r="B2373" s="35"/>
      <c r="C2373" s="36"/>
      <c r="J2373" s="38"/>
    </row>
    <row r="2374" spans="2:10" s="19" customFormat="1" x14ac:dyDescent="0.25">
      <c r="B2374" s="35"/>
      <c r="C2374" s="36"/>
      <c r="J2374" s="38"/>
    </row>
    <row r="2375" spans="2:10" s="19" customFormat="1" x14ac:dyDescent="0.25">
      <c r="B2375" s="35"/>
      <c r="C2375" s="36"/>
      <c r="J2375" s="38"/>
    </row>
    <row r="2376" spans="2:10" s="19" customFormat="1" x14ac:dyDescent="0.25">
      <c r="B2376" s="35"/>
      <c r="C2376" s="36"/>
      <c r="J2376" s="38"/>
    </row>
    <row r="2377" spans="2:10" s="19" customFormat="1" x14ac:dyDescent="0.25">
      <c r="B2377" s="35"/>
      <c r="C2377" s="36"/>
      <c r="J2377" s="38"/>
    </row>
    <row r="2378" spans="2:10" s="19" customFormat="1" x14ac:dyDescent="0.25">
      <c r="B2378" s="35"/>
      <c r="C2378" s="36"/>
      <c r="J2378" s="38"/>
    </row>
    <row r="2379" spans="2:10" s="19" customFormat="1" x14ac:dyDescent="0.25">
      <c r="B2379" s="35"/>
      <c r="C2379" s="36"/>
      <c r="J2379" s="38"/>
    </row>
    <row r="2380" spans="2:10" s="19" customFormat="1" x14ac:dyDescent="0.25">
      <c r="B2380" s="35"/>
      <c r="C2380" s="36"/>
      <c r="J2380" s="38"/>
    </row>
    <row r="2381" spans="2:10" s="19" customFormat="1" x14ac:dyDescent="0.25">
      <c r="B2381" s="35"/>
      <c r="C2381" s="36"/>
      <c r="J2381" s="38"/>
    </row>
    <row r="2382" spans="2:10" s="19" customFormat="1" x14ac:dyDescent="0.25">
      <c r="B2382" s="35"/>
      <c r="C2382" s="36"/>
      <c r="J2382" s="38"/>
    </row>
    <row r="2383" spans="2:10" s="19" customFormat="1" x14ac:dyDescent="0.25">
      <c r="B2383" s="35"/>
      <c r="C2383" s="36"/>
      <c r="J2383" s="38"/>
    </row>
    <row r="2384" spans="2:10" s="19" customFormat="1" x14ac:dyDescent="0.25">
      <c r="B2384" s="35"/>
      <c r="C2384" s="36"/>
      <c r="J2384" s="38"/>
    </row>
    <row r="2385" spans="2:10" s="19" customFormat="1" x14ac:dyDescent="0.25">
      <c r="B2385" s="35"/>
      <c r="C2385" s="36"/>
      <c r="J2385" s="38"/>
    </row>
    <row r="2386" spans="2:10" s="19" customFormat="1" x14ac:dyDescent="0.25">
      <c r="B2386" s="35"/>
      <c r="C2386" s="36"/>
      <c r="J2386" s="38"/>
    </row>
    <row r="2387" spans="2:10" s="19" customFormat="1" x14ac:dyDescent="0.25">
      <c r="B2387" s="35"/>
      <c r="C2387" s="36"/>
      <c r="J2387" s="38"/>
    </row>
    <row r="2388" spans="2:10" s="19" customFormat="1" x14ac:dyDescent="0.25">
      <c r="B2388" s="35"/>
      <c r="C2388" s="36"/>
      <c r="J2388" s="38"/>
    </row>
    <row r="2389" spans="2:10" s="19" customFormat="1" x14ac:dyDescent="0.25">
      <c r="B2389" s="35"/>
      <c r="C2389" s="36"/>
      <c r="J2389" s="38"/>
    </row>
    <row r="2390" spans="2:10" s="19" customFormat="1" x14ac:dyDescent="0.25">
      <c r="B2390" s="35"/>
      <c r="C2390" s="36"/>
      <c r="J2390" s="38"/>
    </row>
    <row r="2391" spans="2:10" s="19" customFormat="1" x14ac:dyDescent="0.25">
      <c r="B2391" s="35"/>
      <c r="C2391" s="36"/>
      <c r="J2391" s="38"/>
    </row>
    <row r="2392" spans="2:10" s="19" customFormat="1" x14ac:dyDescent="0.25">
      <c r="B2392" s="35"/>
      <c r="C2392" s="36"/>
      <c r="J2392" s="38"/>
    </row>
    <row r="2393" spans="2:10" s="19" customFormat="1" x14ac:dyDescent="0.25">
      <c r="B2393" s="35"/>
      <c r="C2393" s="36"/>
      <c r="J2393" s="38"/>
    </row>
    <row r="2394" spans="2:10" s="19" customFormat="1" x14ac:dyDescent="0.25">
      <c r="B2394" s="35"/>
      <c r="C2394" s="36"/>
      <c r="J2394" s="38"/>
    </row>
    <row r="2395" spans="2:10" s="19" customFormat="1" x14ac:dyDescent="0.25">
      <c r="B2395" s="35"/>
      <c r="C2395" s="36"/>
      <c r="J2395" s="38"/>
    </row>
    <row r="2396" spans="2:10" s="19" customFormat="1" x14ac:dyDescent="0.25">
      <c r="B2396" s="35"/>
      <c r="C2396" s="36"/>
      <c r="J2396" s="38"/>
    </row>
    <row r="2397" spans="2:10" s="19" customFormat="1" x14ac:dyDescent="0.25">
      <c r="B2397" s="35"/>
      <c r="C2397" s="36"/>
      <c r="J2397" s="38"/>
    </row>
    <row r="2398" spans="2:10" s="19" customFormat="1" x14ac:dyDescent="0.25">
      <c r="B2398" s="35"/>
      <c r="C2398" s="36"/>
      <c r="J2398" s="38"/>
    </row>
    <row r="2399" spans="2:10" s="19" customFormat="1" x14ac:dyDescent="0.25">
      <c r="B2399" s="35"/>
      <c r="C2399" s="36"/>
      <c r="J2399" s="38"/>
    </row>
    <row r="2400" spans="2:10" s="19" customFormat="1" x14ac:dyDescent="0.25">
      <c r="B2400" s="35"/>
      <c r="C2400" s="36"/>
      <c r="J2400" s="38"/>
    </row>
    <row r="2401" spans="2:10" s="19" customFormat="1" x14ac:dyDescent="0.25">
      <c r="B2401" s="35"/>
      <c r="C2401" s="36"/>
      <c r="J2401" s="38"/>
    </row>
    <row r="2402" spans="2:10" s="19" customFormat="1" x14ac:dyDescent="0.25">
      <c r="B2402" s="35"/>
      <c r="C2402" s="36"/>
      <c r="J2402" s="38"/>
    </row>
    <row r="2403" spans="2:10" s="19" customFormat="1" x14ac:dyDescent="0.25">
      <c r="B2403" s="35"/>
      <c r="C2403" s="36"/>
      <c r="J2403" s="38"/>
    </row>
    <row r="2404" spans="2:10" s="19" customFormat="1" x14ac:dyDescent="0.25">
      <c r="B2404" s="35"/>
      <c r="C2404" s="36"/>
      <c r="J2404" s="38"/>
    </row>
    <row r="2405" spans="2:10" s="19" customFormat="1" x14ac:dyDescent="0.25">
      <c r="B2405" s="35"/>
      <c r="C2405" s="36"/>
      <c r="J2405" s="38"/>
    </row>
    <row r="2406" spans="2:10" s="19" customFormat="1" x14ac:dyDescent="0.25">
      <c r="B2406" s="35"/>
      <c r="C2406" s="36"/>
      <c r="J2406" s="38"/>
    </row>
    <row r="2407" spans="2:10" s="19" customFormat="1" x14ac:dyDescent="0.25">
      <c r="B2407" s="35"/>
      <c r="C2407" s="36"/>
      <c r="J2407" s="38"/>
    </row>
    <row r="2408" spans="2:10" s="19" customFormat="1" x14ac:dyDescent="0.25">
      <c r="B2408" s="35"/>
      <c r="C2408" s="36"/>
      <c r="J2408" s="38"/>
    </row>
    <row r="2409" spans="2:10" s="19" customFormat="1" x14ac:dyDescent="0.25">
      <c r="B2409" s="35"/>
      <c r="C2409" s="36"/>
      <c r="J2409" s="38"/>
    </row>
    <row r="2410" spans="2:10" s="19" customFormat="1" x14ac:dyDescent="0.25">
      <c r="B2410" s="35"/>
      <c r="C2410" s="36"/>
      <c r="J2410" s="38"/>
    </row>
    <row r="2411" spans="2:10" s="19" customFormat="1" x14ac:dyDescent="0.25">
      <c r="B2411" s="35"/>
      <c r="C2411" s="36"/>
      <c r="J2411" s="38"/>
    </row>
    <row r="2412" spans="2:10" s="19" customFormat="1" x14ac:dyDescent="0.25">
      <c r="B2412" s="35"/>
      <c r="C2412" s="36"/>
      <c r="J2412" s="38"/>
    </row>
    <row r="2413" spans="2:10" s="19" customFormat="1" x14ac:dyDescent="0.25">
      <c r="B2413" s="35"/>
      <c r="C2413" s="36"/>
      <c r="J2413" s="38"/>
    </row>
    <row r="2414" spans="2:10" s="19" customFormat="1" x14ac:dyDescent="0.25">
      <c r="B2414" s="35"/>
      <c r="C2414" s="36"/>
      <c r="J2414" s="38"/>
    </row>
    <row r="2415" spans="2:10" s="19" customFormat="1" x14ac:dyDescent="0.25">
      <c r="B2415" s="35"/>
      <c r="C2415" s="36"/>
      <c r="J2415" s="38"/>
    </row>
    <row r="2416" spans="2:10" s="19" customFormat="1" x14ac:dyDescent="0.25">
      <c r="B2416" s="35"/>
      <c r="C2416" s="36"/>
      <c r="J2416" s="38"/>
    </row>
    <row r="2417" spans="2:10" s="19" customFormat="1" x14ac:dyDescent="0.25">
      <c r="B2417" s="35"/>
      <c r="C2417" s="36"/>
      <c r="J2417" s="38"/>
    </row>
    <row r="2418" spans="2:10" s="19" customFormat="1" x14ac:dyDescent="0.25">
      <c r="B2418" s="35"/>
      <c r="C2418" s="36"/>
      <c r="J2418" s="38"/>
    </row>
    <row r="2419" spans="2:10" s="19" customFormat="1" x14ac:dyDescent="0.25">
      <c r="B2419" s="35"/>
      <c r="C2419" s="36"/>
      <c r="J2419" s="38"/>
    </row>
    <row r="2420" spans="2:10" s="19" customFormat="1" x14ac:dyDescent="0.25">
      <c r="B2420" s="35"/>
      <c r="C2420" s="36"/>
      <c r="J2420" s="38"/>
    </row>
    <row r="2421" spans="2:10" s="19" customFormat="1" x14ac:dyDescent="0.25">
      <c r="B2421" s="35"/>
      <c r="C2421" s="36"/>
      <c r="J2421" s="38"/>
    </row>
    <row r="2422" spans="2:10" s="19" customFormat="1" x14ac:dyDescent="0.25">
      <c r="B2422" s="35"/>
      <c r="C2422" s="36"/>
      <c r="J2422" s="38"/>
    </row>
    <row r="2423" spans="2:10" s="19" customFormat="1" x14ac:dyDescent="0.25">
      <c r="B2423" s="35"/>
      <c r="C2423" s="36"/>
      <c r="J2423" s="38"/>
    </row>
    <row r="2424" spans="2:10" s="19" customFormat="1" x14ac:dyDescent="0.25">
      <c r="B2424" s="35"/>
      <c r="C2424" s="36"/>
      <c r="J2424" s="38"/>
    </row>
    <row r="2425" spans="2:10" s="19" customFormat="1" x14ac:dyDescent="0.25">
      <c r="B2425" s="35"/>
      <c r="C2425" s="36"/>
      <c r="J2425" s="38"/>
    </row>
    <row r="2426" spans="2:10" s="19" customFormat="1" x14ac:dyDescent="0.25">
      <c r="B2426" s="35"/>
      <c r="C2426" s="36"/>
      <c r="J2426" s="38"/>
    </row>
    <row r="2427" spans="2:10" s="19" customFormat="1" x14ac:dyDescent="0.25">
      <c r="B2427" s="35"/>
      <c r="C2427" s="36"/>
      <c r="J2427" s="38"/>
    </row>
    <row r="2428" spans="2:10" s="19" customFormat="1" x14ac:dyDescent="0.25">
      <c r="B2428" s="35"/>
      <c r="C2428" s="36"/>
      <c r="J2428" s="38"/>
    </row>
    <row r="2429" spans="2:10" s="19" customFormat="1" x14ac:dyDescent="0.25">
      <c r="B2429" s="35"/>
      <c r="C2429" s="36"/>
      <c r="J2429" s="38"/>
    </row>
    <row r="2430" spans="2:10" s="19" customFormat="1" x14ac:dyDescent="0.25">
      <c r="B2430" s="35"/>
      <c r="C2430" s="36"/>
      <c r="J2430" s="38"/>
    </row>
    <row r="2431" spans="2:10" s="19" customFormat="1" x14ac:dyDescent="0.25">
      <c r="B2431" s="35"/>
      <c r="C2431" s="36"/>
      <c r="J2431" s="38"/>
    </row>
    <row r="2432" spans="2:10" s="19" customFormat="1" x14ac:dyDescent="0.25">
      <c r="B2432" s="35"/>
      <c r="C2432" s="36"/>
      <c r="J2432" s="38"/>
    </row>
    <row r="2433" spans="2:10" s="19" customFormat="1" x14ac:dyDescent="0.25">
      <c r="B2433" s="35"/>
      <c r="C2433" s="36"/>
      <c r="J2433" s="38"/>
    </row>
    <row r="2434" spans="2:10" s="19" customFormat="1" x14ac:dyDescent="0.25">
      <c r="B2434" s="35"/>
      <c r="C2434" s="36"/>
      <c r="J2434" s="38"/>
    </row>
    <row r="2435" spans="2:10" s="19" customFormat="1" x14ac:dyDescent="0.25">
      <c r="B2435" s="35"/>
      <c r="C2435" s="36"/>
      <c r="J2435" s="38"/>
    </row>
    <row r="2436" spans="2:10" s="19" customFormat="1" x14ac:dyDescent="0.25">
      <c r="B2436" s="35"/>
      <c r="C2436" s="36"/>
      <c r="J2436" s="38"/>
    </row>
    <row r="2437" spans="2:10" s="19" customFormat="1" x14ac:dyDescent="0.25">
      <c r="B2437" s="35"/>
      <c r="C2437" s="36"/>
      <c r="J2437" s="38"/>
    </row>
    <row r="2438" spans="2:10" s="19" customFormat="1" x14ac:dyDescent="0.25">
      <c r="B2438" s="35"/>
      <c r="C2438" s="36"/>
      <c r="J2438" s="38"/>
    </row>
    <row r="2439" spans="2:10" s="19" customFormat="1" x14ac:dyDescent="0.25">
      <c r="B2439" s="35"/>
      <c r="C2439" s="36"/>
      <c r="J2439" s="38"/>
    </row>
    <row r="2440" spans="2:10" s="19" customFormat="1" x14ac:dyDescent="0.25">
      <c r="B2440" s="35"/>
      <c r="C2440" s="36"/>
      <c r="J2440" s="38"/>
    </row>
    <row r="2441" spans="2:10" s="19" customFormat="1" x14ac:dyDescent="0.25">
      <c r="B2441" s="35"/>
      <c r="C2441" s="36"/>
      <c r="J2441" s="38"/>
    </row>
    <row r="2442" spans="2:10" s="19" customFormat="1" x14ac:dyDescent="0.25">
      <c r="B2442" s="35"/>
      <c r="C2442" s="36"/>
      <c r="J2442" s="38"/>
    </row>
    <row r="2443" spans="2:10" s="19" customFormat="1" x14ac:dyDescent="0.25">
      <c r="B2443" s="35"/>
      <c r="C2443" s="36"/>
      <c r="J2443" s="38"/>
    </row>
    <row r="2444" spans="2:10" s="19" customFormat="1" x14ac:dyDescent="0.25">
      <c r="B2444" s="35"/>
      <c r="C2444" s="36"/>
      <c r="J2444" s="38"/>
    </row>
    <row r="2445" spans="2:10" s="19" customFormat="1" x14ac:dyDescent="0.25">
      <c r="B2445" s="35"/>
      <c r="C2445" s="36"/>
      <c r="J2445" s="38"/>
    </row>
    <row r="2446" spans="2:10" s="19" customFormat="1" x14ac:dyDescent="0.25">
      <c r="B2446" s="35"/>
      <c r="C2446" s="36"/>
      <c r="J2446" s="38"/>
    </row>
    <row r="2447" spans="2:10" s="19" customFormat="1" x14ac:dyDescent="0.25">
      <c r="B2447" s="35"/>
      <c r="C2447" s="36"/>
      <c r="J2447" s="38"/>
    </row>
    <row r="2448" spans="2:10" s="19" customFormat="1" x14ac:dyDescent="0.25">
      <c r="B2448" s="35"/>
      <c r="C2448" s="36"/>
      <c r="J2448" s="38"/>
    </row>
    <row r="2449" spans="2:10" s="19" customFormat="1" x14ac:dyDescent="0.25">
      <c r="B2449" s="35"/>
      <c r="C2449" s="36"/>
      <c r="J2449" s="38"/>
    </row>
    <row r="2450" spans="2:10" s="19" customFormat="1" x14ac:dyDescent="0.25">
      <c r="B2450" s="35"/>
      <c r="C2450" s="36"/>
      <c r="J2450" s="38"/>
    </row>
    <row r="2451" spans="2:10" s="19" customFormat="1" x14ac:dyDescent="0.25">
      <c r="B2451" s="35"/>
      <c r="C2451" s="36"/>
      <c r="J2451" s="38"/>
    </row>
    <row r="2452" spans="2:10" s="19" customFormat="1" x14ac:dyDescent="0.25">
      <c r="B2452" s="35"/>
      <c r="C2452" s="36"/>
      <c r="J2452" s="38"/>
    </row>
    <row r="2453" spans="2:10" s="19" customFormat="1" x14ac:dyDescent="0.25">
      <c r="B2453" s="35"/>
      <c r="C2453" s="36"/>
      <c r="J2453" s="38"/>
    </row>
    <row r="2454" spans="2:10" s="19" customFormat="1" x14ac:dyDescent="0.25">
      <c r="B2454" s="35"/>
      <c r="C2454" s="36"/>
      <c r="J2454" s="38"/>
    </row>
    <row r="2455" spans="2:10" s="19" customFormat="1" x14ac:dyDescent="0.25">
      <c r="B2455" s="35"/>
      <c r="C2455" s="36"/>
      <c r="J2455" s="38"/>
    </row>
    <row r="2456" spans="2:10" s="19" customFormat="1" x14ac:dyDescent="0.25">
      <c r="B2456" s="35"/>
      <c r="C2456" s="36"/>
      <c r="J2456" s="38"/>
    </row>
    <row r="2457" spans="2:10" s="19" customFormat="1" x14ac:dyDescent="0.25">
      <c r="B2457" s="35"/>
      <c r="C2457" s="36"/>
      <c r="J2457" s="38"/>
    </row>
    <row r="2458" spans="2:10" s="19" customFormat="1" x14ac:dyDescent="0.25">
      <c r="B2458" s="35"/>
      <c r="C2458" s="36"/>
      <c r="J2458" s="38"/>
    </row>
    <row r="2459" spans="2:10" s="19" customFormat="1" x14ac:dyDescent="0.25">
      <c r="B2459" s="35"/>
      <c r="C2459" s="36"/>
      <c r="J2459" s="38"/>
    </row>
    <row r="2460" spans="2:10" s="19" customFormat="1" x14ac:dyDescent="0.25">
      <c r="B2460" s="35"/>
      <c r="C2460" s="36"/>
      <c r="J2460" s="38"/>
    </row>
    <row r="2461" spans="2:10" s="19" customFormat="1" x14ac:dyDescent="0.25">
      <c r="B2461" s="35"/>
      <c r="C2461" s="36"/>
      <c r="J2461" s="38"/>
    </row>
    <row r="2462" spans="2:10" s="19" customFormat="1" x14ac:dyDescent="0.25">
      <c r="B2462" s="35"/>
      <c r="C2462" s="36"/>
      <c r="J2462" s="38"/>
    </row>
    <row r="2463" spans="2:10" s="19" customFormat="1" x14ac:dyDescent="0.25">
      <c r="B2463" s="35"/>
      <c r="C2463" s="36"/>
      <c r="J2463" s="38"/>
    </row>
    <row r="2464" spans="2:10" s="19" customFormat="1" x14ac:dyDescent="0.25">
      <c r="B2464" s="35"/>
      <c r="C2464" s="36"/>
      <c r="J2464" s="38"/>
    </row>
    <row r="2465" spans="2:10" s="19" customFormat="1" x14ac:dyDescent="0.25">
      <c r="B2465" s="35"/>
      <c r="C2465" s="36"/>
      <c r="J2465" s="38"/>
    </row>
    <row r="2466" spans="2:10" s="19" customFormat="1" x14ac:dyDescent="0.25">
      <c r="B2466" s="35"/>
      <c r="C2466" s="36"/>
      <c r="J2466" s="38"/>
    </row>
    <row r="2467" spans="2:10" s="19" customFormat="1" x14ac:dyDescent="0.25">
      <c r="B2467" s="35"/>
      <c r="C2467" s="36"/>
      <c r="J2467" s="38"/>
    </row>
    <row r="2468" spans="2:10" s="19" customFormat="1" x14ac:dyDescent="0.25">
      <c r="B2468" s="35"/>
      <c r="C2468" s="36"/>
      <c r="J2468" s="38"/>
    </row>
    <row r="2469" spans="2:10" s="19" customFormat="1" x14ac:dyDescent="0.25">
      <c r="B2469" s="35"/>
      <c r="C2469" s="36"/>
      <c r="J2469" s="38"/>
    </row>
    <row r="2470" spans="2:10" s="19" customFormat="1" x14ac:dyDescent="0.25">
      <c r="B2470" s="35"/>
      <c r="C2470" s="36"/>
      <c r="J2470" s="38"/>
    </row>
    <row r="2471" spans="2:10" s="19" customFormat="1" x14ac:dyDescent="0.25">
      <c r="B2471" s="35"/>
      <c r="C2471" s="36"/>
      <c r="J2471" s="38"/>
    </row>
    <row r="2472" spans="2:10" s="19" customFormat="1" x14ac:dyDescent="0.25">
      <c r="B2472" s="35"/>
      <c r="C2472" s="36"/>
      <c r="J2472" s="38"/>
    </row>
    <row r="2473" spans="2:10" s="19" customFormat="1" x14ac:dyDescent="0.25">
      <c r="B2473" s="35"/>
      <c r="C2473" s="36"/>
      <c r="J2473" s="38"/>
    </row>
    <row r="2474" spans="2:10" s="19" customFormat="1" x14ac:dyDescent="0.25">
      <c r="B2474" s="35"/>
      <c r="C2474" s="36"/>
      <c r="J2474" s="38"/>
    </row>
    <row r="2475" spans="2:10" s="19" customFormat="1" x14ac:dyDescent="0.25">
      <c r="B2475" s="35"/>
      <c r="C2475" s="36"/>
      <c r="J2475" s="38"/>
    </row>
    <row r="2476" spans="2:10" s="19" customFormat="1" x14ac:dyDescent="0.25">
      <c r="B2476" s="35"/>
      <c r="C2476" s="36"/>
      <c r="J2476" s="38"/>
    </row>
    <row r="2477" spans="2:10" s="19" customFormat="1" x14ac:dyDescent="0.25">
      <c r="B2477" s="35"/>
      <c r="C2477" s="36"/>
      <c r="J2477" s="38"/>
    </row>
    <row r="2478" spans="2:10" s="19" customFormat="1" x14ac:dyDescent="0.25">
      <c r="B2478" s="35"/>
      <c r="C2478" s="36"/>
      <c r="J2478" s="38"/>
    </row>
    <row r="2479" spans="2:10" s="19" customFormat="1" x14ac:dyDescent="0.25">
      <c r="B2479" s="35"/>
      <c r="C2479" s="36"/>
      <c r="J2479" s="38"/>
    </row>
    <row r="2480" spans="2:10" s="19" customFormat="1" x14ac:dyDescent="0.25">
      <c r="B2480" s="35"/>
      <c r="C2480" s="36"/>
      <c r="J2480" s="38"/>
    </row>
    <row r="2481" spans="2:10" s="19" customFormat="1" x14ac:dyDescent="0.25">
      <c r="B2481" s="35"/>
      <c r="C2481" s="36"/>
      <c r="J2481" s="38"/>
    </row>
    <row r="2482" spans="2:10" s="19" customFormat="1" x14ac:dyDescent="0.25">
      <c r="B2482" s="35"/>
      <c r="C2482" s="36"/>
      <c r="J2482" s="38"/>
    </row>
    <row r="2483" spans="2:10" s="19" customFormat="1" x14ac:dyDescent="0.25">
      <c r="B2483" s="35"/>
      <c r="C2483" s="36"/>
      <c r="J2483" s="38"/>
    </row>
    <row r="2484" spans="2:10" s="19" customFormat="1" x14ac:dyDescent="0.25">
      <c r="B2484" s="35"/>
      <c r="C2484" s="36"/>
      <c r="J2484" s="38"/>
    </row>
    <row r="2485" spans="2:10" s="19" customFormat="1" x14ac:dyDescent="0.25">
      <c r="B2485" s="35"/>
      <c r="C2485" s="36"/>
      <c r="J2485" s="38"/>
    </row>
    <row r="2486" spans="2:10" s="19" customFormat="1" x14ac:dyDescent="0.25">
      <c r="B2486" s="35"/>
      <c r="C2486" s="36"/>
      <c r="J2486" s="38"/>
    </row>
    <row r="2487" spans="2:10" s="19" customFormat="1" x14ac:dyDescent="0.25">
      <c r="B2487" s="35"/>
      <c r="C2487" s="36"/>
      <c r="J2487" s="38"/>
    </row>
    <row r="2488" spans="2:10" s="19" customFormat="1" x14ac:dyDescent="0.25">
      <c r="B2488" s="35"/>
      <c r="C2488" s="36"/>
      <c r="J2488" s="38"/>
    </row>
    <row r="2489" spans="2:10" s="19" customFormat="1" x14ac:dyDescent="0.25">
      <c r="B2489" s="35"/>
      <c r="C2489" s="36"/>
      <c r="J2489" s="38"/>
    </row>
    <row r="2490" spans="2:10" s="19" customFormat="1" x14ac:dyDescent="0.25">
      <c r="B2490" s="35"/>
      <c r="C2490" s="36"/>
      <c r="J2490" s="38"/>
    </row>
    <row r="2491" spans="2:10" s="19" customFormat="1" x14ac:dyDescent="0.25">
      <c r="B2491" s="35"/>
      <c r="C2491" s="36"/>
      <c r="J2491" s="38"/>
    </row>
    <row r="2492" spans="2:10" s="19" customFormat="1" x14ac:dyDescent="0.25">
      <c r="B2492" s="35"/>
      <c r="C2492" s="36"/>
      <c r="J2492" s="38"/>
    </row>
    <row r="2493" spans="2:10" s="19" customFormat="1" x14ac:dyDescent="0.25">
      <c r="B2493" s="35"/>
      <c r="C2493" s="36"/>
      <c r="J2493" s="38"/>
    </row>
    <row r="2494" spans="2:10" s="19" customFormat="1" x14ac:dyDescent="0.25">
      <c r="B2494" s="35"/>
      <c r="C2494" s="36"/>
      <c r="J2494" s="38"/>
    </row>
    <row r="2495" spans="2:10" s="19" customFormat="1" x14ac:dyDescent="0.25">
      <c r="B2495" s="35"/>
      <c r="C2495" s="36"/>
      <c r="J2495" s="38"/>
    </row>
    <row r="2496" spans="2:10" s="19" customFormat="1" x14ac:dyDescent="0.25">
      <c r="B2496" s="35"/>
      <c r="C2496" s="36"/>
      <c r="J2496" s="38"/>
    </row>
    <row r="2497" spans="2:10" s="19" customFormat="1" x14ac:dyDescent="0.25">
      <c r="B2497" s="35"/>
      <c r="C2497" s="36"/>
      <c r="J2497" s="38"/>
    </row>
    <row r="2498" spans="2:10" s="19" customFormat="1" x14ac:dyDescent="0.25">
      <c r="B2498" s="35"/>
      <c r="C2498" s="36"/>
      <c r="J2498" s="38"/>
    </row>
    <row r="2499" spans="2:10" s="19" customFormat="1" x14ac:dyDescent="0.25">
      <c r="B2499" s="35"/>
      <c r="C2499" s="36"/>
      <c r="J2499" s="38"/>
    </row>
    <row r="2500" spans="2:10" s="19" customFormat="1" x14ac:dyDescent="0.25">
      <c r="B2500" s="35"/>
      <c r="C2500" s="36"/>
      <c r="J2500" s="38"/>
    </row>
    <row r="2501" spans="2:10" s="19" customFormat="1" x14ac:dyDescent="0.25">
      <c r="B2501" s="35"/>
      <c r="C2501" s="36"/>
      <c r="J2501" s="38"/>
    </row>
    <row r="2502" spans="2:10" s="19" customFormat="1" x14ac:dyDescent="0.25">
      <c r="B2502" s="35"/>
      <c r="C2502" s="36"/>
      <c r="J2502" s="38"/>
    </row>
    <row r="2503" spans="2:10" s="19" customFormat="1" x14ac:dyDescent="0.25">
      <c r="B2503" s="35"/>
      <c r="C2503" s="36"/>
      <c r="J2503" s="38"/>
    </row>
    <row r="2504" spans="2:10" s="19" customFormat="1" x14ac:dyDescent="0.25">
      <c r="B2504" s="35"/>
      <c r="C2504" s="36"/>
      <c r="J2504" s="38"/>
    </row>
    <row r="2505" spans="2:10" s="19" customFormat="1" x14ac:dyDescent="0.25">
      <c r="B2505" s="35"/>
      <c r="C2505" s="36"/>
      <c r="J2505" s="38"/>
    </row>
    <row r="2506" spans="2:10" s="19" customFormat="1" x14ac:dyDescent="0.25">
      <c r="B2506" s="35"/>
      <c r="C2506" s="36"/>
      <c r="J2506" s="38"/>
    </row>
    <row r="2507" spans="2:10" s="19" customFormat="1" x14ac:dyDescent="0.25">
      <c r="B2507" s="35"/>
      <c r="C2507" s="36"/>
      <c r="J2507" s="38"/>
    </row>
    <row r="2508" spans="2:10" s="19" customFormat="1" x14ac:dyDescent="0.25">
      <c r="B2508" s="35"/>
      <c r="C2508" s="36"/>
      <c r="J2508" s="38"/>
    </row>
    <row r="2509" spans="2:10" s="19" customFormat="1" x14ac:dyDescent="0.25">
      <c r="B2509" s="35"/>
      <c r="C2509" s="36"/>
      <c r="J2509" s="38"/>
    </row>
    <row r="2510" spans="2:10" s="19" customFormat="1" x14ac:dyDescent="0.25">
      <c r="B2510" s="35"/>
      <c r="C2510" s="36"/>
      <c r="J2510" s="38"/>
    </row>
    <row r="2511" spans="2:10" s="19" customFormat="1" x14ac:dyDescent="0.25">
      <c r="B2511" s="35"/>
      <c r="C2511" s="36"/>
      <c r="J2511" s="38"/>
    </row>
    <row r="2512" spans="2:10" s="19" customFormat="1" x14ac:dyDescent="0.25">
      <c r="B2512" s="35"/>
      <c r="C2512" s="36"/>
      <c r="J2512" s="38"/>
    </row>
    <row r="2513" spans="2:10" s="19" customFormat="1" x14ac:dyDescent="0.25">
      <c r="B2513" s="35"/>
      <c r="C2513" s="36"/>
      <c r="J2513" s="38"/>
    </row>
    <row r="2514" spans="2:10" s="19" customFormat="1" x14ac:dyDescent="0.25">
      <c r="B2514" s="35"/>
      <c r="C2514" s="36"/>
      <c r="J2514" s="38"/>
    </row>
    <row r="2515" spans="2:10" s="19" customFormat="1" x14ac:dyDescent="0.25">
      <c r="B2515" s="35"/>
      <c r="C2515" s="36"/>
      <c r="J2515" s="38"/>
    </row>
    <row r="2516" spans="2:10" s="19" customFormat="1" x14ac:dyDescent="0.25">
      <c r="B2516" s="35"/>
      <c r="C2516" s="36"/>
      <c r="J2516" s="38"/>
    </row>
    <row r="2517" spans="2:10" s="19" customFormat="1" x14ac:dyDescent="0.25">
      <c r="B2517" s="35"/>
      <c r="C2517" s="36"/>
      <c r="J2517" s="38"/>
    </row>
    <row r="2518" spans="2:10" s="19" customFormat="1" x14ac:dyDescent="0.25">
      <c r="B2518" s="35"/>
      <c r="C2518" s="36"/>
      <c r="J2518" s="38"/>
    </row>
    <row r="2519" spans="2:10" s="19" customFormat="1" x14ac:dyDescent="0.25">
      <c r="B2519" s="35"/>
      <c r="C2519" s="36"/>
      <c r="J2519" s="38"/>
    </row>
    <row r="2520" spans="2:10" s="19" customFormat="1" x14ac:dyDescent="0.25">
      <c r="B2520" s="35"/>
      <c r="C2520" s="36"/>
      <c r="J2520" s="38"/>
    </row>
    <row r="2521" spans="2:10" s="19" customFormat="1" x14ac:dyDescent="0.25">
      <c r="B2521" s="35"/>
      <c r="C2521" s="36"/>
      <c r="J2521" s="38"/>
    </row>
    <row r="2522" spans="2:10" s="19" customFormat="1" x14ac:dyDescent="0.25">
      <c r="B2522" s="35"/>
      <c r="C2522" s="36"/>
      <c r="J2522" s="38"/>
    </row>
    <row r="2523" spans="2:10" s="19" customFormat="1" x14ac:dyDescent="0.25">
      <c r="B2523" s="35"/>
      <c r="C2523" s="36"/>
      <c r="J2523" s="38"/>
    </row>
    <row r="2524" spans="2:10" s="19" customFormat="1" x14ac:dyDescent="0.25">
      <c r="B2524" s="35"/>
      <c r="C2524" s="36"/>
      <c r="J2524" s="38"/>
    </row>
    <row r="2525" spans="2:10" s="19" customFormat="1" x14ac:dyDescent="0.25">
      <c r="B2525" s="35"/>
      <c r="C2525" s="36"/>
      <c r="J2525" s="38"/>
    </row>
    <row r="2526" spans="2:10" s="19" customFormat="1" x14ac:dyDescent="0.25">
      <c r="B2526" s="35"/>
      <c r="C2526" s="36"/>
      <c r="J2526" s="38"/>
    </row>
    <row r="2527" spans="2:10" s="19" customFormat="1" x14ac:dyDescent="0.25">
      <c r="B2527" s="35"/>
      <c r="C2527" s="36"/>
      <c r="J2527" s="38"/>
    </row>
    <row r="2528" spans="2:10" s="19" customFormat="1" x14ac:dyDescent="0.25">
      <c r="B2528" s="35"/>
      <c r="C2528" s="36"/>
      <c r="J2528" s="38"/>
    </row>
    <row r="2529" spans="2:10" s="19" customFormat="1" x14ac:dyDescent="0.25">
      <c r="B2529" s="35"/>
      <c r="C2529" s="36"/>
      <c r="J2529" s="38"/>
    </row>
    <row r="2530" spans="2:10" s="19" customFormat="1" x14ac:dyDescent="0.25">
      <c r="B2530" s="35"/>
      <c r="C2530" s="36"/>
      <c r="J2530" s="38"/>
    </row>
    <row r="2531" spans="2:10" s="19" customFormat="1" x14ac:dyDescent="0.25">
      <c r="B2531" s="35"/>
      <c r="C2531" s="36"/>
      <c r="J2531" s="38"/>
    </row>
    <row r="2532" spans="2:10" s="19" customFormat="1" x14ac:dyDescent="0.25">
      <c r="B2532" s="35"/>
      <c r="C2532" s="36"/>
      <c r="J2532" s="38"/>
    </row>
    <row r="2533" spans="2:10" s="19" customFormat="1" x14ac:dyDescent="0.25">
      <c r="B2533" s="35"/>
      <c r="C2533" s="36"/>
      <c r="J2533" s="38"/>
    </row>
    <row r="2534" spans="2:10" s="19" customFormat="1" x14ac:dyDescent="0.25">
      <c r="B2534" s="35"/>
      <c r="C2534" s="36"/>
      <c r="J2534" s="38"/>
    </row>
    <row r="2535" spans="2:10" s="19" customFormat="1" x14ac:dyDescent="0.25">
      <c r="B2535" s="35"/>
      <c r="C2535" s="36"/>
      <c r="J2535" s="38"/>
    </row>
    <row r="2536" spans="2:10" s="19" customFormat="1" x14ac:dyDescent="0.25">
      <c r="B2536" s="35"/>
      <c r="C2536" s="36"/>
      <c r="J2536" s="38"/>
    </row>
    <row r="2537" spans="2:10" s="19" customFormat="1" x14ac:dyDescent="0.25">
      <c r="B2537" s="35"/>
      <c r="C2537" s="36"/>
      <c r="J2537" s="38"/>
    </row>
    <row r="2538" spans="2:10" s="19" customFormat="1" x14ac:dyDescent="0.25">
      <c r="B2538" s="35"/>
      <c r="C2538" s="36"/>
      <c r="J2538" s="38"/>
    </row>
    <row r="2539" spans="2:10" s="19" customFormat="1" x14ac:dyDescent="0.25">
      <c r="B2539" s="35"/>
      <c r="C2539" s="36"/>
      <c r="J2539" s="38"/>
    </row>
    <row r="2540" spans="2:10" s="19" customFormat="1" x14ac:dyDescent="0.25">
      <c r="B2540" s="35"/>
      <c r="C2540" s="36"/>
      <c r="J2540" s="38"/>
    </row>
    <row r="2541" spans="2:10" s="19" customFormat="1" x14ac:dyDescent="0.25">
      <c r="B2541" s="35"/>
      <c r="C2541" s="36"/>
      <c r="J2541" s="38"/>
    </row>
    <row r="2542" spans="2:10" s="19" customFormat="1" x14ac:dyDescent="0.25">
      <c r="B2542" s="35"/>
      <c r="C2542" s="36"/>
      <c r="J2542" s="38"/>
    </row>
    <row r="2543" spans="2:10" s="19" customFormat="1" x14ac:dyDescent="0.25">
      <c r="B2543" s="35"/>
      <c r="C2543" s="36"/>
      <c r="J2543" s="38"/>
    </row>
    <row r="2544" spans="2:10" s="19" customFormat="1" x14ac:dyDescent="0.25">
      <c r="B2544" s="35"/>
      <c r="C2544" s="36"/>
      <c r="J2544" s="38"/>
    </row>
    <row r="2545" spans="2:10" s="19" customFormat="1" x14ac:dyDescent="0.25">
      <c r="B2545" s="35"/>
      <c r="C2545" s="36"/>
      <c r="J2545" s="38"/>
    </row>
    <row r="2546" spans="2:10" s="19" customFormat="1" x14ac:dyDescent="0.25">
      <c r="B2546" s="35"/>
      <c r="C2546" s="36"/>
      <c r="J2546" s="38"/>
    </row>
    <row r="2547" spans="2:10" s="19" customFormat="1" x14ac:dyDescent="0.25">
      <c r="B2547" s="35"/>
      <c r="C2547" s="36"/>
      <c r="J2547" s="38"/>
    </row>
    <row r="2548" spans="2:10" s="19" customFormat="1" x14ac:dyDescent="0.25">
      <c r="B2548" s="35"/>
      <c r="C2548" s="36"/>
      <c r="J2548" s="38"/>
    </row>
    <row r="2549" spans="2:10" s="19" customFormat="1" x14ac:dyDescent="0.25">
      <c r="B2549" s="35"/>
      <c r="C2549" s="36"/>
      <c r="J2549" s="38"/>
    </row>
    <row r="2550" spans="2:10" s="19" customFormat="1" x14ac:dyDescent="0.25">
      <c r="B2550" s="35"/>
      <c r="C2550" s="36"/>
      <c r="J2550" s="38"/>
    </row>
    <row r="2551" spans="2:10" s="19" customFormat="1" x14ac:dyDescent="0.25">
      <c r="B2551" s="35"/>
      <c r="C2551" s="36"/>
      <c r="J2551" s="38"/>
    </row>
    <row r="2552" spans="2:10" s="19" customFormat="1" x14ac:dyDescent="0.25">
      <c r="B2552" s="35"/>
      <c r="C2552" s="36"/>
      <c r="J2552" s="38"/>
    </row>
    <row r="2553" spans="2:10" s="19" customFormat="1" x14ac:dyDescent="0.25">
      <c r="B2553" s="35"/>
      <c r="C2553" s="36"/>
      <c r="J2553" s="38"/>
    </row>
    <row r="2554" spans="2:10" s="19" customFormat="1" x14ac:dyDescent="0.25">
      <c r="B2554" s="35"/>
      <c r="C2554" s="36"/>
      <c r="J2554" s="38"/>
    </row>
    <row r="2555" spans="2:10" s="19" customFormat="1" x14ac:dyDescent="0.25">
      <c r="B2555" s="35"/>
      <c r="C2555" s="36"/>
      <c r="J2555" s="38"/>
    </row>
    <row r="2556" spans="2:10" s="19" customFormat="1" x14ac:dyDescent="0.25">
      <c r="B2556" s="35"/>
      <c r="C2556" s="36"/>
      <c r="J2556" s="38"/>
    </row>
    <row r="2557" spans="2:10" s="19" customFormat="1" x14ac:dyDescent="0.25">
      <c r="B2557" s="35"/>
      <c r="C2557" s="36"/>
      <c r="J2557" s="38"/>
    </row>
    <row r="2558" spans="2:10" s="19" customFormat="1" x14ac:dyDescent="0.25">
      <c r="B2558" s="35"/>
      <c r="C2558" s="36"/>
      <c r="J2558" s="38"/>
    </row>
    <row r="2559" spans="2:10" s="19" customFormat="1" x14ac:dyDescent="0.25">
      <c r="B2559" s="35"/>
      <c r="C2559" s="36"/>
      <c r="J2559" s="38"/>
    </row>
    <row r="2560" spans="2:10" s="19" customFormat="1" x14ac:dyDescent="0.25">
      <c r="B2560" s="35"/>
      <c r="C2560" s="36"/>
      <c r="J2560" s="38"/>
    </row>
    <row r="2561" spans="2:10" s="19" customFormat="1" x14ac:dyDescent="0.25">
      <c r="B2561" s="35"/>
      <c r="C2561" s="36"/>
      <c r="J2561" s="38"/>
    </row>
    <row r="2562" spans="2:10" s="19" customFormat="1" x14ac:dyDescent="0.25">
      <c r="B2562" s="35"/>
      <c r="C2562" s="36"/>
      <c r="J2562" s="38"/>
    </row>
    <row r="2563" spans="2:10" s="19" customFormat="1" x14ac:dyDescent="0.25">
      <c r="B2563" s="35"/>
      <c r="C2563" s="36"/>
      <c r="J2563" s="38"/>
    </row>
    <row r="2564" spans="2:10" s="19" customFormat="1" x14ac:dyDescent="0.25">
      <c r="B2564" s="35"/>
      <c r="C2564" s="36"/>
      <c r="J2564" s="38"/>
    </row>
    <row r="2565" spans="2:10" s="19" customFormat="1" x14ac:dyDescent="0.25">
      <c r="B2565" s="35"/>
      <c r="C2565" s="36"/>
      <c r="J2565" s="38"/>
    </row>
    <row r="2566" spans="2:10" s="19" customFormat="1" x14ac:dyDescent="0.25">
      <c r="B2566" s="35"/>
      <c r="C2566" s="36"/>
      <c r="J2566" s="38"/>
    </row>
    <row r="2567" spans="2:10" s="19" customFormat="1" x14ac:dyDescent="0.25">
      <c r="B2567" s="35"/>
      <c r="C2567" s="36"/>
      <c r="J2567" s="38"/>
    </row>
    <row r="2568" spans="2:10" s="19" customFormat="1" x14ac:dyDescent="0.25">
      <c r="B2568" s="35"/>
      <c r="C2568" s="36"/>
      <c r="J2568" s="38"/>
    </row>
    <row r="2569" spans="2:10" s="19" customFormat="1" x14ac:dyDescent="0.25">
      <c r="B2569" s="35"/>
      <c r="C2569" s="36"/>
      <c r="J2569" s="38"/>
    </row>
    <row r="2570" spans="2:10" s="19" customFormat="1" x14ac:dyDescent="0.25">
      <c r="B2570" s="35"/>
      <c r="C2570" s="36"/>
      <c r="J2570" s="38"/>
    </row>
    <row r="2571" spans="2:10" s="19" customFormat="1" x14ac:dyDescent="0.25">
      <c r="B2571" s="35"/>
      <c r="C2571" s="36"/>
      <c r="J2571" s="38"/>
    </row>
    <row r="2572" spans="2:10" s="19" customFormat="1" x14ac:dyDescent="0.25">
      <c r="B2572" s="35"/>
      <c r="C2572" s="36"/>
      <c r="J2572" s="38"/>
    </row>
    <row r="2573" spans="2:10" s="19" customFormat="1" x14ac:dyDescent="0.25">
      <c r="B2573" s="35"/>
      <c r="C2573" s="36"/>
      <c r="J2573" s="38"/>
    </row>
    <row r="2574" spans="2:10" s="19" customFormat="1" x14ac:dyDescent="0.25">
      <c r="B2574" s="35"/>
      <c r="C2574" s="36"/>
      <c r="J2574" s="38"/>
    </row>
    <row r="2575" spans="2:10" s="19" customFormat="1" x14ac:dyDescent="0.25">
      <c r="B2575" s="35"/>
      <c r="C2575" s="36"/>
      <c r="J2575" s="38"/>
    </row>
    <row r="2576" spans="2:10" s="19" customFormat="1" x14ac:dyDescent="0.25">
      <c r="B2576" s="35"/>
      <c r="C2576" s="36"/>
      <c r="J2576" s="38"/>
    </row>
    <row r="2577" spans="2:10" s="19" customFormat="1" x14ac:dyDescent="0.25">
      <c r="B2577" s="35"/>
      <c r="C2577" s="36"/>
      <c r="J2577" s="38"/>
    </row>
    <row r="2578" spans="2:10" s="19" customFormat="1" x14ac:dyDescent="0.25">
      <c r="B2578" s="35"/>
      <c r="C2578" s="36"/>
      <c r="J2578" s="38"/>
    </row>
    <row r="2579" spans="2:10" s="19" customFormat="1" x14ac:dyDescent="0.25">
      <c r="B2579" s="35"/>
      <c r="C2579" s="36"/>
      <c r="J2579" s="38"/>
    </row>
    <row r="2580" spans="2:10" s="19" customFormat="1" x14ac:dyDescent="0.25">
      <c r="B2580" s="35"/>
      <c r="C2580" s="36"/>
      <c r="J2580" s="38"/>
    </row>
    <row r="2581" spans="2:10" s="19" customFormat="1" x14ac:dyDescent="0.25">
      <c r="B2581" s="35"/>
      <c r="C2581" s="36"/>
      <c r="J2581" s="38"/>
    </row>
    <row r="2582" spans="2:10" s="19" customFormat="1" x14ac:dyDescent="0.25">
      <c r="B2582" s="35"/>
      <c r="C2582" s="36"/>
      <c r="J2582" s="38"/>
    </row>
    <row r="2583" spans="2:10" s="19" customFormat="1" x14ac:dyDescent="0.25">
      <c r="B2583" s="35"/>
      <c r="C2583" s="36"/>
      <c r="J2583" s="38"/>
    </row>
    <row r="2584" spans="2:10" s="19" customFormat="1" x14ac:dyDescent="0.25">
      <c r="B2584" s="35"/>
      <c r="C2584" s="36"/>
      <c r="J2584" s="38"/>
    </row>
    <row r="2585" spans="2:10" s="19" customFormat="1" x14ac:dyDescent="0.25">
      <c r="B2585" s="35"/>
      <c r="C2585" s="36"/>
      <c r="J2585" s="38"/>
    </row>
    <row r="2586" spans="2:10" s="19" customFormat="1" x14ac:dyDescent="0.25">
      <c r="B2586" s="35"/>
      <c r="C2586" s="36"/>
      <c r="J2586" s="38"/>
    </row>
    <row r="2587" spans="2:10" s="19" customFormat="1" x14ac:dyDescent="0.25">
      <c r="B2587" s="35"/>
      <c r="C2587" s="36"/>
      <c r="J2587" s="38"/>
    </row>
    <row r="2588" spans="2:10" s="19" customFormat="1" x14ac:dyDescent="0.25">
      <c r="B2588" s="35"/>
      <c r="C2588" s="36"/>
      <c r="J2588" s="38"/>
    </row>
    <row r="2589" spans="2:10" s="19" customFormat="1" x14ac:dyDescent="0.25">
      <c r="B2589" s="35"/>
      <c r="C2589" s="36"/>
      <c r="J2589" s="38"/>
    </row>
    <row r="2590" spans="2:10" s="19" customFormat="1" x14ac:dyDescent="0.25">
      <c r="B2590" s="35"/>
      <c r="C2590" s="36"/>
      <c r="J2590" s="38"/>
    </row>
    <row r="2591" spans="2:10" s="19" customFormat="1" x14ac:dyDescent="0.25">
      <c r="B2591" s="35"/>
      <c r="C2591" s="36"/>
      <c r="J2591" s="38"/>
    </row>
    <row r="2592" spans="2:10" s="19" customFormat="1" x14ac:dyDescent="0.25">
      <c r="B2592" s="35"/>
      <c r="C2592" s="36"/>
      <c r="J2592" s="38"/>
    </row>
    <row r="2593" spans="2:10" s="19" customFormat="1" x14ac:dyDescent="0.25">
      <c r="B2593" s="35"/>
      <c r="C2593" s="36"/>
      <c r="J2593" s="38"/>
    </row>
    <row r="2594" spans="2:10" s="19" customFormat="1" x14ac:dyDescent="0.25">
      <c r="B2594" s="35"/>
      <c r="C2594" s="36"/>
      <c r="J2594" s="38"/>
    </row>
    <row r="2595" spans="2:10" s="19" customFormat="1" x14ac:dyDescent="0.25">
      <c r="B2595" s="35"/>
      <c r="C2595" s="36"/>
      <c r="J2595" s="38"/>
    </row>
    <row r="2596" spans="2:10" s="19" customFormat="1" x14ac:dyDescent="0.25">
      <c r="B2596" s="35"/>
      <c r="C2596" s="36"/>
      <c r="J2596" s="38"/>
    </row>
    <row r="2597" spans="2:10" s="19" customFormat="1" x14ac:dyDescent="0.25">
      <c r="B2597" s="35"/>
      <c r="C2597" s="36"/>
      <c r="J2597" s="38"/>
    </row>
    <row r="2598" spans="2:10" s="19" customFormat="1" x14ac:dyDescent="0.25">
      <c r="B2598" s="35"/>
      <c r="C2598" s="36"/>
      <c r="J2598" s="38"/>
    </row>
    <row r="2599" spans="2:10" s="19" customFormat="1" x14ac:dyDescent="0.25">
      <c r="B2599" s="35"/>
      <c r="C2599" s="36"/>
      <c r="J2599" s="38"/>
    </row>
    <row r="2600" spans="2:10" s="19" customFormat="1" x14ac:dyDescent="0.25">
      <c r="B2600" s="35"/>
      <c r="C2600" s="36"/>
      <c r="J2600" s="38"/>
    </row>
    <row r="2601" spans="2:10" s="19" customFormat="1" x14ac:dyDescent="0.25">
      <c r="B2601" s="35"/>
      <c r="C2601" s="36"/>
      <c r="J2601" s="38"/>
    </row>
    <row r="2602" spans="2:10" s="19" customFormat="1" x14ac:dyDescent="0.25">
      <c r="B2602" s="35"/>
      <c r="C2602" s="36"/>
      <c r="J2602" s="38"/>
    </row>
    <row r="2603" spans="2:10" s="19" customFormat="1" x14ac:dyDescent="0.25">
      <c r="B2603" s="35"/>
      <c r="C2603" s="36"/>
      <c r="J2603" s="38"/>
    </row>
    <row r="2604" spans="2:10" s="19" customFormat="1" x14ac:dyDescent="0.25">
      <c r="B2604" s="35"/>
      <c r="C2604" s="36"/>
      <c r="J2604" s="38"/>
    </row>
    <row r="2605" spans="2:10" s="19" customFormat="1" x14ac:dyDescent="0.25">
      <c r="B2605" s="35"/>
      <c r="C2605" s="36"/>
      <c r="J2605" s="38"/>
    </row>
    <row r="2606" spans="2:10" s="19" customFormat="1" x14ac:dyDescent="0.25">
      <c r="B2606" s="35"/>
      <c r="C2606" s="36"/>
      <c r="J2606" s="38"/>
    </row>
    <row r="2607" spans="2:10" s="19" customFormat="1" x14ac:dyDescent="0.25">
      <c r="B2607" s="35"/>
      <c r="C2607" s="36"/>
      <c r="J2607" s="38"/>
    </row>
    <row r="2608" spans="2:10" s="19" customFormat="1" x14ac:dyDescent="0.25">
      <c r="B2608" s="35"/>
      <c r="C2608" s="36"/>
      <c r="J2608" s="38"/>
    </row>
    <row r="2609" spans="2:10" s="19" customFormat="1" x14ac:dyDescent="0.25">
      <c r="B2609" s="35"/>
      <c r="C2609" s="36"/>
      <c r="J2609" s="38"/>
    </row>
    <row r="2610" spans="2:10" s="19" customFormat="1" x14ac:dyDescent="0.25">
      <c r="B2610" s="35"/>
      <c r="C2610" s="36"/>
      <c r="J2610" s="38"/>
    </row>
    <row r="2611" spans="2:10" s="19" customFormat="1" x14ac:dyDescent="0.25">
      <c r="B2611" s="35"/>
      <c r="C2611" s="36"/>
      <c r="J2611" s="38"/>
    </row>
    <row r="2612" spans="2:10" s="19" customFormat="1" x14ac:dyDescent="0.25">
      <c r="B2612" s="35"/>
      <c r="C2612" s="36"/>
      <c r="J2612" s="38"/>
    </row>
    <row r="2613" spans="2:10" s="19" customFormat="1" x14ac:dyDescent="0.25">
      <c r="B2613" s="35"/>
      <c r="C2613" s="36"/>
      <c r="J2613" s="38"/>
    </row>
    <row r="2614" spans="2:10" s="19" customFormat="1" x14ac:dyDescent="0.25">
      <c r="B2614" s="35"/>
      <c r="C2614" s="36"/>
      <c r="J2614" s="38"/>
    </row>
    <row r="2615" spans="2:10" s="19" customFormat="1" x14ac:dyDescent="0.25">
      <c r="B2615" s="35"/>
      <c r="C2615" s="36"/>
      <c r="J2615" s="38"/>
    </row>
    <row r="2616" spans="2:10" s="19" customFormat="1" x14ac:dyDescent="0.25">
      <c r="B2616" s="35"/>
      <c r="C2616" s="36"/>
      <c r="J2616" s="38"/>
    </row>
    <row r="2617" spans="2:10" s="19" customFormat="1" x14ac:dyDescent="0.25">
      <c r="B2617" s="35"/>
      <c r="C2617" s="36"/>
      <c r="J2617" s="38"/>
    </row>
    <row r="2618" spans="2:10" s="19" customFormat="1" x14ac:dyDescent="0.25">
      <c r="B2618" s="35"/>
      <c r="C2618" s="36"/>
      <c r="J2618" s="38"/>
    </row>
    <row r="2619" spans="2:10" s="19" customFormat="1" x14ac:dyDescent="0.25">
      <c r="B2619" s="35"/>
      <c r="C2619" s="36"/>
      <c r="J2619" s="38"/>
    </row>
    <row r="2620" spans="2:10" s="19" customFormat="1" x14ac:dyDescent="0.25">
      <c r="B2620" s="35"/>
      <c r="C2620" s="36"/>
      <c r="J2620" s="38"/>
    </row>
    <row r="2621" spans="2:10" s="19" customFormat="1" x14ac:dyDescent="0.25">
      <c r="B2621" s="35"/>
      <c r="C2621" s="36"/>
      <c r="J2621" s="38"/>
    </row>
    <row r="2622" spans="2:10" s="19" customFormat="1" x14ac:dyDescent="0.25">
      <c r="B2622" s="35"/>
      <c r="C2622" s="36"/>
      <c r="J2622" s="38"/>
    </row>
    <row r="2623" spans="2:10" s="19" customFormat="1" x14ac:dyDescent="0.25">
      <c r="B2623" s="35"/>
      <c r="C2623" s="36"/>
      <c r="J2623" s="38"/>
    </row>
    <row r="2624" spans="2:10" s="19" customFormat="1" x14ac:dyDescent="0.25">
      <c r="B2624" s="35"/>
      <c r="C2624" s="36"/>
      <c r="J2624" s="38"/>
    </row>
    <row r="2625" spans="2:10" s="19" customFormat="1" x14ac:dyDescent="0.25">
      <c r="B2625" s="35"/>
      <c r="C2625" s="36"/>
      <c r="J2625" s="38"/>
    </row>
    <row r="2626" spans="2:10" s="19" customFormat="1" x14ac:dyDescent="0.25">
      <c r="B2626" s="35"/>
      <c r="C2626" s="36"/>
      <c r="J2626" s="38"/>
    </row>
    <row r="2627" spans="2:10" s="19" customFormat="1" x14ac:dyDescent="0.25">
      <c r="B2627" s="35"/>
      <c r="C2627" s="36"/>
      <c r="J2627" s="38"/>
    </row>
    <row r="2628" spans="2:10" s="19" customFormat="1" x14ac:dyDescent="0.25">
      <c r="B2628" s="35"/>
      <c r="C2628" s="36"/>
      <c r="J2628" s="38"/>
    </row>
    <row r="2629" spans="2:10" s="19" customFormat="1" x14ac:dyDescent="0.25">
      <c r="B2629" s="35"/>
      <c r="C2629" s="36"/>
      <c r="J2629" s="38"/>
    </row>
    <row r="2630" spans="2:10" s="19" customFormat="1" x14ac:dyDescent="0.25">
      <c r="B2630" s="35"/>
      <c r="C2630" s="36"/>
      <c r="J2630" s="38"/>
    </row>
    <row r="2631" spans="2:10" s="19" customFormat="1" x14ac:dyDescent="0.25">
      <c r="B2631" s="35"/>
      <c r="C2631" s="36"/>
      <c r="J2631" s="38"/>
    </row>
    <row r="2632" spans="2:10" s="19" customFormat="1" x14ac:dyDescent="0.25">
      <c r="B2632" s="35"/>
      <c r="C2632" s="36"/>
      <c r="J2632" s="38"/>
    </row>
    <row r="2633" spans="2:10" s="19" customFormat="1" x14ac:dyDescent="0.25">
      <c r="B2633" s="35"/>
      <c r="C2633" s="36"/>
      <c r="J2633" s="38"/>
    </row>
    <row r="2634" spans="2:10" s="19" customFormat="1" x14ac:dyDescent="0.25">
      <c r="B2634" s="35"/>
      <c r="C2634" s="36"/>
      <c r="J2634" s="38"/>
    </row>
    <row r="2635" spans="2:10" s="19" customFormat="1" x14ac:dyDescent="0.25">
      <c r="B2635" s="35"/>
      <c r="C2635" s="36"/>
      <c r="J2635" s="38"/>
    </row>
    <row r="2636" spans="2:10" s="19" customFormat="1" x14ac:dyDescent="0.25">
      <c r="B2636" s="35"/>
      <c r="C2636" s="36"/>
      <c r="J2636" s="38"/>
    </row>
    <row r="2637" spans="2:10" s="19" customFormat="1" x14ac:dyDescent="0.25">
      <c r="B2637" s="35"/>
      <c r="C2637" s="36"/>
      <c r="J2637" s="38"/>
    </row>
    <row r="2638" spans="2:10" s="19" customFormat="1" x14ac:dyDescent="0.25">
      <c r="B2638" s="35"/>
      <c r="C2638" s="36"/>
      <c r="J2638" s="38"/>
    </row>
    <row r="2639" spans="2:10" s="19" customFormat="1" x14ac:dyDescent="0.25">
      <c r="B2639" s="35"/>
      <c r="C2639" s="36"/>
      <c r="J2639" s="38"/>
    </row>
    <row r="2640" spans="2:10" s="19" customFormat="1" x14ac:dyDescent="0.25">
      <c r="B2640" s="35"/>
      <c r="C2640" s="36"/>
      <c r="J2640" s="38"/>
    </row>
    <row r="2641" spans="2:10" s="19" customFormat="1" x14ac:dyDescent="0.25">
      <c r="B2641" s="35"/>
      <c r="C2641" s="36"/>
      <c r="J2641" s="38"/>
    </row>
    <row r="2642" spans="2:10" s="19" customFormat="1" x14ac:dyDescent="0.25">
      <c r="B2642" s="35"/>
      <c r="C2642" s="36"/>
      <c r="J2642" s="38"/>
    </row>
    <row r="2643" spans="2:10" s="19" customFormat="1" x14ac:dyDescent="0.25">
      <c r="B2643" s="35"/>
      <c r="C2643" s="36"/>
      <c r="J2643" s="38"/>
    </row>
    <row r="2644" spans="2:10" s="19" customFormat="1" x14ac:dyDescent="0.25">
      <c r="B2644" s="35"/>
      <c r="C2644" s="36"/>
      <c r="J2644" s="38"/>
    </row>
    <row r="2645" spans="2:10" s="19" customFormat="1" x14ac:dyDescent="0.25">
      <c r="B2645" s="35"/>
      <c r="C2645" s="36"/>
      <c r="J2645" s="38"/>
    </row>
    <row r="2646" spans="2:10" s="19" customFormat="1" x14ac:dyDescent="0.25">
      <c r="B2646" s="35"/>
      <c r="C2646" s="36"/>
      <c r="J2646" s="38"/>
    </row>
    <row r="2647" spans="2:10" s="19" customFormat="1" x14ac:dyDescent="0.25">
      <c r="B2647" s="35"/>
      <c r="C2647" s="36"/>
      <c r="J2647" s="38"/>
    </row>
    <row r="2648" spans="2:10" s="19" customFormat="1" x14ac:dyDescent="0.25">
      <c r="B2648" s="35"/>
      <c r="C2648" s="36"/>
      <c r="J2648" s="38"/>
    </row>
    <row r="2649" spans="2:10" s="19" customFormat="1" x14ac:dyDescent="0.25">
      <c r="B2649" s="35"/>
      <c r="C2649" s="36"/>
      <c r="J2649" s="38"/>
    </row>
    <row r="2650" spans="2:10" s="19" customFormat="1" x14ac:dyDescent="0.25">
      <c r="B2650" s="35"/>
      <c r="C2650" s="36"/>
      <c r="J2650" s="38"/>
    </row>
    <row r="2651" spans="2:10" s="19" customFormat="1" x14ac:dyDescent="0.25">
      <c r="B2651" s="35"/>
      <c r="C2651" s="36"/>
      <c r="J2651" s="38"/>
    </row>
    <row r="2652" spans="2:10" s="19" customFormat="1" x14ac:dyDescent="0.25">
      <c r="B2652" s="35"/>
      <c r="C2652" s="36"/>
      <c r="J2652" s="38"/>
    </row>
    <row r="2653" spans="2:10" s="19" customFormat="1" x14ac:dyDescent="0.25">
      <c r="B2653" s="35"/>
      <c r="C2653" s="36"/>
      <c r="J2653" s="38"/>
    </row>
    <row r="2654" spans="2:10" s="19" customFormat="1" x14ac:dyDescent="0.25">
      <c r="B2654" s="35"/>
      <c r="C2654" s="36"/>
      <c r="J2654" s="38"/>
    </row>
    <row r="2655" spans="2:10" s="19" customFormat="1" x14ac:dyDescent="0.25">
      <c r="B2655" s="35"/>
      <c r="C2655" s="36"/>
      <c r="J2655" s="38"/>
    </row>
    <row r="2656" spans="2:10" s="19" customFormat="1" x14ac:dyDescent="0.25">
      <c r="B2656" s="35"/>
      <c r="C2656" s="36"/>
      <c r="J2656" s="38"/>
    </row>
    <row r="2657" spans="2:10" s="19" customFormat="1" x14ac:dyDescent="0.25">
      <c r="B2657" s="35"/>
      <c r="C2657" s="36"/>
      <c r="J2657" s="38"/>
    </row>
    <row r="2658" spans="2:10" s="19" customFormat="1" x14ac:dyDescent="0.25">
      <c r="B2658" s="35"/>
      <c r="C2658" s="36"/>
      <c r="J2658" s="38"/>
    </row>
    <row r="2659" spans="2:10" s="19" customFormat="1" x14ac:dyDescent="0.25">
      <c r="B2659" s="35"/>
      <c r="C2659" s="36"/>
      <c r="J2659" s="38"/>
    </row>
    <row r="2660" spans="2:10" s="19" customFormat="1" x14ac:dyDescent="0.25">
      <c r="B2660" s="35"/>
      <c r="C2660" s="36"/>
      <c r="J2660" s="38"/>
    </row>
    <row r="2661" spans="2:10" s="19" customFormat="1" x14ac:dyDescent="0.25">
      <c r="B2661" s="35"/>
      <c r="C2661" s="36"/>
      <c r="J2661" s="38"/>
    </row>
    <row r="2662" spans="2:10" s="19" customFormat="1" x14ac:dyDescent="0.25">
      <c r="B2662" s="35"/>
      <c r="C2662" s="36"/>
      <c r="J2662" s="38"/>
    </row>
    <row r="2663" spans="2:10" s="19" customFormat="1" x14ac:dyDescent="0.25">
      <c r="B2663" s="35"/>
      <c r="C2663" s="36"/>
      <c r="J2663" s="38"/>
    </row>
    <row r="2664" spans="2:10" s="19" customFormat="1" x14ac:dyDescent="0.25">
      <c r="B2664" s="35"/>
      <c r="C2664" s="36"/>
      <c r="J2664" s="38"/>
    </row>
    <row r="2665" spans="2:10" s="19" customFormat="1" x14ac:dyDescent="0.25">
      <c r="B2665" s="35"/>
      <c r="C2665" s="36"/>
      <c r="J2665" s="38"/>
    </row>
    <row r="2666" spans="2:10" s="19" customFormat="1" x14ac:dyDescent="0.25">
      <c r="B2666" s="35"/>
      <c r="C2666" s="36"/>
      <c r="J2666" s="38"/>
    </row>
    <row r="2667" spans="2:10" s="19" customFormat="1" x14ac:dyDescent="0.25">
      <c r="B2667" s="35"/>
      <c r="C2667" s="36"/>
      <c r="J2667" s="38"/>
    </row>
    <row r="2668" spans="2:10" s="19" customFormat="1" x14ac:dyDescent="0.25">
      <c r="B2668" s="35"/>
      <c r="C2668" s="36"/>
      <c r="J2668" s="38"/>
    </row>
    <row r="2669" spans="2:10" s="19" customFormat="1" x14ac:dyDescent="0.25">
      <c r="B2669" s="35"/>
      <c r="C2669" s="36"/>
      <c r="J2669" s="38"/>
    </row>
    <row r="2670" spans="2:10" s="19" customFormat="1" x14ac:dyDescent="0.25">
      <c r="B2670" s="35"/>
      <c r="C2670" s="36"/>
      <c r="J2670" s="38"/>
    </row>
    <row r="2671" spans="2:10" s="19" customFormat="1" x14ac:dyDescent="0.25">
      <c r="B2671" s="35"/>
      <c r="C2671" s="36"/>
      <c r="J2671" s="38"/>
    </row>
    <row r="2672" spans="2:10" s="19" customFormat="1" x14ac:dyDescent="0.25">
      <c r="B2672" s="35"/>
      <c r="C2672" s="36"/>
      <c r="J2672" s="38"/>
    </row>
    <row r="2673" spans="2:10" s="19" customFormat="1" x14ac:dyDescent="0.25">
      <c r="B2673" s="35"/>
      <c r="C2673" s="36"/>
      <c r="J2673" s="38"/>
    </row>
    <row r="2674" spans="2:10" s="19" customFormat="1" x14ac:dyDescent="0.25">
      <c r="B2674" s="35"/>
      <c r="C2674" s="36"/>
      <c r="J2674" s="38"/>
    </row>
    <row r="2675" spans="2:10" s="19" customFormat="1" x14ac:dyDescent="0.25">
      <c r="B2675" s="35"/>
      <c r="C2675" s="36"/>
      <c r="J2675" s="38"/>
    </row>
    <row r="2676" spans="2:10" s="19" customFormat="1" x14ac:dyDescent="0.25">
      <c r="B2676" s="35"/>
      <c r="C2676" s="36"/>
      <c r="J2676" s="38"/>
    </row>
    <row r="2677" spans="2:10" s="19" customFormat="1" x14ac:dyDescent="0.25">
      <c r="B2677" s="35"/>
      <c r="C2677" s="36"/>
      <c r="J2677" s="38"/>
    </row>
    <row r="2678" spans="2:10" s="19" customFormat="1" x14ac:dyDescent="0.25">
      <c r="B2678" s="35"/>
      <c r="C2678" s="36"/>
      <c r="J2678" s="38"/>
    </row>
    <row r="2679" spans="2:10" s="19" customFormat="1" x14ac:dyDescent="0.25">
      <c r="B2679" s="35"/>
      <c r="C2679" s="36"/>
      <c r="J2679" s="38"/>
    </row>
    <row r="2680" spans="2:10" s="19" customFormat="1" x14ac:dyDescent="0.25">
      <c r="B2680" s="35"/>
      <c r="C2680" s="36"/>
      <c r="J2680" s="38"/>
    </row>
    <row r="2681" spans="2:10" s="19" customFormat="1" x14ac:dyDescent="0.25">
      <c r="B2681" s="35"/>
      <c r="C2681" s="36"/>
      <c r="J2681" s="38"/>
    </row>
    <row r="2682" spans="2:10" s="19" customFormat="1" x14ac:dyDescent="0.25">
      <c r="B2682" s="35"/>
      <c r="C2682" s="36"/>
      <c r="J2682" s="38"/>
    </row>
    <row r="2683" spans="2:10" s="19" customFormat="1" x14ac:dyDescent="0.25">
      <c r="B2683" s="35"/>
      <c r="C2683" s="36"/>
      <c r="J2683" s="38"/>
    </row>
    <row r="2684" spans="2:10" s="19" customFormat="1" x14ac:dyDescent="0.25">
      <c r="B2684" s="35"/>
      <c r="C2684" s="36"/>
      <c r="J2684" s="38"/>
    </row>
    <row r="2685" spans="2:10" s="19" customFormat="1" x14ac:dyDescent="0.25">
      <c r="B2685" s="35"/>
      <c r="C2685" s="36"/>
      <c r="J2685" s="38"/>
    </row>
    <row r="2686" spans="2:10" s="19" customFormat="1" x14ac:dyDescent="0.25">
      <c r="B2686" s="35"/>
      <c r="C2686" s="36"/>
      <c r="J2686" s="38"/>
    </row>
    <row r="2687" spans="2:10" s="19" customFormat="1" x14ac:dyDescent="0.25">
      <c r="B2687" s="35"/>
      <c r="C2687" s="36"/>
      <c r="J2687" s="38"/>
    </row>
    <row r="2688" spans="2:10" s="19" customFormat="1" x14ac:dyDescent="0.25">
      <c r="B2688" s="35"/>
      <c r="C2688" s="36"/>
      <c r="J2688" s="38"/>
    </row>
    <row r="2689" spans="2:10" s="19" customFormat="1" x14ac:dyDescent="0.25">
      <c r="B2689" s="35"/>
      <c r="C2689" s="36"/>
      <c r="J2689" s="38"/>
    </row>
    <row r="2690" spans="2:10" s="19" customFormat="1" x14ac:dyDescent="0.25">
      <c r="B2690" s="35"/>
      <c r="C2690" s="36"/>
      <c r="J2690" s="38"/>
    </row>
    <row r="2691" spans="2:10" s="19" customFormat="1" x14ac:dyDescent="0.25">
      <c r="B2691" s="35"/>
      <c r="C2691" s="36"/>
      <c r="J2691" s="38"/>
    </row>
    <row r="2692" spans="2:10" s="19" customFormat="1" x14ac:dyDescent="0.25">
      <c r="B2692" s="35"/>
      <c r="C2692" s="36"/>
      <c r="J2692" s="38"/>
    </row>
    <row r="2693" spans="2:10" s="19" customFormat="1" x14ac:dyDescent="0.25">
      <c r="B2693" s="35"/>
      <c r="C2693" s="36"/>
      <c r="J2693" s="38"/>
    </row>
    <row r="2694" spans="2:10" s="19" customFormat="1" x14ac:dyDescent="0.25">
      <c r="B2694" s="35"/>
      <c r="C2694" s="36"/>
      <c r="J2694" s="38"/>
    </row>
    <row r="2695" spans="2:10" s="19" customFormat="1" x14ac:dyDescent="0.25">
      <c r="B2695" s="35"/>
      <c r="C2695" s="36"/>
      <c r="J2695" s="38"/>
    </row>
    <row r="2696" spans="2:10" s="19" customFormat="1" x14ac:dyDescent="0.25">
      <c r="B2696" s="35"/>
      <c r="C2696" s="36"/>
      <c r="J2696" s="38"/>
    </row>
    <row r="2697" spans="2:10" s="19" customFormat="1" x14ac:dyDescent="0.25">
      <c r="B2697" s="35"/>
      <c r="C2697" s="36"/>
      <c r="J2697" s="38"/>
    </row>
    <row r="2698" spans="2:10" s="19" customFormat="1" x14ac:dyDescent="0.25">
      <c r="B2698" s="35"/>
      <c r="C2698" s="36"/>
      <c r="J2698" s="38"/>
    </row>
    <row r="2699" spans="2:10" s="19" customFormat="1" x14ac:dyDescent="0.25">
      <c r="B2699" s="35"/>
      <c r="C2699" s="36"/>
      <c r="J2699" s="38"/>
    </row>
    <row r="2700" spans="2:10" s="19" customFormat="1" x14ac:dyDescent="0.25">
      <c r="B2700" s="35"/>
      <c r="C2700" s="36"/>
      <c r="J2700" s="38"/>
    </row>
    <row r="2701" spans="2:10" s="19" customFormat="1" x14ac:dyDescent="0.25">
      <c r="B2701" s="35"/>
      <c r="C2701" s="36"/>
      <c r="J2701" s="38"/>
    </row>
    <row r="2702" spans="2:10" s="19" customFormat="1" x14ac:dyDescent="0.25">
      <c r="B2702" s="35"/>
      <c r="C2702" s="36"/>
      <c r="J2702" s="38"/>
    </row>
    <row r="2703" spans="2:10" s="19" customFormat="1" x14ac:dyDescent="0.25">
      <c r="B2703" s="35"/>
      <c r="C2703" s="36"/>
      <c r="J2703" s="38"/>
    </row>
    <row r="2704" spans="2:10" s="19" customFormat="1" x14ac:dyDescent="0.25">
      <c r="B2704" s="35"/>
      <c r="C2704" s="36"/>
      <c r="J2704" s="38"/>
    </row>
    <row r="2705" spans="2:10" s="19" customFormat="1" x14ac:dyDescent="0.25">
      <c r="B2705" s="35"/>
      <c r="C2705" s="36"/>
      <c r="J2705" s="38"/>
    </row>
    <row r="2706" spans="2:10" s="19" customFormat="1" x14ac:dyDescent="0.25">
      <c r="B2706" s="35"/>
      <c r="C2706" s="36"/>
      <c r="J2706" s="38"/>
    </row>
    <row r="2707" spans="2:10" s="19" customFormat="1" x14ac:dyDescent="0.25">
      <c r="B2707" s="35"/>
      <c r="C2707" s="36"/>
      <c r="J2707" s="38"/>
    </row>
    <row r="2708" spans="2:10" s="19" customFormat="1" x14ac:dyDescent="0.25">
      <c r="B2708" s="35"/>
      <c r="C2708" s="36"/>
      <c r="J2708" s="38"/>
    </row>
    <row r="2709" spans="2:10" s="19" customFormat="1" x14ac:dyDescent="0.25">
      <c r="B2709" s="35"/>
      <c r="C2709" s="36"/>
      <c r="J2709" s="38"/>
    </row>
    <row r="2710" spans="2:10" s="19" customFormat="1" x14ac:dyDescent="0.25">
      <c r="B2710" s="35"/>
      <c r="C2710" s="36"/>
      <c r="J2710" s="38"/>
    </row>
    <row r="2711" spans="2:10" s="19" customFormat="1" x14ac:dyDescent="0.25">
      <c r="B2711" s="35"/>
      <c r="C2711" s="36"/>
      <c r="J2711" s="38"/>
    </row>
    <row r="2712" spans="2:10" s="19" customFormat="1" x14ac:dyDescent="0.25">
      <c r="B2712" s="35"/>
      <c r="C2712" s="36"/>
      <c r="J2712" s="38"/>
    </row>
    <row r="2713" spans="2:10" s="19" customFormat="1" x14ac:dyDescent="0.25">
      <c r="B2713" s="35"/>
      <c r="C2713" s="36"/>
      <c r="J2713" s="38"/>
    </row>
    <row r="2714" spans="2:10" s="19" customFormat="1" x14ac:dyDescent="0.25">
      <c r="B2714" s="35"/>
      <c r="C2714" s="36"/>
      <c r="J2714" s="38"/>
    </row>
    <row r="2715" spans="2:10" s="19" customFormat="1" x14ac:dyDescent="0.25">
      <c r="B2715" s="35"/>
      <c r="C2715" s="36"/>
      <c r="J2715" s="38"/>
    </row>
    <row r="2716" spans="2:10" s="19" customFormat="1" x14ac:dyDescent="0.25">
      <c r="B2716" s="35"/>
      <c r="C2716" s="36"/>
      <c r="J2716" s="38"/>
    </row>
    <row r="2717" spans="2:10" s="19" customFormat="1" x14ac:dyDescent="0.25">
      <c r="B2717" s="35"/>
      <c r="C2717" s="36"/>
      <c r="J2717" s="38"/>
    </row>
    <row r="2718" spans="2:10" s="19" customFormat="1" x14ac:dyDescent="0.25">
      <c r="B2718" s="35"/>
      <c r="C2718" s="36"/>
      <c r="J2718" s="38"/>
    </row>
    <row r="2719" spans="2:10" s="19" customFormat="1" x14ac:dyDescent="0.25">
      <c r="B2719" s="35"/>
      <c r="C2719" s="36"/>
      <c r="J2719" s="38"/>
    </row>
    <row r="2720" spans="2:10" s="19" customFormat="1" x14ac:dyDescent="0.25">
      <c r="B2720" s="35"/>
      <c r="C2720" s="36"/>
      <c r="J2720" s="38"/>
    </row>
    <row r="2721" spans="2:10" s="19" customFormat="1" x14ac:dyDescent="0.25">
      <c r="B2721" s="35"/>
      <c r="C2721" s="36"/>
      <c r="J2721" s="38"/>
    </row>
    <row r="2722" spans="2:10" s="19" customFormat="1" x14ac:dyDescent="0.25">
      <c r="B2722" s="35"/>
      <c r="C2722" s="36"/>
      <c r="J2722" s="38"/>
    </row>
    <row r="2723" spans="2:10" s="19" customFormat="1" x14ac:dyDescent="0.25">
      <c r="B2723" s="35"/>
      <c r="C2723" s="36"/>
      <c r="J2723" s="38"/>
    </row>
    <row r="2724" spans="2:10" s="19" customFormat="1" x14ac:dyDescent="0.25">
      <c r="B2724" s="35"/>
      <c r="C2724" s="36"/>
      <c r="J2724" s="38"/>
    </row>
    <row r="2725" spans="2:10" s="19" customFormat="1" x14ac:dyDescent="0.25">
      <c r="B2725" s="35"/>
      <c r="C2725" s="36"/>
      <c r="J2725" s="38"/>
    </row>
    <row r="2726" spans="2:10" s="19" customFormat="1" x14ac:dyDescent="0.25">
      <c r="B2726" s="35"/>
      <c r="C2726" s="36"/>
      <c r="J2726" s="38"/>
    </row>
    <row r="2727" spans="2:10" s="19" customFormat="1" x14ac:dyDescent="0.25">
      <c r="B2727" s="35"/>
      <c r="C2727" s="36"/>
      <c r="J2727" s="38"/>
    </row>
    <row r="2728" spans="2:10" s="19" customFormat="1" x14ac:dyDescent="0.25">
      <c r="B2728" s="35"/>
      <c r="C2728" s="36"/>
      <c r="J2728" s="38"/>
    </row>
    <row r="2729" spans="2:10" s="19" customFormat="1" x14ac:dyDescent="0.25">
      <c r="B2729" s="35"/>
      <c r="C2729" s="36"/>
      <c r="J2729" s="38"/>
    </row>
    <row r="2730" spans="2:10" s="19" customFormat="1" x14ac:dyDescent="0.25">
      <c r="B2730" s="35"/>
      <c r="C2730" s="36"/>
      <c r="J2730" s="38"/>
    </row>
    <row r="2731" spans="2:10" s="19" customFormat="1" x14ac:dyDescent="0.25">
      <c r="B2731" s="35"/>
      <c r="C2731" s="36"/>
      <c r="J2731" s="38"/>
    </row>
    <row r="2732" spans="2:10" s="19" customFormat="1" x14ac:dyDescent="0.25">
      <c r="B2732" s="35"/>
      <c r="C2732" s="36"/>
      <c r="J2732" s="38"/>
    </row>
    <row r="2733" spans="2:10" s="19" customFormat="1" x14ac:dyDescent="0.25">
      <c r="B2733" s="35"/>
      <c r="C2733" s="36"/>
      <c r="J2733" s="38"/>
    </row>
    <row r="2734" spans="2:10" s="19" customFormat="1" x14ac:dyDescent="0.25">
      <c r="B2734" s="35"/>
      <c r="C2734" s="36"/>
      <c r="J2734" s="38"/>
    </row>
    <row r="2735" spans="2:10" s="19" customFormat="1" x14ac:dyDescent="0.25">
      <c r="B2735" s="35"/>
      <c r="C2735" s="36"/>
      <c r="J2735" s="38"/>
    </row>
    <row r="2736" spans="2:10" s="19" customFormat="1" x14ac:dyDescent="0.25">
      <c r="B2736" s="35"/>
      <c r="C2736" s="36"/>
      <c r="J2736" s="38"/>
    </row>
    <row r="2737" spans="2:10" s="19" customFormat="1" x14ac:dyDescent="0.25">
      <c r="B2737" s="35"/>
      <c r="C2737" s="36"/>
      <c r="J2737" s="38"/>
    </row>
    <row r="2738" spans="2:10" s="19" customFormat="1" x14ac:dyDescent="0.25">
      <c r="B2738" s="35"/>
      <c r="C2738" s="36"/>
      <c r="J2738" s="38"/>
    </row>
    <row r="2739" spans="2:10" s="19" customFormat="1" x14ac:dyDescent="0.25">
      <c r="B2739" s="35"/>
      <c r="C2739" s="36"/>
      <c r="J2739" s="38"/>
    </row>
    <row r="2740" spans="2:10" s="19" customFormat="1" x14ac:dyDescent="0.25">
      <c r="B2740" s="35"/>
      <c r="C2740" s="36"/>
      <c r="J2740" s="38"/>
    </row>
    <row r="2741" spans="2:10" s="19" customFormat="1" x14ac:dyDescent="0.25">
      <c r="B2741" s="35"/>
      <c r="C2741" s="36"/>
      <c r="J2741" s="38"/>
    </row>
    <row r="2742" spans="2:10" s="19" customFormat="1" x14ac:dyDescent="0.25">
      <c r="B2742" s="35"/>
      <c r="C2742" s="36"/>
      <c r="J2742" s="38"/>
    </row>
    <row r="2743" spans="2:10" s="19" customFormat="1" x14ac:dyDescent="0.25">
      <c r="B2743" s="35"/>
      <c r="C2743" s="36"/>
      <c r="J2743" s="38"/>
    </row>
    <row r="2744" spans="2:10" s="19" customFormat="1" x14ac:dyDescent="0.25">
      <c r="B2744" s="35"/>
      <c r="C2744" s="36"/>
      <c r="J2744" s="38"/>
    </row>
    <row r="2745" spans="2:10" s="19" customFormat="1" x14ac:dyDescent="0.25">
      <c r="B2745" s="35"/>
      <c r="C2745" s="36"/>
      <c r="J2745" s="38"/>
    </row>
    <row r="2746" spans="2:10" s="19" customFormat="1" x14ac:dyDescent="0.25">
      <c r="B2746" s="35"/>
      <c r="C2746" s="36"/>
      <c r="J2746" s="38"/>
    </row>
    <row r="2747" spans="2:10" s="19" customFormat="1" x14ac:dyDescent="0.25">
      <c r="B2747" s="35"/>
      <c r="C2747" s="36"/>
      <c r="J2747" s="38"/>
    </row>
    <row r="2748" spans="2:10" s="19" customFormat="1" x14ac:dyDescent="0.25">
      <c r="B2748" s="35"/>
      <c r="C2748" s="36"/>
      <c r="J2748" s="38"/>
    </row>
    <row r="2749" spans="2:10" s="19" customFormat="1" x14ac:dyDescent="0.25">
      <c r="B2749" s="35"/>
      <c r="C2749" s="36"/>
      <c r="J2749" s="38"/>
    </row>
    <row r="2750" spans="2:10" s="19" customFormat="1" x14ac:dyDescent="0.25">
      <c r="B2750" s="35"/>
      <c r="C2750" s="36"/>
      <c r="J2750" s="38"/>
    </row>
    <row r="2751" spans="2:10" s="19" customFormat="1" x14ac:dyDescent="0.25">
      <c r="B2751" s="35"/>
      <c r="C2751" s="36"/>
      <c r="J2751" s="38"/>
    </row>
    <row r="2752" spans="2:10" s="19" customFormat="1" x14ac:dyDescent="0.25">
      <c r="B2752" s="35"/>
      <c r="C2752" s="36"/>
      <c r="J2752" s="38"/>
    </row>
    <row r="2753" spans="2:10" s="19" customFormat="1" x14ac:dyDescent="0.25">
      <c r="B2753" s="35"/>
      <c r="C2753" s="36"/>
      <c r="J2753" s="38"/>
    </row>
    <row r="2754" spans="2:10" s="19" customFormat="1" x14ac:dyDescent="0.25">
      <c r="B2754" s="35"/>
      <c r="C2754" s="36"/>
      <c r="J2754" s="38"/>
    </row>
    <row r="2755" spans="2:10" s="19" customFormat="1" x14ac:dyDescent="0.25">
      <c r="B2755" s="35"/>
      <c r="C2755" s="36"/>
      <c r="J2755" s="38"/>
    </row>
    <row r="2756" spans="2:10" s="19" customFormat="1" x14ac:dyDescent="0.25">
      <c r="B2756" s="35"/>
      <c r="C2756" s="36"/>
      <c r="J2756" s="38"/>
    </row>
    <row r="2757" spans="2:10" s="19" customFormat="1" x14ac:dyDescent="0.25">
      <c r="B2757" s="35"/>
      <c r="C2757" s="36"/>
      <c r="J2757" s="38"/>
    </row>
    <row r="2758" spans="2:10" s="19" customFormat="1" x14ac:dyDescent="0.25">
      <c r="B2758" s="35"/>
      <c r="C2758" s="36"/>
      <c r="J2758" s="38"/>
    </row>
    <row r="2759" spans="2:10" s="19" customFormat="1" x14ac:dyDescent="0.25">
      <c r="B2759" s="35"/>
      <c r="C2759" s="36"/>
      <c r="J2759" s="38"/>
    </row>
    <row r="2760" spans="2:10" s="19" customFormat="1" x14ac:dyDescent="0.25">
      <c r="B2760" s="35"/>
      <c r="C2760" s="36"/>
      <c r="J2760" s="38"/>
    </row>
    <row r="2761" spans="2:10" s="19" customFormat="1" x14ac:dyDescent="0.25">
      <c r="B2761" s="35"/>
      <c r="C2761" s="36"/>
      <c r="J2761" s="38"/>
    </row>
    <row r="2762" spans="2:10" s="19" customFormat="1" x14ac:dyDescent="0.25">
      <c r="B2762" s="35"/>
      <c r="C2762" s="36"/>
      <c r="J2762" s="38"/>
    </row>
    <row r="2763" spans="2:10" s="19" customFormat="1" x14ac:dyDescent="0.25">
      <c r="B2763" s="35"/>
      <c r="C2763" s="36"/>
      <c r="J2763" s="38"/>
    </row>
    <row r="2764" spans="2:10" s="19" customFormat="1" x14ac:dyDescent="0.25">
      <c r="B2764" s="35"/>
      <c r="C2764" s="36"/>
      <c r="J2764" s="38"/>
    </row>
    <row r="2765" spans="2:10" s="19" customFormat="1" x14ac:dyDescent="0.25">
      <c r="B2765" s="35"/>
      <c r="C2765" s="36"/>
      <c r="J2765" s="38"/>
    </row>
    <row r="2766" spans="2:10" s="19" customFormat="1" x14ac:dyDescent="0.25">
      <c r="B2766" s="35"/>
      <c r="C2766" s="36"/>
      <c r="J2766" s="38"/>
    </row>
    <row r="2767" spans="2:10" s="19" customFormat="1" x14ac:dyDescent="0.25">
      <c r="B2767" s="35"/>
      <c r="C2767" s="36"/>
      <c r="J2767" s="38"/>
    </row>
    <row r="2768" spans="2:10" s="19" customFormat="1" x14ac:dyDescent="0.25">
      <c r="B2768" s="35"/>
      <c r="C2768" s="36"/>
      <c r="J2768" s="38"/>
    </row>
    <row r="2769" spans="2:10" s="19" customFormat="1" x14ac:dyDescent="0.25">
      <c r="B2769" s="35"/>
      <c r="C2769" s="36"/>
      <c r="J2769" s="38"/>
    </row>
    <row r="2770" spans="2:10" s="19" customFormat="1" x14ac:dyDescent="0.25">
      <c r="B2770" s="35"/>
      <c r="C2770" s="36"/>
      <c r="J2770" s="38"/>
    </row>
    <row r="2771" spans="2:10" s="19" customFormat="1" x14ac:dyDescent="0.25">
      <c r="B2771" s="35"/>
      <c r="C2771" s="36"/>
      <c r="J2771" s="38"/>
    </row>
    <row r="2772" spans="2:10" s="19" customFormat="1" x14ac:dyDescent="0.25">
      <c r="B2772" s="35"/>
      <c r="C2772" s="36"/>
      <c r="J2772" s="38"/>
    </row>
    <row r="2773" spans="2:10" s="19" customFormat="1" x14ac:dyDescent="0.25">
      <c r="B2773" s="35"/>
      <c r="C2773" s="36"/>
      <c r="J2773" s="38"/>
    </row>
    <row r="2774" spans="2:10" s="19" customFormat="1" x14ac:dyDescent="0.25">
      <c r="B2774" s="35"/>
      <c r="C2774" s="36"/>
      <c r="J2774" s="38"/>
    </row>
    <row r="2775" spans="2:10" s="19" customFormat="1" x14ac:dyDescent="0.25">
      <c r="B2775" s="35"/>
      <c r="C2775" s="36"/>
      <c r="J2775" s="38"/>
    </row>
    <row r="2776" spans="2:10" s="19" customFormat="1" x14ac:dyDescent="0.25">
      <c r="B2776" s="35"/>
      <c r="C2776" s="36"/>
      <c r="J2776" s="38"/>
    </row>
    <row r="2777" spans="2:10" s="19" customFormat="1" x14ac:dyDescent="0.25">
      <c r="B2777" s="35"/>
      <c r="C2777" s="36"/>
      <c r="J2777" s="38"/>
    </row>
    <row r="2778" spans="2:10" s="19" customFormat="1" x14ac:dyDescent="0.25">
      <c r="B2778" s="35"/>
      <c r="C2778" s="36"/>
      <c r="J2778" s="38"/>
    </row>
    <row r="2779" spans="2:10" s="19" customFormat="1" x14ac:dyDescent="0.25">
      <c r="B2779" s="35"/>
      <c r="C2779" s="36"/>
      <c r="J2779" s="38"/>
    </row>
    <row r="2780" spans="2:10" s="19" customFormat="1" x14ac:dyDescent="0.25">
      <c r="B2780" s="35"/>
      <c r="C2780" s="36"/>
      <c r="J2780" s="38"/>
    </row>
    <row r="2781" spans="2:10" x14ac:dyDescent="0.25">
      <c r="B2781" s="35"/>
      <c r="C2781" s="36"/>
      <c r="D2781" s="19"/>
      <c r="E2781" s="19"/>
      <c r="F2781" s="19"/>
      <c r="G2781" s="19"/>
      <c r="H2781" s="19"/>
      <c r="I2781" s="19"/>
      <c r="J2781" s="38"/>
    </row>
  </sheetData>
  <mergeCells count="11">
    <mergeCell ref="C20:F20"/>
    <mergeCell ref="K5:M5"/>
    <mergeCell ref="B7:J7"/>
    <mergeCell ref="B14:B17"/>
    <mergeCell ref="C18:F18"/>
    <mergeCell ref="C19:F19"/>
    <mergeCell ref="C21:F21"/>
    <mergeCell ref="C22:F22"/>
    <mergeCell ref="C23:F23"/>
    <mergeCell ref="E24:F24"/>
    <mergeCell ref="E25:F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922FE-7195-411E-851D-E6B60896F7BF}">
  <dimension ref="A1:L77"/>
  <sheetViews>
    <sheetView tabSelected="1" topLeftCell="A2" workbookViewId="0">
      <selection activeCell="C11" sqref="C11"/>
    </sheetView>
  </sheetViews>
  <sheetFormatPr defaultRowHeight="15" x14ac:dyDescent="0.25"/>
  <cols>
    <col min="2" max="2" width="23.85546875" customWidth="1"/>
    <col min="3" max="3" width="27.85546875" customWidth="1"/>
    <col min="4" max="6" width="14.7109375" customWidth="1"/>
    <col min="7" max="9" width="10.5703125" bestFit="1" customWidth="1"/>
  </cols>
  <sheetData>
    <row r="1" spans="1:9" x14ac:dyDescent="0.25">
      <c r="A1" s="40"/>
      <c r="B1" s="40"/>
      <c r="C1" s="68"/>
      <c r="D1" s="68"/>
      <c r="E1" s="68"/>
      <c r="F1" s="68"/>
      <c r="G1" s="40"/>
    </row>
    <row r="2" spans="1:9" x14ac:dyDescent="0.25">
      <c r="A2" s="40"/>
      <c r="B2" s="40"/>
      <c r="C2" s="68"/>
      <c r="D2" s="68"/>
      <c r="E2" s="68"/>
      <c r="F2" s="68"/>
      <c r="G2" s="40"/>
      <c r="H2" s="69" t="s">
        <v>43</v>
      </c>
      <c r="I2" s="70">
        <v>60</v>
      </c>
    </row>
    <row r="3" spans="1:9" x14ac:dyDescent="0.25">
      <c r="A3" s="40"/>
      <c r="B3" s="40"/>
      <c r="C3" s="68"/>
      <c r="D3" s="68"/>
      <c r="E3" s="68"/>
      <c r="F3" s="68"/>
      <c r="G3" s="40"/>
    </row>
    <row r="4" spans="1:9" x14ac:dyDescent="0.25">
      <c r="A4" s="40"/>
      <c r="B4" s="40"/>
      <c r="C4" s="68"/>
      <c r="D4" s="68"/>
      <c r="E4" s="68"/>
      <c r="F4" s="68"/>
      <c r="G4" s="40"/>
    </row>
    <row r="5" spans="1:9" x14ac:dyDescent="0.25">
      <c r="A5" s="40"/>
      <c r="B5" s="40"/>
      <c r="C5" s="68"/>
      <c r="D5" s="68"/>
      <c r="E5" s="68"/>
      <c r="F5" s="68"/>
      <c r="G5" s="40"/>
    </row>
    <row r="6" spans="1:9" x14ac:dyDescent="0.25">
      <c r="A6" s="40"/>
      <c r="B6" s="40"/>
      <c r="C6" s="68"/>
      <c r="D6" s="68"/>
      <c r="E6" s="68"/>
      <c r="F6" s="68"/>
      <c r="G6" s="40"/>
    </row>
    <row r="7" spans="1:9" x14ac:dyDescent="0.25">
      <c r="A7" s="40"/>
      <c r="B7" s="40"/>
      <c r="C7" s="68"/>
      <c r="D7" s="68"/>
      <c r="E7" s="68"/>
      <c r="F7" s="68"/>
      <c r="G7" s="40"/>
    </row>
    <row r="8" spans="1:9" x14ac:dyDescent="0.25">
      <c r="A8" s="40"/>
      <c r="B8" s="71" t="s">
        <v>45</v>
      </c>
      <c r="C8" s="71"/>
      <c r="D8" s="71"/>
      <c r="E8" s="71"/>
      <c r="F8" s="71"/>
      <c r="G8" s="40"/>
    </row>
    <row r="9" spans="1:9" ht="15.75" thickBot="1" x14ac:dyDescent="0.3">
      <c r="A9" s="40"/>
      <c r="B9" s="40"/>
      <c r="C9" s="72" t="s">
        <v>46</v>
      </c>
      <c r="D9" s="72"/>
      <c r="E9" s="73"/>
      <c r="F9" s="73"/>
      <c r="G9" s="40"/>
    </row>
    <row r="10" spans="1:9" ht="15.75" thickBot="1" x14ac:dyDescent="0.3">
      <c r="A10" s="40"/>
      <c r="B10" s="75" t="s">
        <v>47</v>
      </c>
      <c r="C10" s="76" t="s">
        <v>108</v>
      </c>
      <c r="D10" s="77"/>
      <c r="E10" s="78">
        <v>0.1</v>
      </c>
      <c r="F10" s="78"/>
      <c r="G10" s="40"/>
    </row>
    <row r="11" spans="1:9" ht="15.75" thickBot="1" x14ac:dyDescent="0.3">
      <c r="A11" s="40"/>
      <c r="B11" s="75" t="s">
        <v>48</v>
      </c>
      <c r="C11" s="79" t="s">
        <v>49</v>
      </c>
      <c r="D11" s="80" t="s">
        <v>50</v>
      </c>
      <c r="E11" s="81" t="s">
        <v>49</v>
      </c>
      <c r="F11" s="82" t="s">
        <v>50</v>
      </c>
      <c r="G11" s="40"/>
    </row>
    <row r="12" spans="1:9" x14ac:dyDescent="0.25">
      <c r="A12" s="40"/>
      <c r="B12" s="83" t="s">
        <v>51</v>
      </c>
      <c r="C12" s="84"/>
      <c r="D12" s="85"/>
      <c r="E12" s="86"/>
      <c r="F12" s="87"/>
      <c r="G12" s="40"/>
    </row>
    <row r="13" spans="1:9" x14ac:dyDescent="0.25">
      <c r="A13" s="40"/>
      <c r="B13" s="88" t="s">
        <v>52</v>
      </c>
      <c r="C13" s="89"/>
      <c r="D13" s="90">
        <f>SUM(C13:C16)/C22</f>
        <v>0.81094127111826231</v>
      </c>
      <c r="E13" s="91">
        <f>C13</f>
        <v>0</v>
      </c>
      <c r="F13" s="90">
        <f>SUM(E13:E16)/E22</f>
        <v>0.81094127111826231</v>
      </c>
      <c r="G13" s="40" t="s">
        <v>53</v>
      </c>
    </row>
    <row r="14" spans="1:9" x14ac:dyDescent="0.25">
      <c r="A14" s="40"/>
      <c r="B14" s="88" t="s">
        <v>54</v>
      </c>
      <c r="C14" s="89">
        <f>SUM(Sheet1!H10:H12)*I2</f>
        <v>1088640</v>
      </c>
      <c r="D14" s="90"/>
      <c r="E14" s="91">
        <f>($C$14*(100%-E10))</f>
        <v>979776</v>
      </c>
      <c r="F14" s="90"/>
      <c r="G14" s="40" t="s">
        <v>53</v>
      </c>
    </row>
    <row r="15" spans="1:9" x14ac:dyDescent="0.25">
      <c r="A15" s="40"/>
      <c r="B15" s="92" t="s">
        <v>55</v>
      </c>
      <c r="C15" s="89"/>
      <c r="D15" s="90"/>
      <c r="E15" s="91">
        <f>($C$15*(100%-E10))</f>
        <v>0</v>
      </c>
      <c r="F15" s="90"/>
      <c r="G15" s="40" t="s">
        <v>53</v>
      </c>
    </row>
    <row r="16" spans="1:9" x14ac:dyDescent="0.25">
      <c r="A16" s="40"/>
      <c r="B16" s="88" t="s">
        <v>56</v>
      </c>
      <c r="C16" s="89"/>
      <c r="D16" s="90"/>
      <c r="E16" s="91">
        <f>($C$16*(100%-E10))</f>
        <v>0</v>
      </c>
      <c r="F16" s="90"/>
      <c r="G16" s="40" t="s">
        <v>53</v>
      </c>
    </row>
    <row r="17" spans="1:9" x14ac:dyDescent="0.25">
      <c r="A17" s="40"/>
      <c r="B17" s="88" t="s">
        <v>57</v>
      </c>
      <c r="C17" s="89"/>
      <c r="D17" s="90">
        <f>SUM(C17:C19)/C22</f>
        <v>0</v>
      </c>
      <c r="E17" s="91"/>
      <c r="F17" s="90">
        <f>SUM(E17:E19)/E22</f>
        <v>0</v>
      </c>
      <c r="G17" s="40"/>
    </row>
    <row r="18" spans="1:9" x14ac:dyDescent="0.25">
      <c r="A18" s="40"/>
      <c r="B18" s="88" t="s">
        <v>58</v>
      </c>
      <c r="C18" s="89"/>
      <c r="D18" s="90"/>
      <c r="E18" s="91">
        <f t="shared" ref="E18" si="0">($C$18*(100%-E10))</f>
        <v>0</v>
      </c>
      <c r="F18" s="90"/>
      <c r="G18" s="40" t="s">
        <v>59</v>
      </c>
    </row>
    <row r="19" spans="1:9" x14ac:dyDescent="0.25">
      <c r="A19" s="40"/>
      <c r="B19" s="88" t="s">
        <v>60</v>
      </c>
      <c r="C19" s="89"/>
      <c r="D19" s="90"/>
      <c r="E19" s="91">
        <f t="shared" ref="E19" si="1">($C$19*(100%-E10))</f>
        <v>0</v>
      </c>
      <c r="F19" s="90"/>
      <c r="G19" s="40" t="s">
        <v>59</v>
      </c>
    </row>
    <row r="20" spans="1:9" x14ac:dyDescent="0.25">
      <c r="A20" s="40"/>
      <c r="B20" s="88" t="s">
        <v>61</v>
      </c>
      <c r="C20" s="89"/>
      <c r="D20" s="90">
        <f>(C20+C21)/C22</f>
        <v>0.18905872888173772</v>
      </c>
      <c r="E20" s="91"/>
      <c r="F20" s="90">
        <f>(E20+E21)/E22</f>
        <v>0.18905872888173772</v>
      </c>
      <c r="G20" s="40"/>
    </row>
    <row r="21" spans="1:9" x14ac:dyDescent="0.25">
      <c r="A21" s="40"/>
      <c r="B21" s="88" t="s">
        <v>62</v>
      </c>
      <c r="C21" s="89">
        <f>SUM(Sheet1!H15:H17)*I2</f>
        <v>253800</v>
      </c>
      <c r="D21" s="93"/>
      <c r="E21" s="91">
        <f>($C$21*(100%-E10))</f>
        <v>228420</v>
      </c>
      <c r="F21" s="93"/>
      <c r="G21" s="40" t="s">
        <v>63</v>
      </c>
    </row>
    <row r="22" spans="1:9" x14ac:dyDescent="0.25">
      <c r="A22" s="94">
        <v>0</v>
      </c>
      <c r="B22" s="95" t="s">
        <v>64</v>
      </c>
      <c r="C22" s="96">
        <f>SUM(C13,C17,C20)+(SUM(C14,C15,C16,C18,C19,C21)-(SUM(C14,C15,C16,C18,C19,C21)*A22))</f>
        <v>1342440</v>
      </c>
      <c r="D22" s="97"/>
      <c r="E22" s="98">
        <f>SUM(E13:E21)</f>
        <v>1208196</v>
      </c>
      <c r="F22" s="97"/>
      <c r="G22" s="99"/>
      <c r="I22" s="100"/>
    </row>
    <row r="23" spans="1:9" x14ac:dyDescent="0.25">
      <c r="A23" s="40"/>
      <c r="B23" s="83" t="s">
        <v>65</v>
      </c>
      <c r="C23" s="84"/>
      <c r="D23" s="101"/>
      <c r="E23" s="102"/>
      <c r="F23" s="101"/>
      <c r="G23" s="40"/>
    </row>
    <row r="24" spans="1:9" ht="30" x14ac:dyDescent="0.25">
      <c r="A24" s="40"/>
      <c r="B24" s="103" t="s">
        <v>66</v>
      </c>
      <c r="C24" s="104">
        <f>C43*20%</f>
        <v>123264</v>
      </c>
      <c r="D24" s="105"/>
      <c r="E24" s="89">
        <f>E43*20%</f>
        <v>123264</v>
      </c>
      <c r="F24" s="105"/>
      <c r="G24" s="40"/>
    </row>
    <row r="25" spans="1:9" ht="30" x14ac:dyDescent="0.25">
      <c r="A25" s="40"/>
      <c r="B25" s="106" t="s">
        <v>67</v>
      </c>
      <c r="C25" s="89">
        <f>C44*10%</f>
        <v>0</v>
      </c>
      <c r="D25" s="105"/>
      <c r="E25" s="91">
        <f>E44*10%</f>
        <v>0</v>
      </c>
      <c r="F25" s="105"/>
      <c r="G25" s="40"/>
    </row>
    <row r="26" spans="1:9" x14ac:dyDescent="0.25">
      <c r="A26" s="107"/>
      <c r="B26" s="88" t="s">
        <v>56</v>
      </c>
      <c r="C26" s="108"/>
      <c r="D26" s="109"/>
      <c r="E26" s="110">
        <f>C26</f>
        <v>0</v>
      </c>
      <c r="F26" s="109"/>
      <c r="G26" s="40"/>
    </row>
    <row r="27" spans="1:9" x14ac:dyDescent="0.25">
      <c r="A27" s="40"/>
      <c r="B27" s="88" t="s">
        <v>58</v>
      </c>
      <c r="C27" s="108"/>
      <c r="D27" s="109"/>
      <c r="E27" s="110">
        <f t="shared" ref="E27:E29" si="2">C27</f>
        <v>0</v>
      </c>
      <c r="F27" s="109"/>
      <c r="G27" s="40"/>
    </row>
    <row r="28" spans="1:9" x14ac:dyDescent="0.25">
      <c r="A28" s="40"/>
      <c r="B28" s="111" t="s">
        <v>60</v>
      </c>
      <c r="C28" s="112"/>
      <c r="D28" s="109"/>
      <c r="E28" s="110">
        <f t="shared" si="2"/>
        <v>0</v>
      </c>
      <c r="F28" s="109"/>
      <c r="G28" s="40"/>
      <c r="H28" s="100">
        <f>SUM(C26:C29,C43:C44)</f>
        <v>752215.71099365281</v>
      </c>
    </row>
    <row r="29" spans="1:9" x14ac:dyDescent="0.25">
      <c r="A29" s="40"/>
      <c r="B29" s="88" t="s">
        <v>62</v>
      </c>
      <c r="C29" s="108">
        <f>SUM(Sheet1!O15:O17)*I2</f>
        <v>135895.71099365278</v>
      </c>
      <c r="D29" s="109"/>
      <c r="E29" s="110">
        <f t="shared" si="2"/>
        <v>135895.71099365278</v>
      </c>
      <c r="F29" s="109"/>
      <c r="G29" s="40"/>
    </row>
    <row r="30" spans="1:9" x14ac:dyDescent="0.25">
      <c r="A30" s="94">
        <v>0</v>
      </c>
      <c r="B30" s="92" t="s">
        <v>68</v>
      </c>
      <c r="C30" s="89"/>
      <c r="D30" s="109"/>
      <c r="E30" s="89"/>
      <c r="F30" s="109"/>
      <c r="G30" s="40"/>
    </row>
    <row r="31" spans="1:9" x14ac:dyDescent="0.25">
      <c r="A31" s="99"/>
      <c r="B31" s="95" t="s">
        <v>69</v>
      </c>
      <c r="C31" s="96">
        <f>SUM(C24:C30)</f>
        <v>259159.71099365278</v>
      </c>
      <c r="D31" s="97"/>
      <c r="E31" s="98">
        <f>SUM(E24:E30)</f>
        <v>259159.71099365278</v>
      </c>
      <c r="F31" s="97"/>
      <c r="G31" s="113"/>
    </row>
    <row r="32" spans="1:9" x14ac:dyDescent="0.25">
      <c r="A32" s="40"/>
      <c r="B32" s="114" t="s">
        <v>70</v>
      </c>
      <c r="C32" s="84">
        <f>C22-C31</f>
        <v>1083280.2890063473</v>
      </c>
      <c r="D32" s="115"/>
      <c r="E32" s="116">
        <f>E22-E31</f>
        <v>949036.28900634719</v>
      </c>
      <c r="F32" s="115"/>
      <c r="G32" s="40"/>
    </row>
    <row r="33" spans="1:7" s="122" customFormat="1" x14ac:dyDescent="0.25">
      <c r="A33" s="117"/>
      <c r="B33" s="118" t="s">
        <v>71</v>
      </c>
      <c r="C33" s="119">
        <f>(C31+C41+C42)*D33</f>
        <v>263275.49884777848</v>
      </c>
      <c r="D33" s="120">
        <v>0.35</v>
      </c>
      <c r="E33" s="121">
        <f>(E31+E41+E42)*F33</f>
        <v>263275.49884777848</v>
      </c>
      <c r="F33" s="120">
        <v>0.35</v>
      </c>
      <c r="G33" s="117"/>
    </row>
    <row r="34" spans="1:7" ht="15.75" thickBot="1" x14ac:dyDescent="0.3">
      <c r="A34" s="40"/>
      <c r="B34" s="123" t="s">
        <v>72</v>
      </c>
      <c r="C34" s="124">
        <f>C32-C33</f>
        <v>820004.79015856888</v>
      </c>
      <c r="D34" s="125">
        <f>C34/C22</f>
        <v>0.61083161270415731</v>
      </c>
      <c r="E34" s="124">
        <f>E32-E33</f>
        <v>685760.79015856865</v>
      </c>
      <c r="F34" s="125">
        <f>E34/E22</f>
        <v>0.56759068078239672</v>
      </c>
      <c r="G34" s="127"/>
    </row>
    <row r="35" spans="1:7" ht="15.75" thickTop="1" x14ac:dyDescent="0.25">
      <c r="A35" s="40"/>
      <c r="B35" s="92"/>
      <c r="C35" s="128"/>
      <c r="D35" s="129"/>
      <c r="E35" s="116"/>
      <c r="F35" s="129"/>
      <c r="G35" s="40"/>
    </row>
    <row r="36" spans="1:7" x14ac:dyDescent="0.25">
      <c r="A36" s="40"/>
      <c r="B36" s="130" t="s">
        <v>73</v>
      </c>
      <c r="C36" s="89">
        <f>(((C14+C15+C13+C16)-(C26+C24+C25)*(1+D33))-(C41+C42)*D33-(C30*(1+D33)*D13))</f>
        <v>749664</v>
      </c>
      <c r="D36" s="131">
        <f>C36/SUM(C13:C16)</f>
        <v>0.68862433862433858</v>
      </c>
      <c r="E36" s="89">
        <f>(((E14+E15+E13+E16)-(E26+E24+E25)*(1+F33))-(E41+E42)*F33-(E30*(1+F33)*F13))</f>
        <v>640800</v>
      </c>
      <c r="F36" s="131">
        <f>E36/SUM(E13:E16)</f>
        <v>0.65402704291593183</v>
      </c>
      <c r="G36" s="132"/>
    </row>
    <row r="37" spans="1:7" x14ac:dyDescent="0.25">
      <c r="A37" s="40"/>
      <c r="B37" s="130" t="s">
        <v>74</v>
      </c>
      <c r="C37" s="89">
        <f>(((C18+C19)-(C27+C28)*(1+D33)-(C30*(1+D33)*D17)))</f>
        <v>0</v>
      </c>
      <c r="D37" s="131">
        <f>IFERROR(C37/(C18+C19),0)</f>
        <v>0</v>
      </c>
      <c r="E37" s="89">
        <f>(((E18+E19)-(E27+E28)*(1+F33)-(E30*(1+F33)*F17)))</f>
        <v>0</v>
      </c>
      <c r="F37" s="131">
        <f>IFERROR(E37/(E18+E19),0)</f>
        <v>0</v>
      </c>
      <c r="G37" s="133"/>
    </row>
    <row r="38" spans="1:7" x14ac:dyDescent="0.25">
      <c r="A38" s="40"/>
      <c r="B38" s="130" t="s">
        <v>75</v>
      </c>
      <c r="C38" s="89">
        <f>((C21-C29*(1+D33)-(C30*(1+D33)*D20)))</f>
        <v>70340.790158568736</v>
      </c>
      <c r="D38" s="131">
        <f>C38/C21</f>
        <v>0.27715047343801708</v>
      </c>
      <c r="E38" s="89">
        <f>((E21-E29*(1+F33)-(E30*(1+F33)*F20)))</f>
        <v>44960.790158568736</v>
      </c>
      <c r="F38" s="131">
        <f>E38/E21</f>
        <v>0.19683385937557454</v>
      </c>
      <c r="G38" s="40"/>
    </row>
    <row r="39" spans="1:7" x14ac:dyDescent="0.25">
      <c r="A39" s="40"/>
      <c r="B39" s="114"/>
      <c r="C39" s="84"/>
      <c r="D39" s="129"/>
      <c r="E39" s="116"/>
      <c r="F39" s="129"/>
      <c r="G39" s="40"/>
    </row>
    <row r="40" spans="1:7" ht="30" x14ac:dyDescent="0.25">
      <c r="A40" s="134"/>
      <c r="B40" s="118" t="s">
        <v>76</v>
      </c>
      <c r="C40" s="119">
        <f>IF('cash flow'!BK34&lt;0,'cash flow'!BK34,0)</f>
        <v>0</v>
      </c>
      <c r="D40" s="109"/>
      <c r="E40" s="121">
        <f>((E22)*$A$40/365*12%)</f>
        <v>0</v>
      </c>
      <c r="F40" s="135"/>
      <c r="G40" s="40"/>
    </row>
    <row r="41" spans="1:7" ht="30" x14ac:dyDescent="0.25">
      <c r="A41" s="107"/>
      <c r="B41" s="92" t="s">
        <v>77</v>
      </c>
      <c r="C41" s="89">
        <f>C43*80%</f>
        <v>493056</v>
      </c>
      <c r="D41" s="109"/>
      <c r="E41" s="110">
        <f>E43*80%</f>
        <v>493056</v>
      </c>
      <c r="F41" s="109"/>
      <c r="G41" s="40"/>
    </row>
    <row r="42" spans="1:7" ht="30" x14ac:dyDescent="0.25">
      <c r="A42" s="107"/>
      <c r="B42" s="92" t="s">
        <v>78</v>
      </c>
      <c r="C42" s="89">
        <f>C44*90%</f>
        <v>0</v>
      </c>
      <c r="D42" s="109"/>
      <c r="E42" s="110">
        <f>E44*90%</f>
        <v>0</v>
      </c>
      <c r="F42" s="109"/>
      <c r="G42" s="40"/>
    </row>
    <row r="43" spans="1:7" x14ac:dyDescent="0.25">
      <c r="A43" s="107"/>
      <c r="B43" s="88" t="s">
        <v>79</v>
      </c>
      <c r="C43" s="108">
        <f>SUM(Sheet1!O10:O12)*I2</f>
        <v>616320</v>
      </c>
      <c r="D43" s="109"/>
      <c r="E43" s="110">
        <f>C43</f>
        <v>616320</v>
      </c>
      <c r="F43" s="109"/>
      <c r="G43" s="40"/>
    </row>
    <row r="44" spans="1:7" x14ac:dyDescent="0.25">
      <c r="A44" s="107"/>
      <c r="B44" s="88" t="s">
        <v>80</v>
      </c>
      <c r="C44" s="108"/>
      <c r="D44" s="109"/>
      <c r="E44" s="110">
        <f>C44</f>
        <v>0</v>
      </c>
      <c r="F44" s="109"/>
      <c r="G44" s="40"/>
    </row>
    <row r="45" spans="1:7" x14ac:dyDescent="0.25">
      <c r="A45" s="107"/>
      <c r="B45" s="92" t="s">
        <v>81</v>
      </c>
      <c r="C45" s="89">
        <f>SUM(C41+C42)</f>
        <v>493056</v>
      </c>
      <c r="D45" s="109"/>
      <c r="E45" s="110">
        <f>SUM(E41+E42)</f>
        <v>493056</v>
      </c>
      <c r="F45" s="109"/>
      <c r="G45" s="40"/>
    </row>
    <row r="46" spans="1:7" ht="30" x14ac:dyDescent="0.25">
      <c r="A46" s="40"/>
      <c r="B46" s="136" t="s">
        <v>82</v>
      </c>
      <c r="C46" s="84">
        <f>C34-C40-C41-C42</f>
        <v>326948.79015856888</v>
      </c>
      <c r="D46" s="115"/>
      <c r="E46" s="116">
        <f>E34-E40-E41-E42</f>
        <v>192704.79015856865</v>
      </c>
      <c r="F46" s="115"/>
      <c r="G46" s="40"/>
    </row>
    <row r="47" spans="1:7" ht="15.75" thickBot="1" x14ac:dyDescent="0.3">
      <c r="A47" s="40"/>
      <c r="B47" s="137" t="s">
        <v>83</v>
      </c>
      <c r="C47" s="124">
        <f>C46</f>
        <v>326948.79015856888</v>
      </c>
      <c r="D47" s="138">
        <f>C46/C22</f>
        <v>0.24354815869503954</v>
      </c>
      <c r="E47" s="126">
        <f>E46</f>
        <v>192704.79015856865</v>
      </c>
      <c r="F47" s="138">
        <f>E46/E22</f>
        <v>0.1594979541055993</v>
      </c>
      <c r="G47" s="40"/>
    </row>
    <row r="48" spans="1:7" ht="15.75" thickTop="1" x14ac:dyDescent="0.25">
      <c r="A48" s="40"/>
      <c r="B48" s="136"/>
      <c r="C48" s="84"/>
      <c r="D48" s="139"/>
      <c r="E48" s="102"/>
      <c r="F48" s="139"/>
      <c r="G48" s="40"/>
    </row>
    <row r="49" spans="1:7" x14ac:dyDescent="0.25">
      <c r="A49" s="40"/>
      <c r="B49" s="140" t="s">
        <v>84</v>
      </c>
      <c r="C49" s="141"/>
      <c r="D49" s="142"/>
      <c r="E49" s="143"/>
      <c r="F49" s="142"/>
      <c r="G49" s="40"/>
    </row>
    <row r="50" spans="1:7" x14ac:dyDescent="0.25">
      <c r="A50" s="40"/>
      <c r="B50" s="140" t="s">
        <v>85</v>
      </c>
      <c r="C50" s="89">
        <f>(((((C14+C15+C13+C16)-(C26+C24+C25)*(1+D33))-(C41+C42)*(1+D33))-C40*D13))-C30*135%*D13</f>
        <v>256607.99999999988</v>
      </c>
      <c r="D50" s="142">
        <f>C50/SUM(C13:C16)</f>
        <v>0.2357142857142856</v>
      </c>
      <c r="E50" s="89">
        <f>(((((E14+E15+E13+E16)-(E26+E24+E25)*(1+F33))-(E41+E42)*(1+F33))-E40*F13))-E30*135%*F13</f>
        <v>147743.99999999988</v>
      </c>
      <c r="F50" s="142">
        <f>E50/SUM(E13:E16)</f>
        <v>0.15079365079365067</v>
      </c>
      <c r="G50" s="144"/>
    </row>
    <row r="51" spans="1:7" x14ac:dyDescent="0.25">
      <c r="A51" s="40"/>
      <c r="B51" s="140" t="s">
        <v>59</v>
      </c>
      <c r="C51" s="89">
        <f>(((C18+C19)-(C27+C28)*(1+D33))-C40*D17)-C30*135%*D17</f>
        <v>0</v>
      </c>
      <c r="D51" s="142">
        <f>IFERROR(C51/(C18+C19),0)</f>
        <v>0</v>
      </c>
      <c r="E51" s="89">
        <f>(((E18+E19)-(E27+E28)*(1+F33))-E40*F17)-E30*135%*F17</f>
        <v>0</v>
      </c>
      <c r="F51" s="142">
        <f>IFERROR(E51/(E18+E19),0)</f>
        <v>0</v>
      </c>
      <c r="G51" s="144"/>
    </row>
    <row r="52" spans="1:7" ht="15.75" thickBot="1" x14ac:dyDescent="0.3">
      <c r="A52" s="40"/>
      <c r="B52" s="145" t="s">
        <v>63</v>
      </c>
      <c r="C52" s="146">
        <f>(C21-C29*(1+D33)-C40*D20)-C30*135%*D20</f>
        <v>70340.790158568736</v>
      </c>
      <c r="D52" s="147">
        <f>C52/C21</f>
        <v>0.27715047343801708</v>
      </c>
      <c r="E52" s="146">
        <f>(E21-E29*(1+F33)-E40*F20)-E30*135%*F20</f>
        <v>44960.790158568736</v>
      </c>
      <c r="F52" s="147">
        <f>E52/E21</f>
        <v>0.19683385937557454</v>
      </c>
      <c r="G52" s="144"/>
    </row>
    <row r="53" spans="1:7" x14ac:dyDescent="0.25">
      <c r="A53" s="40"/>
      <c r="B53" s="148"/>
      <c r="C53" s="149"/>
      <c r="D53" s="150"/>
      <c r="E53" s="149"/>
      <c r="F53" s="151"/>
      <c r="G53" s="144"/>
    </row>
    <row r="54" spans="1:7" x14ac:dyDescent="0.25">
      <c r="A54" s="40"/>
      <c r="B54" s="152"/>
      <c r="C54" s="153"/>
      <c r="D54" s="154"/>
      <c r="E54" s="153"/>
      <c r="F54" s="155"/>
      <c r="G54" s="144"/>
    </row>
    <row r="55" spans="1:7" x14ac:dyDescent="0.25">
      <c r="A55" s="40"/>
      <c r="B55" s="156" t="s">
        <v>86</v>
      </c>
      <c r="C55" s="157">
        <f>C32/C22</f>
        <v>0.80694875674618405</v>
      </c>
      <c r="D55" s="154"/>
      <c r="E55" s="157">
        <f>E32/E22</f>
        <v>0.78549861860687109</v>
      </c>
      <c r="F55" s="155"/>
      <c r="G55" s="144"/>
    </row>
    <row r="56" spans="1:7" x14ac:dyDescent="0.25">
      <c r="A56" s="40"/>
      <c r="B56" s="156" t="s">
        <v>87</v>
      </c>
      <c r="C56" s="157">
        <f>C47/C22</f>
        <v>0.24354815869503954</v>
      </c>
      <c r="D56" s="154"/>
      <c r="E56" s="157">
        <f>E47/E22</f>
        <v>0.1594979541055993</v>
      </c>
      <c r="F56" s="155"/>
      <c r="G56" s="158"/>
    </row>
    <row r="57" spans="1:7" x14ac:dyDescent="0.25">
      <c r="A57" s="40"/>
      <c r="B57" s="156" t="s">
        <v>88</v>
      </c>
      <c r="C57" s="159">
        <f>(C22-C31)/C31</f>
        <v>4.1799718206696044</v>
      </c>
      <c r="D57" s="154"/>
      <c r="E57" s="159">
        <f>(E22-E31)/E31</f>
        <v>3.6619746386026435</v>
      </c>
      <c r="F57" s="155"/>
      <c r="G57" s="144"/>
    </row>
    <row r="58" spans="1:7" x14ac:dyDescent="0.25">
      <c r="A58" s="40"/>
      <c r="B58" s="152"/>
      <c r="C58" s="160"/>
      <c r="D58" s="154"/>
      <c r="E58" s="153"/>
      <c r="F58" s="155"/>
      <c r="G58" s="144"/>
    </row>
    <row r="59" spans="1:7" x14ac:dyDescent="0.25">
      <c r="A59" s="40"/>
      <c r="B59" s="152"/>
      <c r="C59" s="160"/>
      <c r="D59" s="154"/>
      <c r="E59" s="153"/>
      <c r="F59" s="155"/>
      <c r="G59" s="144"/>
    </row>
    <row r="60" spans="1:7" x14ac:dyDescent="0.25">
      <c r="A60" s="40"/>
      <c r="B60" s="152"/>
      <c r="C60" s="153"/>
      <c r="D60" s="154"/>
      <c r="E60" s="153"/>
      <c r="F60" s="155"/>
      <c r="G60" s="144"/>
    </row>
    <row r="61" spans="1:7" x14ac:dyDescent="0.25">
      <c r="A61" s="40"/>
      <c r="B61" s="152"/>
      <c r="C61" s="153"/>
      <c r="D61" s="154"/>
      <c r="E61" s="153"/>
      <c r="F61" s="155"/>
      <c r="G61" s="144"/>
    </row>
    <row r="62" spans="1:7" ht="15.75" thickBot="1" x14ac:dyDescent="0.3">
      <c r="A62" s="40"/>
      <c r="B62" s="161"/>
      <c r="C62" s="162"/>
      <c r="D62" s="162"/>
      <c r="E62" s="162"/>
      <c r="F62" s="162"/>
      <c r="G62" s="40"/>
    </row>
    <row r="63" spans="1:7" ht="45" x14ac:dyDescent="0.25">
      <c r="A63" s="40"/>
      <c r="B63" s="163" t="s">
        <v>89</v>
      </c>
      <c r="C63" s="164">
        <f>(C22-C31)/C31</f>
        <v>4.1799718206696044</v>
      </c>
      <c r="D63" s="164"/>
      <c r="E63" s="164">
        <f>(E22-E31)/E31</f>
        <v>3.6619746386026435</v>
      </c>
      <c r="F63" s="164"/>
      <c r="G63" s="40"/>
    </row>
    <row r="64" spans="1:7" ht="60.75" thickBot="1" x14ac:dyDescent="0.3">
      <c r="A64" s="40"/>
      <c r="B64" s="165" t="s">
        <v>90</v>
      </c>
      <c r="C64" s="166">
        <f>(C22-C31)/C22</f>
        <v>0.80694875674618405</v>
      </c>
      <c r="D64" s="166"/>
      <c r="E64" s="166">
        <f>(E22-E31)/E22</f>
        <v>0.78549861860687109</v>
      </c>
      <c r="F64" s="166"/>
      <c r="G64" s="40"/>
    </row>
    <row r="65" spans="1:7" x14ac:dyDescent="0.25">
      <c r="A65" s="40"/>
      <c r="B65" s="40"/>
      <c r="C65" s="167"/>
      <c r="D65" s="168"/>
      <c r="E65" s="68"/>
      <c r="F65" s="68"/>
      <c r="G65" s="40"/>
    </row>
    <row r="66" spans="1:7" x14ac:dyDescent="0.25">
      <c r="A66" s="40"/>
      <c r="B66" s="40"/>
      <c r="C66" s="167"/>
      <c r="D66" s="168"/>
      <c r="E66" s="68"/>
      <c r="F66" s="68"/>
      <c r="G66" s="40"/>
    </row>
    <row r="67" spans="1:7" x14ac:dyDescent="0.25">
      <c r="A67" s="40"/>
      <c r="B67" s="40"/>
      <c r="C67" s="167"/>
      <c r="D67" s="168"/>
      <c r="E67" s="68"/>
      <c r="F67" s="68"/>
      <c r="G67" s="40"/>
    </row>
    <row r="68" spans="1:7" x14ac:dyDescent="0.25">
      <c r="A68" s="40"/>
      <c r="B68" s="40"/>
      <c r="C68" s="167"/>
      <c r="D68" s="168"/>
      <c r="E68" s="167"/>
      <c r="F68" s="68"/>
      <c r="G68" s="40"/>
    </row>
    <row r="69" spans="1:7" x14ac:dyDescent="0.25">
      <c r="A69" s="40"/>
      <c r="B69" s="40"/>
      <c r="C69" s="167"/>
      <c r="D69" s="168"/>
      <c r="E69" s="68"/>
      <c r="F69" s="68"/>
      <c r="G69" s="40"/>
    </row>
    <row r="70" spans="1:7" x14ac:dyDescent="0.25">
      <c r="A70" s="40"/>
      <c r="B70" s="40"/>
      <c r="C70" s="167"/>
      <c r="D70" s="168"/>
      <c r="E70" s="68"/>
      <c r="F70" s="68"/>
      <c r="G70" s="40"/>
    </row>
    <row r="71" spans="1:7" ht="30" x14ac:dyDescent="0.25">
      <c r="A71" s="40"/>
      <c r="B71" s="40" t="s">
        <v>91</v>
      </c>
      <c r="C71" s="169"/>
      <c r="D71" s="170"/>
      <c r="E71" s="68"/>
      <c r="F71" s="68"/>
      <c r="G71" s="40"/>
    </row>
    <row r="72" spans="1:7" ht="30" x14ac:dyDescent="0.25">
      <c r="A72" s="40"/>
      <c r="B72" s="40" t="s">
        <v>92</v>
      </c>
      <c r="C72" s="154"/>
      <c r="D72" s="154"/>
      <c r="E72" s="154"/>
      <c r="F72" s="154"/>
      <c r="G72" s="40"/>
    </row>
    <row r="73" spans="1:7" ht="60" x14ac:dyDescent="0.25">
      <c r="A73" s="40"/>
      <c r="B73" s="40" t="s">
        <v>93</v>
      </c>
      <c r="C73" s="74"/>
      <c r="D73" s="74"/>
      <c r="E73" s="74"/>
      <c r="F73" s="74"/>
      <c r="G73" s="40"/>
    </row>
    <row r="74" spans="1:7" x14ac:dyDescent="0.25">
      <c r="A74" s="40"/>
      <c r="B74" s="40" t="s">
        <v>94</v>
      </c>
      <c r="C74" s="68"/>
      <c r="D74" s="68"/>
      <c r="E74" s="68"/>
      <c r="F74" s="68"/>
      <c r="G74" s="40"/>
    </row>
    <row r="75" spans="1:7" x14ac:dyDescent="0.25">
      <c r="A75" s="40"/>
      <c r="B75" s="40" t="s">
        <v>95</v>
      </c>
      <c r="C75" s="68"/>
      <c r="D75" s="68"/>
      <c r="E75" s="68"/>
      <c r="F75" s="68"/>
      <c r="G75" s="40"/>
    </row>
    <row r="76" spans="1:7" x14ac:dyDescent="0.25">
      <c r="A76" s="40"/>
      <c r="B76" s="40"/>
      <c r="C76" s="68"/>
      <c r="D76" s="68"/>
      <c r="E76" s="68"/>
      <c r="F76" s="68"/>
      <c r="G76" s="40"/>
    </row>
    <row r="77" spans="1:7" x14ac:dyDescent="0.25">
      <c r="A77" s="40"/>
      <c r="B77" s="40"/>
      <c r="C77" s="68"/>
      <c r="D77" s="68"/>
      <c r="E77" s="68"/>
      <c r="F77" s="68"/>
      <c r="G77" s="40"/>
    </row>
  </sheetData>
  <mergeCells count="10">
    <mergeCell ref="D20:D21"/>
    <mergeCell ref="F20:F21"/>
    <mergeCell ref="D17:D19"/>
    <mergeCell ref="F17:F19"/>
    <mergeCell ref="D13:D16"/>
    <mergeCell ref="F13:F16"/>
    <mergeCell ref="B8:F8"/>
    <mergeCell ref="C9:D9"/>
    <mergeCell ref="C10:D10"/>
    <mergeCell ref="E10:F1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2DC96-9306-471A-BA8A-C059C5C21515}">
  <dimension ref="B3:BK34"/>
  <sheetViews>
    <sheetView topLeftCell="A14" workbookViewId="0">
      <selection activeCell="BS37" sqref="BS37"/>
    </sheetView>
  </sheetViews>
  <sheetFormatPr defaultColWidth="8.7109375" defaultRowHeight="12.75" x14ac:dyDescent="0.2"/>
  <cols>
    <col min="1" max="1" width="8.7109375" style="171"/>
    <col min="2" max="2" width="20.140625" style="171" bestFit="1" customWidth="1"/>
    <col min="3" max="29" width="10.42578125" style="171" bestFit="1" customWidth="1"/>
    <col min="30" max="40" width="9" style="171" bestFit="1" customWidth="1"/>
    <col min="41" max="50" width="8.28515625" style="171" bestFit="1" customWidth="1"/>
    <col min="51" max="62" width="9.7109375" style="171" bestFit="1" customWidth="1"/>
    <col min="63" max="63" width="10.7109375" style="171" bestFit="1" customWidth="1"/>
    <col min="64" max="16384" width="8.7109375" style="171"/>
  </cols>
  <sheetData>
    <row r="3" spans="2:17" x14ac:dyDescent="0.2">
      <c r="C3" s="171">
        <v>-1</v>
      </c>
    </row>
    <row r="4" spans="2:17" ht="13.5" thickBot="1" x14ac:dyDescent="0.25">
      <c r="B4" s="172" t="s">
        <v>96</v>
      </c>
      <c r="C4" s="173">
        <v>45748</v>
      </c>
      <c r="D4" s="173">
        <v>45778</v>
      </c>
      <c r="E4" s="173">
        <v>45809</v>
      </c>
      <c r="F4" s="173">
        <v>45839</v>
      </c>
      <c r="G4" s="173">
        <v>45870</v>
      </c>
      <c r="H4" s="173">
        <v>45901</v>
      </c>
      <c r="I4" s="173">
        <v>45931</v>
      </c>
      <c r="J4" s="173">
        <v>45962</v>
      </c>
      <c r="K4" s="173">
        <v>45992</v>
      </c>
      <c r="L4" s="173">
        <v>46023</v>
      </c>
      <c r="M4" s="173">
        <v>46054</v>
      </c>
      <c r="N4" s="173">
        <v>46082</v>
      </c>
      <c r="O4" s="174" t="s">
        <v>97</v>
      </c>
    </row>
    <row r="5" spans="2:17" x14ac:dyDescent="0.2">
      <c r="B5" s="175" t="s">
        <v>98</v>
      </c>
      <c r="C5" s="176"/>
      <c r="D5" s="176"/>
      <c r="E5" s="176"/>
      <c r="F5" s="176"/>
      <c r="G5" s="176"/>
      <c r="H5" s="176"/>
      <c r="I5" s="176"/>
      <c r="J5" s="176"/>
      <c r="K5" s="176"/>
      <c r="L5" s="176"/>
      <c r="M5" s="176"/>
      <c r="N5" s="176"/>
      <c r="O5" s="177"/>
    </row>
    <row r="6" spans="2:17" x14ac:dyDescent="0.2">
      <c r="B6" s="178" t="s">
        <v>99</v>
      </c>
      <c r="C6" s="179">
        <f>Profitability!C22/12</f>
        <v>111870</v>
      </c>
      <c r="D6" s="179">
        <f>C6</f>
        <v>111870</v>
      </c>
      <c r="E6" s="179">
        <f t="shared" ref="E6:N6" si="0">D6</f>
        <v>111870</v>
      </c>
      <c r="F6" s="179">
        <f t="shared" si="0"/>
        <v>111870</v>
      </c>
      <c r="G6" s="179">
        <f t="shared" si="0"/>
        <v>111870</v>
      </c>
      <c r="H6" s="179">
        <f t="shared" si="0"/>
        <v>111870</v>
      </c>
      <c r="I6" s="179">
        <f t="shared" si="0"/>
        <v>111870</v>
      </c>
      <c r="J6" s="179">
        <f t="shared" si="0"/>
        <v>111870</v>
      </c>
      <c r="K6" s="179">
        <f t="shared" si="0"/>
        <v>111870</v>
      </c>
      <c r="L6" s="179">
        <f t="shared" si="0"/>
        <v>111870</v>
      </c>
      <c r="M6" s="179">
        <f t="shared" si="0"/>
        <v>111870</v>
      </c>
      <c r="N6" s="179">
        <f t="shared" si="0"/>
        <v>111870</v>
      </c>
      <c r="O6" s="180">
        <f>SUM(C6:N6)</f>
        <v>1342440</v>
      </c>
    </row>
    <row r="7" spans="2:17" x14ac:dyDescent="0.2">
      <c r="B7" s="178" t="s">
        <v>100</v>
      </c>
      <c r="C7" s="179"/>
      <c r="D7" s="179">
        <v>0</v>
      </c>
      <c r="E7" s="179">
        <v>0</v>
      </c>
      <c r="F7" s="179">
        <v>0</v>
      </c>
      <c r="G7" s="179">
        <v>0</v>
      </c>
      <c r="H7" s="179">
        <v>0</v>
      </c>
      <c r="I7" s="179">
        <v>0</v>
      </c>
      <c r="J7" s="179">
        <v>0</v>
      </c>
      <c r="K7" s="179">
        <v>0</v>
      </c>
      <c r="L7" s="179">
        <v>0</v>
      </c>
      <c r="M7" s="179"/>
      <c r="N7" s="179"/>
      <c r="O7" s="180">
        <f>SUM(C7:N7)</f>
        <v>0</v>
      </c>
    </row>
    <row r="8" spans="2:17" x14ac:dyDescent="0.2">
      <c r="B8" s="181" t="s">
        <v>101</v>
      </c>
      <c r="C8" s="182"/>
      <c r="D8" s="182"/>
      <c r="E8" s="182"/>
      <c r="F8" s="182"/>
      <c r="G8" s="182"/>
      <c r="H8" s="182"/>
      <c r="I8" s="182"/>
      <c r="J8" s="182"/>
      <c r="K8" s="182"/>
      <c r="L8" s="182"/>
      <c r="M8" s="182"/>
      <c r="N8" s="182"/>
      <c r="O8" s="183">
        <f>SUM(O6:O7)</f>
        <v>1342440</v>
      </c>
    </row>
    <row r="9" spans="2:17" x14ac:dyDescent="0.2">
      <c r="B9" s="178" t="s">
        <v>102</v>
      </c>
      <c r="C9" s="184">
        <f>-Profitability!C45</f>
        <v>-493056</v>
      </c>
      <c r="D9" s="185"/>
      <c r="E9" s="185"/>
      <c r="F9" s="185"/>
      <c r="G9" s="185"/>
      <c r="H9" s="185"/>
      <c r="I9" s="185"/>
      <c r="J9" s="185"/>
      <c r="K9" s="185"/>
      <c r="L9" s="185"/>
      <c r="M9" s="185"/>
      <c r="N9" s="185"/>
      <c r="O9" s="180">
        <f t="shared" ref="O9" si="1">SUM(C9:N9)</f>
        <v>-493056</v>
      </c>
    </row>
    <row r="10" spans="2:17" x14ac:dyDescent="0.2">
      <c r="B10" s="178" t="s">
        <v>103</v>
      </c>
      <c r="C10" s="184">
        <f>-Profitability!C31/12</f>
        <v>-21596.642582804398</v>
      </c>
      <c r="D10" s="184">
        <f>C10</f>
        <v>-21596.642582804398</v>
      </c>
      <c r="E10" s="184">
        <f t="shared" ref="E10:N11" si="2">D10</f>
        <v>-21596.642582804398</v>
      </c>
      <c r="F10" s="184">
        <f t="shared" si="2"/>
        <v>-21596.642582804398</v>
      </c>
      <c r="G10" s="184">
        <f t="shared" si="2"/>
        <v>-21596.642582804398</v>
      </c>
      <c r="H10" s="184">
        <f t="shared" si="2"/>
        <v>-21596.642582804398</v>
      </c>
      <c r="I10" s="184">
        <f t="shared" si="2"/>
        <v>-21596.642582804398</v>
      </c>
      <c r="J10" s="184">
        <f t="shared" si="2"/>
        <v>-21596.642582804398</v>
      </c>
      <c r="K10" s="184">
        <f t="shared" si="2"/>
        <v>-21596.642582804398</v>
      </c>
      <c r="L10" s="184">
        <f t="shared" si="2"/>
        <v>-21596.642582804398</v>
      </c>
      <c r="M10" s="184">
        <f t="shared" si="2"/>
        <v>-21596.642582804398</v>
      </c>
      <c r="N10" s="184">
        <f t="shared" si="2"/>
        <v>-21596.642582804398</v>
      </c>
      <c r="O10" s="180">
        <f>SUM(C10:N10)</f>
        <v>-259159.71099365278</v>
      </c>
      <c r="P10" s="186"/>
    </row>
    <row r="11" spans="2:17" x14ac:dyDescent="0.2">
      <c r="B11" s="178" t="s">
        <v>104</v>
      </c>
      <c r="C11" s="179">
        <f>-Profitability!C33/12</f>
        <v>-21939.624903981541</v>
      </c>
      <c r="D11" s="179">
        <f>C11</f>
        <v>-21939.624903981541</v>
      </c>
      <c r="E11" s="179">
        <f t="shared" si="2"/>
        <v>-21939.624903981541</v>
      </c>
      <c r="F11" s="179">
        <f t="shared" si="2"/>
        <v>-21939.624903981541</v>
      </c>
      <c r="G11" s="179">
        <f t="shared" si="2"/>
        <v>-21939.624903981541</v>
      </c>
      <c r="H11" s="179">
        <f t="shared" si="2"/>
        <v>-21939.624903981541</v>
      </c>
      <c r="I11" s="179">
        <f t="shared" si="2"/>
        <v>-21939.624903981541</v>
      </c>
      <c r="J11" s="179">
        <f t="shared" si="2"/>
        <v>-21939.624903981541</v>
      </c>
      <c r="K11" s="179">
        <f t="shared" si="2"/>
        <v>-21939.624903981541</v>
      </c>
      <c r="L11" s="179">
        <f t="shared" si="2"/>
        <v>-21939.624903981541</v>
      </c>
      <c r="M11" s="179">
        <f t="shared" si="2"/>
        <v>-21939.624903981541</v>
      </c>
      <c r="N11" s="179">
        <f t="shared" si="2"/>
        <v>-21939.624903981541</v>
      </c>
      <c r="O11" s="180">
        <f>SUM(C11:N11)</f>
        <v>-263275.49884777848</v>
      </c>
      <c r="P11" s="187"/>
      <c r="Q11" s="188"/>
    </row>
    <row r="12" spans="2:17" x14ac:dyDescent="0.2">
      <c r="B12" s="178"/>
      <c r="C12" s="189"/>
      <c r="D12" s="189"/>
      <c r="E12" s="189"/>
      <c r="F12" s="189"/>
      <c r="G12" s="189"/>
      <c r="H12" s="189"/>
      <c r="I12" s="189"/>
      <c r="J12" s="189"/>
      <c r="K12" s="189"/>
      <c r="L12" s="189"/>
      <c r="M12" s="189"/>
      <c r="N12" s="189"/>
      <c r="O12" s="180"/>
      <c r="P12" s="186"/>
    </row>
    <row r="13" spans="2:17" x14ac:dyDescent="0.2">
      <c r="B13" s="178" t="s">
        <v>105</v>
      </c>
      <c r="C13" s="179">
        <f t="shared" ref="C13:N13" si="3">SUM(C6:C7,C9:C12)</f>
        <v>-424722.26748678589</v>
      </c>
      <c r="D13" s="179">
        <f t="shared" si="3"/>
        <v>68333.732513214054</v>
      </c>
      <c r="E13" s="179">
        <f t="shared" si="3"/>
        <v>68333.732513214054</v>
      </c>
      <c r="F13" s="179">
        <f t="shared" si="3"/>
        <v>68333.732513214054</v>
      </c>
      <c r="G13" s="179">
        <f t="shared" si="3"/>
        <v>68333.732513214054</v>
      </c>
      <c r="H13" s="179">
        <f t="shared" si="3"/>
        <v>68333.732513214054</v>
      </c>
      <c r="I13" s="179">
        <f t="shared" si="3"/>
        <v>68333.732513214054</v>
      </c>
      <c r="J13" s="179">
        <f t="shared" si="3"/>
        <v>68333.732513214054</v>
      </c>
      <c r="K13" s="179">
        <f t="shared" si="3"/>
        <v>68333.732513214054</v>
      </c>
      <c r="L13" s="179">
        <f t="shared" si="3"/>
        <v>68333.732513214054</v>
      </c>
      <c r="M13" s="179">
        <f t="shared" si="3"/>
        <v>68333.732513214054</v>
      </c>
      <c r="N13" s="179">
        <f t="shared" si="3"/>
        <v>68333.732513214054</v>
      </c>
      <c r="O13" s="180">
        <f>SUM(C13:N13)</f>
        <v>326948.79015856871</v>
      </c>
      <c r="P13" s="187"/>
    </row>
    <row r="14" spans="2:17" ht="13.5" thickBot="1" x14ac:dyDescent="0.25">
      <c r="B14" s="190" t="s">
        <v>106</v>
      </c>
      <c r="C14" s="191">
        <f>C13</f>
        <v>-424722.26748678589</v>
      </c>
      <c r="D14" s="191">
        <f>D13+C14</f>
        <v>-356388.53497357183</v>
      </c>
      <c r="E14" s="191">
        <f>E13+D14</f>
        <v>-288054.80246035778</v>
      </c>
      <c r="F14" s="191">
        <f>F13+E14</f>
        <v>-219721.06994714373</v>
      </c>
      <c r="G14" s="191">
        <f>G13+F14</f>
        <v>-151387.33743392967</v>
      </c>
      <c r="H14" s="191">
        <f t="shared" ref="H14:N14" si="4">H13+G14</f>
        <v>-83053.604920715617</v>
      </c>
      <c r="I14" s="191">
        <f t="shared" si="4"/>
        <v>-14719.872407501563</v>
      </c>
      <c r="J14" s="191">
        <f t="shared" si="4"/>
        <v>53613.860105712491</v>
      </c>
      <c r="K14" s="191">
        <f t="shared" si="4"/>
        <v>121947.59261892654</v>
      </c>
      <c r="L14" s="191">
        <f t="shared" si="4"/>
        <v>190281.3251321406</v>
      </c>
      <c r="M14" s="191">
        <f t="shared" si="4"/>
        <v>258615.05764535465</v>
      </c>
      <c r="N14" s="191">
        <f t="shared" si="4"/>
        <v>326948.79015856871</v>
      </c>
      <c r="O14" s="192"/>
      <c r="P14" s="186"/>
    </row>
    <row r="16" spans="2:17" x14ac:dyDescent="0.2">
      <c r="B16" s="171" t="s">
        <v>107</v>
      </c>
      <c r="C16" s="193">
        <f>C14*1%</f>
        <v>-4247.2226748678586</v>
      </c>
      <c r="D16" s="193">
        <f>D14*1%</f>
        <v>-3563.8853497357186</v>
      </c>
      <c r="E16" s="193">
        <f>E14*1%</f>
        <v>-2880.5480246035777</v>
      </c>
      <c r="F16" s="193">
        <f t="shared" ref="F16:N16" si="5">F14*1%</f>
        <v>-2197.2106994714372</v>
      </c>
      <c r="G16" s="193">
        <f t="shared" si="5"/>
        <v>-1513.8733743392968</v>
      </c>
      <c r="H16" s="193">
        <f t="shared" si="5"/>
        <v>-830.53604920715622</v>
      </c>
      <c r="I16" s="193">
        <f t="shared" si="5"/>
        <v>-147.19872407501563</v>
      </c>
      <c r="J16" s="193">
        <f t="shared" si="5"/>
        <v>536.1386010571249</v>
      </c>
      <c r="K16" s="193">
        <f t="shared" si="5"/>
        <v>1219.4759261892655</v>
      </c>
      <c r="L16" s="193">
        <f t="shared" si="5"/>
        <v>1902.8132513214059</v>
      </c>
      <c r="M16" s="193">
        <f t="shared" si="5"/>
        <v>2586.1505764535464</v>
      </c>
      <c r="N16" s="193">
        <f t="shared" si="5"/>
        <v>3269.4879015856873</v>
      </c>
      <c r="O16" s="194">
        <f>SUM(C16:N16)</f>
        <v>-5866.4086396930306</v>
      </c>
    </row>
    <row r="20" spans="2:63" x14ac:dyDescent="0.2">
      <c r="B20" s="171" t="s">
        <v>44</v>
      </c>
    </row>
    <row r="22" spans="2:63" ht="13.5" thickBot="1" x14ac:dyDescent="0.25">
      <c r="B22" s="172" t="s">
        <v>96</v>
      </c>
      <c r="C22" s="195">
        <v>1</v>
      </c>
      <c r="D22" s="195">
        <f>C22+1</f>
        <v>2</v>
      </c>
      <c r="E22" s="195">
        <f t="shared" ref="E22:N22" si="6">D22+1</f>
        <v>3</v>
      </c>
      <c r="F22" s="195">
        <f t="shared" si="6"/>
        <v>4</v>
      </c>
      <c r="G22" s="195">
        <f t="shared" si="6"/>
        <v>5</v>
      </c>
      <c r="H22" s="195">
        <f t="shared" si="6"/>
        <v>6</v>
      </c>
      <c r="I22" s="195">
        <f t="shared" si="6"/>
        <v>7</v>
      </c>
      <c r="J22" s="195">
        <f t="shared" si="6"/>
        <v>8</v>
      </c>
      <c r="K22" s="195">
        <f t="shared" si="6"/>
        <v>9</v>
      </c>
      <c r="L22" s="195">
        <f t="shared" si="6"/>
        <v>10</v>
      </c>
      <c r="M22" s="195">
        <f t="shared" si="6"/>
        <v>11</v>
      </c>
      <c r="N22" s="195">
        <f t="shared" si="6"/>
        <v>12</v>
      </c>
      <c r="O22" s="195">
        <f>N22+1</f>
        <v>13</v>
      </c>
      <c r="P22" s="195">
        <f>O22+1</f>
        <v>14</v>
      </c>
      <c r="Q22" s="195">
        <f t="shared" ref="Q22:Z22" si="7">P22+1</f>
        <v>15</v>
      </c>
      <c r="R22" s="195">
        <f t="shared" si="7"/>
        <v>16</v>
      </c>
      <c r="S22" s="195">
        <f t="shared" si="7"/>
        <v>17</v>
      </c>
      <c r="T22" s="195">
        <f t="shared" si="7"/>
        <v>18</v>
      </c>
      <c r="U22" s="195">
        <f t="shared" si="7"/>
        <v>19</v>
      </c>
      <c r="V22" s="195">
        <f t="shared" si="7"/>
        <v>20</v>
      </c>
      <c r="W22" s="195">
        <f t="shared" si="7"/>
        <v>21</v>
      </c>
      <c r="X22" s="195">
        <f t="shared" si="7"/>
        <v>22</v>
      </c>
      <c r="Y22" s="195">
        <f t="shared" si="7"/>
        <v>23</v>
      </c>
      <c r="Z22" s="195">
        <f t="shared" si="7"/>
        <v>24</v>
      </c>
      <c r="AA22" s="195">
        <f>Z22+1</f>
        <v>25</v>
      </c>
      <c r="AB22" s="195">
        <f>AA22+1</f>
        <v>26</v>
      </c>
      <c r="AC22" s="195">
        <f t="shared" ref="AC22:AM22" si="8">AB22+1</f>
        <v>27</v>
      </c>
      <c r="AD22" s="195">
        <f t="shared" si="8"/>
        <v>28</v>
      </c>
      <c r="AE22" s="195">
        <f t="shared" si="8"/>
        <v>29</v>
      </c>
      <c r="AF22" s="195">
        <f t="shared" si="8"/>
        <v>30</v>
      </c>
      <c r="AG22" s="195">
        <f t="shared" si="8"/>
        <v>31</v>
      </c>
      <c r="AH22" s="195">
        <f t="shared" si="8"/>
        <v>32</v>
      </c>
      <c r="AI22" s="195">
        <f t="shared" si="8"/>
        <v>33</v>
      </c>
      <c r="AJ22" s="195">
        <f t="shared" si="8"/>
        <v>34</v>
      </c>
      <c r="AK22" s="195">
        <f t="shared" si="8"/>
        <v>35</v>
      </c>
      <c r="AL22" s="195">
        <f t="shared" si="8"/>
        <v>36</v>
      </c>
      <c r="AM22" s="195">
        <f t="shared" si="8"/>
        <v>37</v>
      </c>
      <c r="AN22" s="195">
        <f>AM22+1</f>
        <v>38</v>
      </c>
      <c r="AO22" s="195">
        <f>AN22+1</f>
        <v>39</v>
      </c>
      <c r="AP22" s="195">
        <f t="shared" ref="AP22:AY22" si="9">AO22+1</f>
        <v>40</v>
      </c>
      <c r="AQ22" s="195">
        <f t="shared" si="9"/>
        <v>41</v>
      </c>
      <c r="AR22" s="195">
        <f t="shared" si="9"/>
        <v>42</v>
      </c>
      <c r="AS22" s="195">
        <f t="shared" si="9"/>
        <v>43</v>
      </c>
      <c r="AT22" s="195">
        <f t="shared" si="9"/>
        <v>44</v>
      </c>
      <c r="AU22" s="195">
        <f t="shared" si="9"/>
        <v>45</v>
      </c>
      <c r="AV22" s="195">
        <f t="shared" si="9"/>
        <v>46</v>
      </c>
      <c r="AW22" s="195">
        <f t="shared" si="9"/>
        <v>47</v>
      </c>
      <c r="AX22" s="195">
        <f t="shared" si="9"/>
        <v>48</v>
      </c>
      <c r="AY22" s="195">
        <f t="shared" si="9"/>
        <v>49</v>
      </c>
      <c r="AZ22" s="195">
        <f>AY22+1</f>
        <v>50</v>
      </c>
      <c r="BA22" s="195">
        <f>AZ22+1</f>
        <v>51</v>
      </c>
      <c r="BB22" s="195">
        <f t="shared" ref="BB22:BJ22" si="10">BA22+1</f>
        <v>52</v>
      </c>
      <c r="BC22" s="195">
        <f t="shared" si="10"/>
        <v>53</v>
      </c>
      <c r="BD22" s="195">
        <f t="shared" si="10"/>
        <v>54</v>
      </c>
      <c r="BE22" s="195">
        <f t="shared" si="10"/>
        <v>55</v>
      </c>
      <c r="BF22" s="195">
        <f t="shared" si="10"/>
        <v>56</v>
      </c>
      <c r="BG22" s="195">
        <f t="shared" si="10"/>
        <v>57</v>
      </c>
      <c r="BH22" s="195">
        <f t="shared" si="10"/>
        <v>58</v>
      </c>
      <c r="BI22" s="195">
        <f t="shared" si="10"/>
        <v>59</v>
      </c>
      <c r="BJ22" s="195">
        <f t="shared" si="10"/>
        <v>60</v>
      </c>
      <c r="BK22" s="195" t="s">
        <v>97</v>
      </c>
    </row>
    <row r="23" spans="2:63" x14ac:dyDescent="0.2">
      <c r="B23" s="175" t="s">
        <v>98</v>
      </c>
      <c r="C23" s="176"/>
      <c r="D23" s="176"/>
      <c r="E23" s="176"/>
      <c r="F23" s="176"/>
      <c r="G23" s="176"/>
      <c r="H23" s="176"/>
      <c r="I23" s="176"/>
      <c r="J23" s="176"/>
      <c r="K23" s="176"/>
      <c r="L23" s="176"/>
      <c r="M23" s="176"/>
      <c r="N23" s="176"/>
      <c r="O23" s="176"/>
      <c r="P23" s="176"/>
      <c r="Q23" s="176"/>
      <c r="R23" s="176"/>
      <c r="S23" s="176"/>
      <c r="T23" s="176"/>
      <c r="U23" s="176"/>
      <c r="V23" s="176"/>
      <c r="W23" s="176"/>
      <c r="X23" s="176"/>
      <c r="Y23" s="176"/>
      <c r="Z23" s="176"/>
      <c r="AA23" s="176"/>
      <c r="AB23" s="176"/>
      <c r="AC23" s="176"/>
      <c r="AD23" s="176"/>
      <c r="AE23" s="176"/>
      <c r="AF23" s="176"/>
      <c r="AG23" s="176"/>
      <c r="AH23" s="176"/>
      <c r="AI23" s="176"/>
      <c r="AJ23" s="176"/>
      <c r="AK23" s="176"/>
      <c r="AL23" s="176"/>
      <c r="AM23" s="176"/>
      <c r="AN23" s="176"/>
      <c r="AO23" s="176"/>
      <c r="AP23" s="176"/>
      <c r="AQ23" s="176"/>
      <c r="AR23" s="176"/>
      <c r="AS23" s="176"/>
      <c r="AT23" s="176"/>
      <c r="AU23" s="176"/>
      <c r="AV23" s="176"/>
      <c r="AW23" s="176"/>
      <c r="AX23" s="176"/>
      <c r="AY23" s="176"/>
      <c r="AZ23" s="176"/>
      <c r="BA23" s="176"/>
      <c r="BB23" s="176"/>
      <c r="BC23" s="176"/>
      <c r="BD23" s="176"/>
      <c r="BE23" s="176"/>
      <c r="BF23" s="176"/>
      <c r="BG23" s="176"/>
      <c r="BH23" s="176"/>
      <c r="BI23" s="176"/>
      <c r="BJ23" s="176"/>
      <c r="BK23" s="176"/>
    </row>
    <row r="24" spans="2:63" x14ac:dyDescent="0.2">
      <c r="B24" s="178" t="s">
        <v>99</v>
      </c>
      <c r="C24" s="179">
        <f>Profitability!C22/Profitability!I2</f>
        <v>22374</v>
      </c>
      <c r="D24" s="179">
        <f>C24</f>
        <v>22374</v>
      </c>
      <c r="E24" s="179">
        <f t="shared" ref="E24:BJ24" si="11">D24</f>
        <v>22374</v>
      </c>
      <c r="F24" s="179">
        <f t="shared" si="11"/>
        <v>22374</v>
      </c>
      <c r="G24" s="179">
        <f t="shared" si="11"/>
        <v>22374</v>
      </c>
      <c r="H24" s="179">
        <f t="shared" si="11"/>
        <v>22374</v>
      </c>
      <c r="I24" s="179">
        <f t="shared" si="11"/>
        <v>22374</v>
      </c>
      <c r="J24" s="179">
        <f t="shared" si="11"/>
        <v>22374</v>
      </c>
      <c r="K24" s="179">
        <f t="shared" si="11"/>
        <v>22374</v>
      </c>
      <c r="L24" s="179">
        <f t="shared" si="11"/>
        <v>22374</v>
      </c>
      <c r="M24" s="179">
        <f t="shared" si="11"/>
        <v>22374</v>
      </c>
      <c r="N24" s="179">
        <f t="shared" si="11"/>
        <v>22374</v>
      </c>
      <c r="O24" s="179">
        <f t="shared" si="11"/>
        <v>22374</v>
      </c>
      <c r="P24" s="179">
        <f t="shared" si="11"/>
        <v>22374</v>
      </c>
      <c r="Q24" s="179">
        <f t="shared" si="11"/>
        <v>22374</v>
      </c>
      <c r="R24" s="179">
        <f t="shared" si="11"/>
        <v>22374</v>
      </c>
      <c r="S24" s="179">
        <f t="shared" si="11"/>
        <v>22374</v>
      </c>
      <c r="T24" s="179">
        <f t="shared" si="11"/>
        <v>22374</v>
      </c>
      <c r="U24" s="179">
        <f t="shared" si="11"/>
        <v>22374</v>
      </c>
      <c r="V24" s="179">
        <f t="shared" si="11"/>
        <v>22374</v>
      </c>
      <c r="W24" s="179">
        <f t="shared" si="11"/>
        <v>22374</v>
      </c>
      <c r="X24" s="179">
        <f t="shared" si="11"/>
        <v>22374</v>
      </c>
      <c r="Y24" s="179">
        <f t="shared" si="11"/>
        <v>22374</v>
      </c>
      <c r="Z24" s="179">
        <f t="shared" si="11"/>
        <v>22374</v>
      </c>
      <c r="AA24" s="179">
        <f t="shared" si="11"/>
        <v>22374</v>
      </c>
      <c r="AB24" s="179">
        <f t="shared" si="11"/>
        <v>22374</v>
      </c>
      <c r="AC24" s="179">
        <f t="shared" si="11"/>
        <v>22374</v>
      </c>
      <c r="AD24" s="179">
        <f t="shared" si="11"/>
        <v>22374</v>
      </c>
      <c r="AE24" s="179">
        <f t="shared" si="11"/>
        <v>22374</v>
      </c>
      <c r="AF24" s="179">
        <f t="shared" si="11"/>
        <v>22374</v>
      </c>
      <c r="AG24" s="179">
        <f t="shared" si="11"/>
        <v>22374</v>
      </c>
      <c r="AH24" s="179">
        <f t="shared" si="11"/>
        <v>22374</v>
      </c>
      <c r="AI24" s="179">
        <f t="shared" si="11"/>
        <v>22374</v>
      </c>
      <c r="AJ24" s="179">
        <f t="shared" si="11"/>
        <v>22374</v>
      </c>
      <c r="AK24" s="179">
        <f t="shared" si="11"/>
        <v>22374</v>
      </c>
      <c r="AL24" s="179">
        <f t="shared" si="11"/>
        <v>22374</v>
      </c>
      <c r="AM24" s="179">
        <f t="shared" si="11"/>
        <v>22374</v>
      </c>
      <c r="AN24" s="179">
        <f t="shared" si="11"/>
        <v>22374</v>
      </c>
      <c r="AO24" s="179">
        <f t="shared" si="11"/>
        <v>22374</v>
      </c>
      <c r="AP24" s="179">
        <f t="shared" si="11"/>
        <v>22374</v>
      </c>
      <c r="AQ24" s="179">
        <f t="shared" si="11"/>
        <v>22374</v>
      </c>
      <c r="AR24" s="179">
        <f t="shared" si="11"/>
        <v>22374</v>
      </c>
      <c r="AS24" s="179">
        <f t="shared" si="11"/>
        <v>22374</v>
      </c>
      <c r="AT24" s="179">
        <f t="shared" si="11"/>
        <v>22374</v>
      </c>
      <c r="AU24" s="179">
        <f t="shared" si="11"/>
        <v>22374</v>
      </c>
      <c r="AV24" s="179">
        <f t="shared" si="11"/>
        <v>22374</v>
      </c>
      <c r="AW24" s="179">
        <f t="shared" si="11"/>
        <v>22374</v>
      </c>
      <c r="AX24" s="179">
        <f t="shared" si="11"/>
        <v>22374</v>
      </c>
      <c r="AY24" s="179">
        <f t="shared" si="11"/>
        <v>22374</v>
      </c>
      <c r="AZ24" s="179">
        <f t="shared" si="11"/>
        <v>22374</v>
      </c>
      <c r="BA24" s="179">
        <f t="shared" si="11"/>
        <v>22374</v>
      </c>
      <c r="BB24" s="179">
        <f t="shared" si="11"/>
        <v>22374</v>
      </c>
      <c r="BC24" s="179">
        <f t="shared" si="11"/>
        <v>22374</v>
      </c>
      <c r="BD24" s="179">
        <f t="shared" si="11"/>
        <v>22374</v>
      </c>
      <c r="BE24" s="179">
        <f t="shared" si="11"/>
        <v>22374</v>
      </c>
      <c r="BF24" s="179">
        <f t="shared" si="11"/>
        <v>22374</v>
      </c>
      <c r="BG24" s="179">
        <f t="shared" si="11"/>
        <v>22374</v>
      </c>
      <c r="BH24" s="179">
        <f t="shared" si="11"/>
        <v>22374</v>
      </c>
      <c r="BI24" s="179">
        <f t="shared" si="11"/>
        <v>22374</v>
      </c>
      <c r="BJ24" s="179">
        <f t="shared" si="11"/>
        <v>22374</v>
      </c>
      <c r="BK24" s="179">
        <f>SUM(C24:BJ24)</f>
        <v>1342440</v>
      </c>
    </row>
    <row r="25" spans="2:63" x14ac:dyDescent="0.2">
      <c r="B25" s="178" t="s">
        <v>100</v>
      </c>
      <c r="C25" s="179"/>
      <c r="D25" s="179">
        <v>0</v>
      </c>
      <c r="E25" s="179">
        <v>0</v>
      </c>
      <c r="F25" s="179">
        <v>0</v>
      </c>
      <c r="G25" s="179">
        <v>0</v>
      </c>
      <c r="H25" s="179">
        <v>0</v>
      </c>
      <c r="I25" s="179">
        <v>0</v>
      </c>
      <c r="J25" s="179">
        <v>0</v>
      </c>
      <c r="K25" s="179">
        <v>0</v>
      </c>
      <c r="L25" s="179">
        <v>0</v>
      </c>
      <c r="M25" s="179"/>
      <c r="N25" s="179"/>
      <c r="O25" s="179">
        <f>'[1]Primary Site - Production'!S71</f>
        <v>0</v>
      </c>
      <c r="P25" s="179">
        <v>0</v>
      </c>
      <c r="Q25" s="179">
        <v>0</v>
      </c>
      <c r="R25" s="179">
        <v>0</v>
      </c>
      <c r="S25" s="179">
        <v>0</v>
      </c>
      <c r="T25" s="179">
        <v>0</v>
      </c>
      <c r="U25" s="179">
        <v>0</v>
      </c>
      <c r="V25" s="179">
        <v>0</v>
      </c>
      <c r="W25" s="179">
        <v>0</v>
      </c>
      <c r="X25" s="179">
        <v>0</v>
      </c>
      <c r="Y25" s="179"/>
      <c r="Z25" s="179"/>
      <c r="AA25" s="179">
        <f>'[1]Primary Site - Production'!AE71</f>
        <v>0</v>
      </c>
      <c r="AB25" s="179">
        <v>0</v>
      </c>
      <c r="AC25" s="179">
        <v>0</v>
      </c>
      <c r="AD25" s="179">
        <v>0</v>
      </c>
      <c r="AE25" s="179">
        <v>0</v>
      </c>
      <c r="AF25" s="179">
        <v>0</v>
      </c>
      <c r="AG25" s="179">
        <v>0</v>
      </c>
      <c r="AH25" s="179">
        <v>0</v>
      </c>
      <c r="AI25" s="179">
        <v>0</v>
      </c>
      <c r="AJ25" s="179">
        <v>0</v>
      </c>
      <c r="AK25" s="179"/>
      <c r="AL25" s="179"/>
      <c r="AM25" s="179"/>
      <c r="AN25" s="179">
        <f>'[1]Primary Site - Production'!AR71</f>
        <v>0</v>
      </c>
      <c r="AO25" s="179">
        <v>0</v>
      </c>
      <c r="AP25" s="179">
        <v>0</v>
      </c>
      <c r="AQ25" s="179">
        <v>0</v>
      </c>
      <c r="AR25" s="179">
        <v>0</v>
      </c>
      <c r="AS25" s="179">
        <v>0</v>
      </c>
      <c r="AT25" s="179">
        <v>0</v>
      </c>
      <c r="AU25" s="179">
        <v>0</v>
      </c>
      <c r="AV25" s="179">
        <v>0</v>
      </c>
      <c r="AW25" s="179">
        <v>0</v>
      </c>
      <c r="AX25" s="179"/>
      <c r="AY25" s="179"/>
      <c r="AZ25" s="179">
        <f>'[1]Primary Site - Production'!BD71</f>
        <v>0</v>
      </c>
      <c r="BA25" s="179">
        <v>0</v>
      </c>
      <c r="BB25" s="179">
        <v>0</v>
      </c>
      <c r="BC25" s="179">
        <v>0</v>
      </c>
      <c r="BD25" s="179">
        <v>0</v>
      </c>
      <c r="BE25" s="179">
        <v>0</v>
      </c>
      <c r="BF25" s="179">
        <v>0</v>
      </c>
      <c r="BG25" s="179">
        <v>0</v>
      </c>
      <c r="BH25" s="179">
        <v>0</v>
      </c>
      <c r="BI25" s="179">
        <v>0</v>
      </c>
      <c r="BJ25" s="179"/>
      <c r="BK25" s="179">
        <f t="shared" ref="BK25:BK29" si="12">SUM(C25:BJ25)</f>
        <v>0</v>
      </c>
    </row>
    <row r="26" spans="2:63" x14ac:dyDescent="0.2">
      <c r="B26" s="181" t="s">
        <v>101</v>
      </c>
      <c r="C26" s="182"/>
      <c r="D26" s="182"/>
      <c r="E26" s="182"/>
      <c r="F26" s="182"/>
      <c r="G26" s="182"/>
      <c r="H26" s="182"/>
      <c r="I26" s="182"/>
      <c r="J26" s="182"/>
      <c r="K26" s="182"/>
      <c r="L26" s="182"/>
      <c r="M26" s="182"/>
      <c r="N26" s="182"/>
      <c r="O26" s="182"/>
      <c r="P26" s="182"/>
      <c r="Q26" s="182"/>
      <c r="R26" s="182"/>
      <c r="S26" s="182"/>
      <c r="T26" s="182"/>
      <c r="U26" s="182"/>
      <c r="V26" s="182"/>
      <c r="W26" s="182"/>
      <c r="X26" s="182"/>
      <c r="Y26" s="182"/>
      <c r="Z26" s="182"/>
      <c r="AA26" s="182"/>
      <c r="AB26" s="182"/>
      <c r="AC26" s="182"/>
      <c r="AD26" s="182"/>
      <c r="AE26" s="182"/>
      <c r="AF26" s="182"/>
      <c r="AG26" s="182"/>
      <c r="AH26" s="182"/>
      <c r="AI26" s="182"/>
      <c r="AJ26" s="182"/>
      <c r="AK26" s="182"/>
      <c r="AL26" s="182"/>
      <c r="AM26" s="182"/>
      <c r="AN26" s="182"/>
      <c r="AO26" s="182"/>
      <c r="AP26" s="182"/>
      <c r="AQ26" s="182"/>
      <c r="AR26" s="182"/>
      <c r="AS26" s="182"/>
      <c r="AT26" s="182"/>
      <c r="AU26" s="182"/>
      <c r="AV26" s="182"/>
      <c r="AW26" s="182"/>
      <c r="AX26" s="182"/>
      <c r="AY26" s="182"/>
      <c r="AZ26" s="182"/>
      <c r="BA26" s="182"/>
      <c r="BB26" s="182"/>
      <c r="BC26" s="182"/>
      <c r="BD26" s="182"/>
      <c r="BE26" s="182"/>
      <c r="BF26" s="182"/>
      <c r="BG26" s="182"/>
      <c r="BH26" s="182"/>
      <c r="BI26" s="182"/>
      <c r="BJ26" s="182"/>
      <c r="BK26" s="182"/>
    </row>
    <row r="27" spans="2:63" x14ac:dyDescent="0.2">
      <c r="B27" s="178" t="s">
        <v>102</v>
      </c>
      <c r="C27" s="184">
        <f>-Profitability!C45</f>
        <v>-493056</v>
      </c>
      <c r="D27" s="185"/>
      <c r="E27" s="185"/>
      <c r="F27" s="185"/>
      <c r="G27" s="185"/>
      <c r="H27" s="185"/>
      <c r="I27" s="185"/>
      <c r="J27" s="185"/>
      <c r="K27" s="185"/>
      <c r="L27" s="185"/>
      <c r="M27" s="185"/>
      <c r="N27" s="185"/>
      <c r="O27" s="184">
        <f>-SUM([1]PnL!O59:O60)</f>
        <v>0</v>
      </c>
      <c r="P27" s="185"/>
      <c r="Q27" s="185"/>
      <c r="R27" s="185"/>
      <c r="S27" s="185"/>
      <c r="T27" s="185"/>
      <c r="U27" s="185"/>
      <c r="V27" s="185"/>
      <c r="W27" s="185"/>
      <c r="X27" s="185"/>
      <c r="Y27" s="185"/>
      <c r="Z27" s="185"/>
      <c r="AA27" s="184">
        <f>-SUM([1]PnL!AA59:AA60)</f>
        <v>0</v>
      </c>
      <c r="AB27" s="185"/>
      <c r="AC27" s="185"/>
      <c r="AD27" s="185"/>
      <c r="AE27" s="185"/>
      <c r="AF27" s="185"/>
      <c r="AG27" s="185"/>
      <c r="AH27" s="185"/>
      <c r="AI27" s="185"/>
      <c r="AJ27" s="185"/>
      <c r="AK27" s="185"/>
      <c r="AL27" s="185"/>
      <c r="AM27" s="185"/>
      <c r="AN27" s="184">
        <f>-SUM([1]PnL!AN59:AN60)</f>
        <v>0</v>
      </c>
      <c r="AO27" s="185"/>
      <c r="AP27" s="185"/>
      <c r="AQ27" s="185"/>
      <c r="AR27" s="185"/>
      <c r="AS27" s="185"/>
      <c r="AT27" s="185"/>
      <c r="AU27" s="185"/>
      <c r="AV27" s="185"/>
      <c r="AW27" s="185"/>
      <c r="AX27" s="185"/>
      <c r="AY27" s="185"/>
      <c r="AZ27" s="184">
        <f>-SUM([1]PnL!AZ59:AZ60)</f>
        <v>0</v>
      </c>
      <c r="BA27" s="185"/>
      <c r="BB27" s="185"/>
      <c r="BC27" s="185"/>
      <c r="BD27" s="185"/>
      <c r="BE27" s="185"/>
      <c r="BF27" s="185"/>
      <c r="BG27" s="185"/>
      <c r="BH27" s="185"/>
      <c r="BI27" s="185"/>
      <c r="BJ27" s="185"/>
      <c r="BK27" s="179">
        <f t="shared" si="12"/>
        <v>-493056</v>
      </c>
    </row>
    <row r="28" spans="2:63" x14ac:dyDescent="0.2">
      <c r="B28" s="178" t="s">
        <v>103</v>
      </c>
      <c r="C28" s="184">
        <f>-Profitability!C31/Profitability!I2</f>
        <v>-4319.3285165608795</v>
      </c>
      <c r="D28" s="179">
        <f t="shared" ref="D28:S29" si="13">C28</f>
        <v>-4319.3285165608795</v>
      </c>
      <c r="E28" s="179">
        <f t="shared" si="13"/>
        <v>-4319.3285165608795</v>
      </c>
      <c r="F28" s="179">
        <f t="shared" si="13"/>
        <v>-4319.3285165608795</v>
      </c>
      <c r="G28" s="179">
        <f t="shared" si="13"/>
        <v>-4319.3285165608795</v>
      </c>
      <c r="H28" s="179">
        <f t="shared" si="13"/>
        <v>-4319.3285165608795</v>
      </c>
      <c r="I28" s="179">
        <f t="shared" si="13"/>
        <v>-4319.3285165608795</v>
      </c>
      <c r="J28" s="179">
        <f t="shared" si="13"/>
        <v>-4319.3285165608795</v>
      </c>
      <c r="K28" s="179">
        <f t="shared" si="13"/>
        <v>-4319.3285165608795</v>
      </c>
      <c r="L28" s="179">
        <f t="shared" si="13"/>
        <v>-4319.3285165608795</v>
      </c>
      <c r="M28" s="179">
        <f t="shared" si="13"/>
        <v>-4319.3285165608795</v>
      </c>
      <c r="N28" s="179">
        <f t="shared" si="13"/>
        <v>-4319.3285165608795</v>
      </c>
      <c r="O28" s="179">
        <f t="shared" si="13"/>
        <v>-4319.3285165608795</v>
      </c>
      <c r="P28" s="179">
        <f t="shared" si="13"/>
        <v>-4319.3285165608795</v>
      </c>
      <c r="Q28" s="179">
        <f t="shared" si="13"/>
        <v>-4319.3285165608795</v>
      </c>
      <c r="R28" s="179">
        <f t="shared" si="13"/>
        <v>-4319.3285165608795</v>
      </c>
      <c r="S28" s="179">
        <f t="shared" si="13"/>
        <v>-4319.3285165608795</v>
      </c>
      <c r="T28" s="179">
        <f t="shared" ref="T28:AI29" si="14">S28</f>
        <v>-4319.3285165608795</v>
      </c>
      <c r="U28" s="179">
        <f t="shared" si="14"/>
        <v>-4319.3285165608795</v>
      </c>
      <c r="V28" s="179">
        <f t="shared" si="14"/>
        <v>-4319.3285165608795</v>
      </c>
      <c r="W28" s="179">
        <f t="shared" si="14"/>
        <v>-4319.3285165608795</v>
      </c>
      <c r="X28" s="179">
        <f t="shared" si="14"/>
        <v>-4319.3285165608795</v>
      </c>
      <c r="Y28" s="179">
        <f t="shared" si="14"/>
        <v>-4319.3285165608795</v>
      </c>
      <c r="Z28" s="179">
        <f t="shared" si="14"/>
        <v>-4319.3285165608795</v>
      </c>
      <c r="AA28" s="179">
        <f t="shared" si="14"/>
        <v>-4319.3285165608795</v>
      </c>
      <c r="AB28" s="179">
        <f t="shared" si="14"/>
        <v>-4319.3285165608795</v>
      </c>
      <c r="AC28" s="179">
        <f t="shared" si="14"/>
        <v>-4319.3285165608795</v>
      </c>
      <c r="AD28" s="179">
        <f t="shared" si="14"/>
        <v>-4319.3285165608795</v>
      </c>
      <c r="AE28" s="179">
        <f t="shared" si="14"/>
        <v>-4319.3285165608795</v>
      </c>
      <c r="AF28" s="179">
        <f t="shared" si="14"/>
        <v>-4319.3285165608795</v>
      </c>
      <c r="AG28" s="179">
        <f t="shared" si="14"/>
        <v>-4319.3285165608795</v>
      </c>
      <c r="AH28" s="179">
        <f t="shared" si="14"/>
        <v>-4319.3285165608795</v>
      </c>
      <c r="AI28" s="179">
        <f t="shared" si="14"/>
        <v>-4319.3285165608795</v>
      </c>
      <c r="AJ28" s="179">
        <f t="shared" ref="AJ28:AY29" si="15">AI28</f>
        <v>-4319.3285165608795</v>
      </c>
      <c r="AK28" s="179">
        <f t="shared" si="15"/>
        <v>-4319.3285165608795</v>
      </c>
      <c r="AL28" s="179">
        <f t="shared" si="15"/>
        <v>-4319.3285165608795</v>
      </c>
      <c r="AM28" s="179">
        <f t="shared" si="15"/>
        <v>-4319.3285165608795</v>
      </c>
      <c r="AN28" s="179">
        <f t="shared" si="15"/>
        <v>-4319.3285165608795</v>
      </c>
      <c r="AO28" s="179">
        <f t="shared" si="15"/>
        <v>-4319.3285165608795</v>
      </c>
      <c r="AP28" s="179">
        <f t="shared" si="15"/>
        <v>-4319.3285165608795</v>
      </c>
      <c r="AQ28" s="179">
        <f t="shared" si="15"/>
        <v>-4319.3285165608795</v>
      </c>
      <c r="AR28" s="179">
        <f t="shared" si="15"/>
        <v>-4319.3285165608795</v>
      </c>
      <c r="AS28" s="179">
        <f t="shared" si="15"/>
        <v>-4319.3285165608795</v>
      </c>
      <c r="AT28" s="179">
        <f t="shared" si="15"/>
        <v>-4319.3285165608795</v>
      </c>
      <c r="AU28" s="179">
        <f t="shared" si="15"/>
        <v>-4319.3285165608795</v>
      </c>
      <c r="AV28" s="179">
        <f t="shared" si="15"/>
        <v>-4319.3285165608795</v>
      </c>
      <c r="AW28" s="179">
        <f t="shared" si="15"/>
        <v>-4319.3285165608795</v>
      </c>
      <c r="AX28" s="179">
        <f t="shared" si="15"/>
        <v>-4319.3285165608795</v>
      </c>
      <c r="AY28" s="179">
        <f t="shared" si="15"/>
        <v>-4319.3285165608795</v>
      </c>
      <c r="AZ28" s="179">
        <f t="shared" ref="AZ28:BJ29" si="16">AY28</f>
        <v>-4319.3285165608795</v>
      </c>
      <c r="BA28" s="179">
        <f t="shared" si="16"/>
        <v>-4319.3285165608795</v>
      </c>
      <c r="BB28" s="179">
        <f t="shared" si="16"/>
        <v>-4319.3285165608795</v>
      </c>
      <c r="BC28" s="179">
        <f t="shared" si="16"/>
        <v>-4319.3285165608795</v>
      </c>
      <c r="BD28" s="179">
        <f t="shared" si="16"/>
        <v>-4319.3285165608795</v>
      </c>
      <c r="BE28" s="179">
        <f t="shared" si="16"/>
        <v>-4319.3285165608795</v>
      </c>
      <c r="BF28" s="179">
        <f t="shared" si="16"/>
        <v>-4319.3285165608795</v>
      </c>
      <c r="BG28" s="179">
        <f t="shared" si="16"/>
        <v>-4319.3285165608795</v>
      </c>
      <c r="BH28" s="179">
        <f t="shared" si="16"/>
        <v>-4319.3285165608795</v>
      </c>
      <c r="BI28" s="179">
        <f t="shared" si="16"/>
        <v>-4319.3285165608795</v>
      </c>
      <c r="BJ28" s="179">
        <f t="shared" si="16"/>
        <v>-4319.3285165608795</v>
      </c>
      <c r="BK28" s="179">
        <f t="shared" si="12"/>
        <v>-259159.71099365252</v>
      </c>
    </row>
    <row r="29" spans="2:63" x14ac:dyDescent="0.2">
      <c r="B29" s="178" t="s">
        <v>104</v>
      </c>
      <c r="C29" s="179">
        <f>-Profitability!C33/Profitability!I2</f>
        <v>-4387.9249807963079</v>
      </c>
      <c r="D29" s="179">
        <f t="shared" si="13"/>
        <v>-4387.9249807963079</v>
      </c>
      <c r="E29" s="179">
        <f t="shared" si="13"/>
        <v>-4387.9249807963079</v>
      </c>
      <c r="F29" s="179">
        <f t="shared" si="13"/>
        <v>-4387.9249807963079</v>
      </c>
      <c r="G29" s="179">
        <f t="shared" si="13"/>
        <v>-4387.9249807963079</v>
      </c>
      <c r="H29" s="179">
        <f t="shared" si="13"/>
        <v>-4387.9249807963079</v>
      </c>
      <c r="I29" s="179">
        <f t="shared" si="13"/>
        <v>-4387.9249807963079</v>
      </c>
      <c r="J29" s="179">
        <f t="shared" si="13"/>
        <v>-4387.9249807963079</v>
      </c>
      <c r="K29" s="179">
        <f t="shared" si="13"/>
        <v>-4387.9249807963079</v>
      </c>
      <c r="L29" s="179">
        <f t="shared" si="13"/>
        <v>-4387.9249807963079</v>
      </c>
      <c r="M29" s="179">
        <f t="shared" si="13"/>
        <v>-4387.9249807963079</v>
      </c>
      <c r="N29" s="179">
        <f t="shared" si="13"/>
        <v>-4387.9249807963079</v>
      </c>
      <c r="O29" s="179">
        <f t="shared" si="13"/>
        <v>-4387.9249807963079</v>
      </c>
      <c r="P29" s="179">
        <f t="shared" si="13"/>
        <v>-4387.9249807963079</v>
      </c>
      <c r="Q29" s="179">
        <f t="shared" si="13"/>
        <v>-4387.9249807963079</v>
      </c>
      <c r="R29" s="179">
        <f t="shared" si="13"/>
        <v>-4387.9249807963079</v>
      </c>
      <c r="S29" s="179">
        <f t="shared" si="13"/>
        <v>-4387.9249807963079</v>
      </c>
      <c r="T29" s="179">
        <f t="shared" si="14"/>
        <v>-4387.9249807963079</v>
      </c>
      <c r="U29" s="179">
        <f t="shared" si="14"/>
        <v>-4387.9249807963079</v>
      </c>
      <c r="V29" s="179">
        <f t="shared" si="14"/>
        <v>-4387.9249807963079</v>
      </c>
      <c r="W29" s="179">
        <f t="shared" si="14"/>
        <v>-4387.9249807963079</v>
      </c>
      <c r="X29" s="179">
        <f t="shared" si="14"/>
        <v>-4387.9249807963079</v>
      </c>
      <c r="Y29" s="179">
        <f t="shared" si="14"/>
        <v>-4387.9249807963079</v>
      </c>
      <c r="Z29" s="179">
        <f t="shared" si="14"/>
        <v>-4387.9249807963079</v>
      </c>
      <c r="AA29" s="179">
        <f t="shared" si="14"/>
        <v>-4387.9249807963079</v>
      </c>
      <c r="AB29" s="179">
        <f t="shared" si="14"/>
        <v>-4387.9249807963079</v>
      </c>
      <c r="AC29" s="179">
        <f t="shared" si="14"/>
        <v>-4387.9249807963079</v>
      </c>
      <c r="AD29" s="179">
        <f t="shared" si="14"/>
        <v>-4387.9249807963079</v>
      </c>
      <c r="AE29" s="179">
        <f t="shared" si="14"/>
        <v>-4387.9249807963079</v>
      </c>
      <c r="AF29" s="179">
        <f t="shared" si="14"/>
        <v>-4387.9249807963079</v>
      </c>
      <c r="AG29" s="179">
        <f t="shared" si="14"/>
        <v>-4387.9249807963079</v>
      </c>
      <c r="AH29" s="179">
        <f t="shared" si="14"/>
        <v>-4387.9249807963079</v>
      </c>
      <c r="AI29" s="179">
        <f t="shared" si="14"/>
        <v>-4387.9249807963079</v>
      </c>
      <c r="AJ29" s="179">
        <f t="shared" si="15"/>
        <v>-4387.9249807963079</v>
      </c>
      <c r="AK29" s="179">
        <f t="shared" si="15"/>
        <v>-4387.9249807963079</v>
      </c>
      <c r="AL29" s="179">
        <f t="shared" si="15"/>
        <v>-4387.9249807963079</v>
      </c>
      <c r="AM29" s="179">
        <f t="shared" si="15"/>
        <v>-4387.9249807963079</v>
      </c>
      <c r="AN29" s="179">
        <f t="shared" si="15"/>
        <v>-4387.9249807963079</v>
      </c>
      <c r="AO29" s="179">
        <f t="shared" si="15"/>
        <v>-4387.9249807963079</v>
      </c>
      <c r="AP29" s="179">
        <f t="shared" si="15"/>
        <v>-4387.9249807963079</v>
      </c>
      <c r="AQ29" s="179">
        <f t="shared" si="15"/>
        <v>-4387.9249807963079</v>
      </c>
      <c r="AR29" s="179">
        <f t="shared" si="15"/>
        <v>-4387.9249807963079</v>
      </c>
      <c r="AS29" s="179">
        <f t="shared" si="15"/>
        <v>-4387.9249807963079</v>
      </c>
      <c r="AT29" s="179">
        <f t="shared" si="15"/>
        <v>-4387.9249807963079</v>
      </c>
      <c r="AU29" s="179">
        <f t="shared" si="15"/>
        <v>-4387.9249807963079</v>
      </c>
      <c r="AV29" s="179">
        <f t="shared" si="15"/>
        <v>-4387.9249807963079</v>
      </c>
      <c r="AW29" s="179">
        <f t="shared" si="15"/>
        <v>-4387.9249807963079</v>
      </c>
      <c r="AX29" s="179">
        <f t="shared" si="15"/>
        <v>-4387.9249807963079</v>
      </c>
      <c r="AY29" s="179">
        <f t="shared" si="15"/>
        <v>-4387.9249807963079</v>
      </c>
      <c r="AZ29" s="179">
        <f t="shared" si="16"/>
        <v>-4387.9249807963079</v>
      </c>
      <c r="BA29" s="179">
        <f t="shared" si="16"/>
        <v>-4387.9249807963079</v>
      </c>
      <c r="BB29" s="179">
        <f t="shared" si="16"/>
        <v>-4387.9249807963079</v>
      </c>
      <c r="BC29" s="179">
        <f t="shared" si="16"/>
        <v>-4387.9249807963079</v>
      </c>
      <c r="BD29" s="179">
        <f t="shared" si="16"/>
        <v>-4387.9249807963079</v>
      </c>
      <c r="BE29" s="179">
        <f t="shared" si="16"/>
        <v>-4387.9249807963079</v>
      </c>
      <c r="BF29" s="179">
        <f t="shared" si="16"/>
        <v>-4387.9249807963079</v>
      </c>
      <c r="BG29" s="179">
        <f t="shared" si="16"/>
        <v>-4387.9249807963079</v>
      </c>
      <c r="BH29" s="179">
        <f t="shared" si="16"/>
        <v>-4387.9249807963079</v>
      </c>
      <c r="BI29" s="179">
        <f t="shared" si="16"/>
        <v>-4387.9249807963079</v>
      </c>
      <c r="BJ29" s="179">
        <f t="shared" si="16"/>
        <v>-4387.9249807963079</v>
      </c>
      <c r="BK29" s="179">
        <f t="shared" si="12"/>
        <v>-263275.49884777883</v>
      </c>
    </row>
    <row r="30" spans="2:63" x14ac:dyDescent="0.2">
      <c r="B30" s="178"/>
      <c r="C30" s="189"/>
      <c r="D30" s="189"/>
      <c r="E30" s="189"/>
      <c r="F30" s="189"/>
      <c r="G30" s="189"/>
      <c r="H30" s="189"/>
      <c r="I30" s="189"/>
      <c r="J30" s="189"/>
      <c r="K30" s="189"/>
      <c r="L30" s="189"/>
      <c r="M30" s="189"/>
      <c r="N30" s="189"/>
      <c r="O30" s="189"/>
      <c r="P30" s="189"/>
      <c r="Q30" s="189"/>
      <c r="R30" s="189"/>
      <c r="S30" s="189"/>
      <c r="T30" s="189"/>
      <c r="U30" s="189"/>
      <c r="V30" s="189"/>
      <c r="W30" s="189"/>
      <c r="X30" s="189"/>
      <c r="Y30" s="189"/>
      <c r="Z30" s="189"/>
      <c r="AA30" s="189"/>
      <c r="AB30" s="189"/>
      <c r="AC30" s="189"/>
      <c r="AD30" s="189"/>
      <c r="AE30" s="189"/>
      <c r="AF30" s="189"/>
      <c r="AG30" s="189"/>
      <c r="AH30" s="189"/>
      <c r="AI30" s="189"/>
      <c r="AJ30" s="189"/>
      <c r="AK30" s="189"/>
      <c r="AL30" s="189"/>
      <c r="AM30" s="189"/>
      <c r="AN30" s="189"/>
      <c r="AO30" s="189"/>
      <c r="AP30" s="189"/>
      <c r="AQ30" s="189"/>
      <c r="AR30" s="189"/>
      <c r="AS30" s="189"/>
      <c r="AT30" s="189"/>
      <c r="AU30" s="189"/>
      <c r="AV30" s="189"/>
      <c r="AW30" s="189"/>
      <c r="AX30" s="189"/>
      <c r="AY30" s="189"/>
      <c r="AZ30" s="189"/>
      <c r="BA30" s="189"/>
      <c r="BB30" s="189"/>
      <c r="BC30" s="189"/>
      <c r="BD30" s="189"/>
      <c r="BE30" s="189"/>
      <c r="BF30" s="189"/>
      <c r="BG30" s="189"/>
      <c r="BH30" s="189"/>
      <c r="BI30" s="189"/>
      <c r="BJ30" s="189"/>
      <c r="BK30" s="189"/>
    </row>
    <row r="31" spans="2:63" x14ac:dyDescent="0.2">
      <c r="B31" s="178" t="s">
        <v>105</v>
      </c>
      <c r="C31" s="179">
        <f t="shared" ref="C31:BK31" si="17">SUM(C24:C25,C27:C30)</f>
        <v>-479389.25349735719</v>
      </c>
      <c r="D31" s="179">
        <f t="shared" si="17"/>
        <v>13666.746502642813</v>
      </c>
      <c r="E31" s="179">
        <f t="shared" si="17"/>
        <v>13666.746502642813</v>
      </c>
      <c r="F31" s="179">
        <f t="shared" si="17"/>
        <v>13666.746502642813</v>
      </c>
      <c r="G31" s="179">
        <f t="shared" si="17"/>
        <v>13666.746502642813</v>
      </c>
      <c r="H31" s="179">
        <f t="shared" si="17"/>
        <v>13666.746502642813</v>
      </c>
      <c r="I31" s="179">
        <f t="shared" si="17"/>
        <v>13666.746502642813</v>
      </c>
      <c r="J31" s="179">
        <f t="shared" si="17"/>
        <v>13666.746502642813</v>
      </c>
      <c r="K31" s="179">
        <f t="shared" si="17"/>
        <v>13666.746502642813</v>
      </c>
      <c r="L31" s="179">
        <f t="shared" si="17"/>
        <v>13666.746502642813</v>
      </c>
      <c r="M31" s="179">
        <f t="shared" si="17"/>
        <v>13666.746502642813</v>
      </c>
      <c r="N31" s="179">
        <f t="shared" si="17"/>
        <v>13666.746502642813</v>
      </c>
      <c r="O31" s="179">
        <f t="shared" si="17"/>
        <v>13666.746502642813</v>
      </c>
      <c r="P31" s="179">
        <f t="shared" si="17"/>
        <v>13666.746502642813</v>
      </c>
      <c r="Q31" s="179">
        <f t="shared" si="17"/>
        <v>13666.746502642813</v>
      </c>
      <c r="R31" s="179">
        <f t="shared" si="17"/>
        <v>13666.746502642813</v>
      </c>
      <c r="S31" s="179">
        <f t="shared" si="17"/>
        <v>13666.746502642813</v>
      </c>
      <c r="T31" s="179">
        <f t="shared" si="17"/>
        <v>13666.746502642813</v>
      </c>
      <c r="U31" s="179">
        <f t="shared" si="17"/>
        <v>13666.746502642813</v>
      </c>
      <c r="V31" s="179">
        <f t="shared" si="17"/>
        <v>13666.746502642813</v>
      </c>
      <c r="W31" s="179">
        <f t="shared" si="17"/>
        <v>13666.746502642813</v>
      </c>
      <c r="X31" s="179">
        <f t="shared" si="17"/>
        <v>13666.746502642813</v>
      </c>
      <c r="Y31" s="179">
        <f t="shared" si="17"/>
        <v>13666.746502642813</v>
      </c>
      <c r="Z31" s="179">
        <f t="shared" si="17"/>
        <v>13666.746502642813</v>
      </c>
      <c r="AA31" s="179">
        <f t="shared" si="17"/>
        <v>13666.746502642813</v>
      </c>
      <c r="AB31" s="179">
        <f t="shared" si="17"/>
        <v>13666.746502642813</v>
      </c>
      <c r="AC31" s="179">
        <f t="shared" si="17"/>
        <v>13666.746502642813</v>
      </c>
      <c r="AD31" s="179">
        <f t="shared" si="17"/>
        <v>13666.746502642813</v>
      </c>
      <c r="AE31" s="179">
        <f t="shared" si="17"/>
        <v>13666.746502642813</v>
      </c>
      <c r="AF31" s="179">
        <f t="shared" si="17"/>
        <v>13666.746502642813</v>
      </c>
      <c r="AG31" s="179">
        <f t="shared" si="17"/>
        <v>13666.746502642813</v>
      </c>
      <c r="AH31" s="179">
        <f t="shared" si="17"/>
        <v>13666.746502642813</v>
      </c>
      <c r="AI31" s="179">
        <f t="shared" si="17"/>
        <v>13666.746502642813</v>
      </c>
      <c r="AJ31" s="179">
        <f t="shared" si="17"/>
        <v>13666.746502642813</v>
      </c>
      <c r="AK31" s="179">
        <f t="shared" si="17"/>
        <v>13666.746502642813</v>
      </c>
      <c r="AL31" s="179">
        <f t="shared" si="17"/>
        <v>13666.746502642813</v>
      </c>
      <c r="AM31" s="179">
        <f t="shared" si="17"/>
        <v>13666.746502642813</v>
      </c>
      <c r="AN31" s="179">
        <f t="shared" si="17"/>
        <v>13666.746502642813</v>
      </c>
      <c r="AO31" s="179">
        <f t="shared" si="17"/>
        <v>13666.746502642813</v>
      </c>
      <c r="AP31" s="179">
        <f t="shared" si="17"/>
        <v>13666.746502642813</v>
      </c>
      <c r="AQ31" s="179">
        <f t="shared" si="17"/>
        <v>13666.746502642813</v>
      </c>
      <c r="AR31" s="179">
        <f t="shared" si="17"/>
        <v>13666.746502642813</v>
      </c>
      <c r="AS31" s="179">
        <f t="shared" si="17"/>
        <v>13666.746502642813</v>
      </c>
      <c r="AT31" s="179">
        <f t="shared" si="17"/>
        <v>13666.746502642813</v>
      </c>
      <c r="AU31" s="179">
        <f t="shared" si="17"/>
        <v>13666.746502642813</v>
      </c>
      <c r="AV31" s="179">
        <f t="shared" si="17"/>
        <v>13666.746502642813</v>
      </c>
      <c r="AW31" s="179">
        <f t="shared" si="17"/>
        <v>13666.746502642813</v>
      </c>
      <c r="AX31" s="179">
        <f t="shared" si="17"/>
        <v>13666.746502642813</v>
      </c>
      <c r="AY31" s="179">
        <f t="shared" si="17"/>
        <v>13666.746502642813</v>
      </c>
      <c r="AZ31" s="179">
        <f t="shared" si="17"/>
        <v>13666.746502642813</v>
      </c>
      <c r="BA31" s="179">
        <f t="shared" si="17"/>
        <v>13666.746502642813</v>
      </c>
      <c r="BB31" s="179">
        <f t="shared" si="17"/>
        <v>13666.746502642813</v>
      </c>
      <c r="BC31" s="179">
        <f t="shared" si="17"/>
        <v>13666.746502642813</v>
      </c>
      <c r="BD31" s="179">
        <f t="shared" si="17"/>
        <v>13666.746502642813</v>
      </c>
      <c r="BE31" s="179">
        <f t="shared" si="17"/>
        <v>13666.746502642813</v>
      </c>
      <c r="BF31" s="179">
        <f t="shared" si="17"/>
        <v>13666.746502642813</v>
      </c>
      <c r="BG31" s="179">
        <f t="shared" si="17"/>
        <v>13666.746502642813</v>
      </c>
      <c r="BH31" s="179">
        <f t="shared" si="17"/>
        <v>13666.746502642813</v>
      </c>
      <c r="BI31" s="179">
        <f t="shared" si="17"/>
        <v>13666.746502642813</v>
      </c>
      <c r="BJ31" s="179">
        <f t="shared" si="17"/>
        <v>13666.746502642813</v>
      </c>
      <c r="BK31" s="179">
        <f t="shared" si="17"/>
        <v>326948.79015856871</v>
      </c>
    </row>
    <row r="32" spans="2:63" ht="13.5" thickBot="1" x14ac:dyDescent="0.25">
      <c r="B32" s="190" t="s">
        <v>106</v>
      </c>
      <c r="C32" s="191">
        <f>C31</f>
        <v>-479389.25349735719</v>
      </c>
      <c r="D32" s="191">
        <f>D31+C32</f>
        <v>-465722.50699471438</v>
      </c>
      <c r="E32" s="191">
        <f t="shared" ref="E32:BK32" si="18">E31+D32</f>
        <v>-452055.76049207157</v>
      </c>
      <c r="F32" s="191">
        <f t="shared" si="18"/>
        <v>-438389.01398942876</v>
      </c>
      <c r="G32" s="191">
        <f t="shared" si="18"/>
        <v>-424722.26748678595</v>
      </c>
      <c r="H32" s="191">
        <f t="shared" si="18"/>
        <v>-411055.52098414314</v>
      </c>
      <c r="I32" s="191">
        <f t="shared" si="18"/>
        <v>-397388.77448150032</v>
      </c>
      <c r="J32" s="191">
        <f t="shared" si="18"/>
        <v>-383722.02797885751</v>
      </c>
      <c r="K32" s="191">
        <f t="shared" si="18"/>
        <v>-370055.2814762147</v>
      </c>
      <c r="L32" s="191">
        <f t="shared" si="18"/>
        <v>-356388.53497357189</v>
      </c>
      <c r="M32" s="191">
        <f t="shared" si="18"/>
        <v>-342721.78847092908</v>
      </c>
      <c r="N32" s="191">
        <f t="shared" si="18"/>
        <v>-329055.04196828627</v>
      </c>
      <c r="O32" s="191">
        <f t="shared" si="18"/>
        <v>-315388.29546564346</v>
      </c>
      <c r="P32" s="191">
        <f t="shared" si="18"/>
        <v>-301721.54896300065</v>
      </c>
      <c r="Q32" s="191">
        <f t="shared" si="18"/>
        <v>-288054.80246035784</v>
      </c>
      <c r="R32" s="191">
        <f t="shared" si="18"/>
        <v>-274388.05595771503</v>
      </c>
      <c r="S32" s="191">
        <f t="shared" si="18"/>
        <v>-260721.30945507222</v>
      </c>
      <c r="T32" s="191">
        <f t="shared" si="18"/>
        <v>-247054.56295242941</v>
      </c>
      <c r="U32" s="191">
        <f t="shared" si="18"/>
        <v>-233387.81644978659</v>
      </c>
      <c r="V32" s="191">
        <f t="shared" si="18"/>
        <v>-219721.06994714378</v>
      </c>
      <c r="W32" s="191">
        <f t="shared" si="18"/>
        <v>-206054.32344450097</v>
      </c>
      <c r="X32" s="191">
        <f t="shared" si="18"/>
        <v>-192387.57694185816</v>
      </c>
      <c r="Y32" s="191">
        <f t="shared" si="18"/>
        <v>-178720.83043921535</v>
      </c>
      <c r="Z32" s="191">
        <f t="shared" si="18"/>
        <v>-165054.08393657254</v>
      </c>
      <c r="AA32" s="191">
        <f t="shared" si="18"/>
        <v>-151387.33743392973</v>
      </c>
      <c r="AB32" s="191">
        <f t="shared" si="18"/>
        <v>-137720.59093128692</v>
      </c>
      <c r="AC32" s="191">
        <f t="shared" si="18"/>
        <v>-124053.84442864411</v>
      </c>
      <c r="AD32" s="191">
        <f t="shared" si="18"/>
        <v>-110387.0979260013</v>
      </c>
      <c r="AE32" s="191">
        <f t="shared" si="18"/>
        <v>-96720.351423358486</v>
      </c>
      <c r="AF32" s="191">
        <f t="shared" si="18"/>
        <v>-83053.604920715676</v>
      </c>
      <c r="AG32" s="191">
        <f t="shared" si="18"/>
        <v>-69386.858418072865</v>
      </c>
      <c r="AH32" s="191">
        <f t="shared" si="18"/>
        <v>-55720.111915430054</v>
      </c>
      <c r="AI32" s="191">
        <f t="shared" si="18"/>
        <v>-42053.365412787243</v>
      </c>
      <c r="AJ32" s="191">
        <f t="shared" si="18"/>
        <v>-28386.618910144432</v>
      </c>
      <c r="AK32" s="191">
        <f t="shared" si="18"/>
        <v>-14719.87240750162</v>
      </c>
      <c r="AL32" s="191">
        <f t="shared" si="18"/>
        <v>-1053.1259048588072</v>
      </c>
      <c r="AM32" s="191">
        <f t="shared" si="18"/>
        <v>12613.620597784005</v>
      </c>
      <c r="AN32" s="191">
        <f t="shared" si="18"/>
        <v>26280.367100426818</v>
      </c>
      <c r="AO32" s="191">
        <f t="shared" si="18"/>
        <v>39947.113603069629</v>
      </c>
      <c r="AP32" s="191">
        <f t="shared" si="18"/>
        <v>53613.86010571244</v>
      </c>
      <c r="AQ32" s="191">
        <f t="shared" si="18"/>
        <v>67280.606608355258</v>
      </c>
      <c r="AR32" s="191">
        <f t="shared" si="18"/>
        <v>80947.353110998069</v>
      </c>
      <c r="AS32" s="191">
        <f t="shared" si="18"/>
        <v>94614.099613640879</v>
      </c>
      <c r="AT32" s="191">
        <f t="shared" si="18"/>
        <v>108280.84611628369</v>
      </c>
      <c r="AU32" s="191">
        <f t="shared" si="18"/>
        <v>121947.5926189265</v>
      </c>
      <c r="AV32" s="191">
        <f t="shared" si="18"/>
        <v>135614.33912156933</v>
      </c>
      <c r="AW32" s="191">
        <f t="shared" si="18"/>
        <v>149281.08562421214</v>
      </c>
      <c r="AX32" s="191">
        <f t="shared" si="18"/>
        <v>162947.83212685495</v>
      </c>
      <c r="AY32" s="191">
        <f t="shared" si="18"/>
        <v>176614.57862949776</v>
      </c>
      <c r="AZ32" s="191">
        <f t="shared" si="18"/>
        <v>190281.32513214057</v>
      </c>
      <c r="BA32" s="191">
        <f t="shared" si="18"/>
        <v>203948.07163478338</v>
      </c>
      <c r="BB32" s="191">
        <f t="shared" si="18"/>
        <v>217614.81813742619</v>
      </c>
      <c r="BC32" s="191">
        <f t="shared" si="18"/>
        <v>231281.564640069</v>
      </c>
      <c r="BD32" s="191">
        <f t="shared" si="18"/>
        <v>244948.31114271181</v>
      </c>
      <c r="BE32" s="191">
        <f t="shared" si="18"/>
        <v>258615.05764535462</v>
      </c>
      <c r="BF32" s="191">
        <f t="shared" si="18"/>
        <v>272281.80414799746</v>
      </c>
      <c r="BG32" s="191">
        <f t="shared" si="18"/>
        <v>285948.55065064027</v>
      </c>
      <c r="BH32" s="191">
        <f t="shared" si="18"/>
        <v>299615.29715328309</v>
      </c>
      <c r="BI32" s="191">
        <f t="shared" si="18"/>
        <v>313282.0436559259</v>
      </c>
      <c r="BJ32" s="191">
        <f t="shared" si="18"/>
        <v>326948.79015856871</v>
      </c>
      <c r="BK32" s="191">
        <f t="shared" si="18"/>
        <v>653897.58031713741</v>
      </c>
    </row>
    <row r="34" spans="2:63" x14ac:dyDescent="0.2">
      <c r="B34" s="171" t="s">
        <v>107</v>
      </c>
      <c r="C34" s="193">
        <f>C32*1%</f>
        <v>-4793.8925349735719</v>
      </c>
      <c r="D34" s="193">
        <f>D32*1%</f>
        <v>-4657.2250699471442</v>
      </c>
      <c r="E34" s="193">
        <f>E32*1%</f>
        <v>-4520.5576049207157</v>
      </c>
      <c r="F34" s="193">
        <f t="shared" ref="F34:N34" si="19">F32*1%</f>
        <v>-4383.890139894288</v>
      </c>
      <c r="G34" s="193">
        <f t="shared" si="19"/>
        <v>-4247.2226748678595</v>
      </c>
      <c r="H34" s="193">
        <f t="shared" si="19"/>
        <v>-4110.5552098414319</v>
      </c>
      <c r="I34" s="193">
        <f t="shared" si="19"/>
        <v>-3973.8877448150033</v>
      </c>
      <c r="J34" s="193">
        <f t="shared" si="19"/>
        <v>-3837.2202797885752</v>
      </c>
      <c r="K34" s="193">
        <f t="shared" si="19"/>
        <v>-3700.5528147621471</v>
      </c>
      <c r="L34" s="193">
        <f t="shared" si="19"/>
        <v>-3563.885349735719</v>
      </c>
      <c r="M34" s="193">
        <f t="shared" si="19"/>
        <v>-3427.217884709291</v>
      </c>
      <c r="N34" s="193">
        <f t="shared" si="19"/>
        <v>-3290.5504196828629</v>
      </c>
      <c r="O34" s="193">
        <f>O32*1%</f>
        <v>-3153.8829546564348</v>
      </c>
      <c r="P34" s="193">
        <f>P32*1%</f>
        <v>-3017.2154896300067</v>
      </c>
      <c r="Q34" s="193">
        <f>Q32*1%</f>
        <v>-2880.5480246035786</v>
      </c>
      <c r="R34" s="193">
        <f t="shared" ref="R34:Z34" si="20">R32*1%</f>
        <v>-2743.8805595771505</v>
      </c>
      <c r="S34" s="193">
        <f t="shared" si="20"/>
        <v>-2607.2130945507224</v>
      </c>
      <c r="T34" s="193">
        <f t="shared" si="20"/>
        <v>-2470.5456295242943</v>
      </c>
      <c r="U34" s="193">
        <f t="shared" si="20"/>
        <v>-2333.8781644978658</v>
      </c>
      <c r="V34" s="193">
        <f t="shared" si="20"/>
        <v>-2197.2106994714377</v>
      </c>
      <c r="W34" s="193">
        <f t="shared" si="20"/>
        <v>-2060.5432344450096</v>
      </c>
      <c r="X34" s="193">
        <f t="shared" si="20"/>
        <v>-1923.8757694185817</v>
      </c>
      <c r="Y34" s="193">
        <f t="shared" si="20"/>
        <v>-1787.2083043921537</v>
      </c>
      <c r="Z34" s="193">
        <f t="shared" si="20"/>
        <v>-1650.5408393657253</v>
      </c>
      <c r="AA34" s="193">
        <f>AA32*1%</f>
        <v>-1513.8733743392972</v>
      </c>
      <c r="AB34" s="193">
        <f>AB32*1%</f>
        <v>-1377.2059093128692</v>
      </c>
      <c r="AC34" s="193">
        <f>AC32*1%</f>
        <v>-1240.5384442864411</v>
      </c>
      <c r="AD34" s="193">
        <f t="shared" ref="AD34:AM34" si="21">AD32*1%</f>
        <v>-1103.870979260013</v>
      </c>
      <c r="AE34" s="193">
        <f t="shared" si="21"/>
        <v>-967.20351423358488</v>
      </c>
      <c r="AF34" s="193">
        <f t="shared" si="21"/>
        <v>-830.53604920715679</v>
      </c>
      <c r="AG34" s="193">
        <f t="shared" si="21"/>
        <v>-693.8685841807287</v>
      </c>
      <c r="AH34" s="193">
        <f t="shared" si="21"/>
        <v>-557.2011191543005</v>
      </c>
      <c r="AI34" s="193">
        <f t="shared" si="21"/>
        <v>-420.53365412787247</v>
      </c>
      <c r="AJ34" s="193">
        <f t="shared" si="21"/>
        <v>-283.86618910144432</v>
      </c>
      <c r="AK34" s="193">
        <f t="shared" si="21"/>
        <v>-147.1987240750162</v>
      </c>
      <c r="AL34" s="193">
        <f t="shared" si="21"/>
        <v>-10.531259048588073</v>
      </c>
      <c r="AM34" s="193">
        <f t="shared" si="21"/>
        <v>126.13620597784006</v>
      </c>
      <c r="AN34" s="193">
        <f>AN32*1%</f>
        <v>262.80367100426821</v>
      </c>
      <c r="AO34" s="193">
        <f>AO32*1%</f>
        <v>399.4711360306963</v>
      </c>
      <c r="AP34" s="193">
        <f>AP32*1%</f>
        <v>536.13860105712445</v>
      </c>
      <c r="AQ34" s="193">
        <f t="shared" ref="AQ34:AY34" si="22">AQ32*1%</f>
        <v>672.80606608355254</v>
      </c>
      <c r="AR34" s="193">
        <f t="shared" si="22"/>
        <v>809.47353110998074</v>
      </c>
      <c r="AS34" s="193">
        <f t="shared" si="22"/>
        <v>946.14099613640883</v>
      </c>
      <c r="AT34" s="193">
        <f t="shared" si="22"/>
        <v>1082.8084611628369</v>
      </c>
      <c r="AU34" s="193">
        <f t="shared" si="22"/>
        <v>1219.475926189265</v>
      </c>
      <c r="AV34" s="193">
        <f t="shared" si="22"/>
        <v>1356.1433912156933</v>
      </c>
      <c r="AW34" s="193">
        <f t="shared" si="22"/>
        <v>1492.8108562421214</v>
      </c>
      <c r="AX34" s="193">
        <f t="shared" si="22"/>
        <v>1629.4783212685495</v>
      </c>
      <c r="AY34" s="193">
        <f t="shared" si="22"/>
        <v>1766.1457862949776</v>
      </c>
      <c r="AZ34" s="193">
        <f>AZ32*1%</f>
        <v>1902.8132513214057</v>
      </c>
      <c r="BA34" s="193">
        <f>BA32*1%</f>
        <v>2039.4807163478338</v>
      </c>
      <c r="BB34" s="193">
        <f>BB32*1%</f>
        <v>2176.1481813742621</v>
      </c>
      <c r="BC34" s="193">
        <f t="shared" ref="BC34:BK34" si="23">BC32*1%</f>
        <v>2312.8156464006902</v>
      </c>
      <c r="BD34" s="193">
        <f t="shared" si="23"/>
        <v>2449.4831114271183</v>
      </c>
      <c r="BE34" s="193">
        <f t="shared" si="23"/>
        <v>2586.1505764535464</v>
      </c>
      <c r="BF34" s="193">
        <f t="shared" si="23"/>
        <v>2722.8180414799749</v>
      </c>
      <c r="BG34" s="193">
        <f t="shared" si="23"/>
        <v>2859.485506506403</v>
      </c>
      <c r="BH34" s="193">
        <f t="shared" si="23"/>
        <v>2996.1529715328311</v>
      </c>
      <c r="BI34" s="193">
        <f t="shared" si="23"/>
        <v>3132.8204365592592</v>
      </c>
      <c r="BJ34" s="193">
        <f t="shared" si="23"/>
        <v>3269.4879015856873</v>
      </c>
      <c r="BK34" s="193">
        <f t="shared" si="23"/>
        <v>6538.9758031713745</v>
      </c>
    </row>
  </sheetData>
  <dataValidations count="3">
    <dataValidation allowBlank="1" showInputMessage="1" showErrorMessage="1" prompt="Enter values for this month in this column under this heading" sqref="C4:N5 C9:N12 C22:BK23 C27:C30 D27:BJ27 D30:BK30" xr:uid="{0EBC0595-D20C-4055-9D16-560E82685F52}"/>
    <dataValidation allowBlank="1" showInputMessage="1" showErrorMessage="1" prompt="Enter or modify Cash Receipts items in this column under this heading" sqref="B4:B5 B9:B12 B22:B23 B27:B30" xr:uid="{714F5ED5-C120-4D12-89D7-A14B8170E395}"/>
    <dataValidation allowBlank="1" showInputMessage="1" prompt="Total is auto calculated in this column under this heading. Total Cash Receipts and Total Cash Available are auto calculated at the end" sqref="O4:O5" xr:uid="{F86595FF-AF50-434A-AF32-DB8C2709D2F8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Profitability</vt:lpstr>
      <vt:lpstr>cash 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Bhogekar</dc:creator>
  <cp:lastModifiedBy>Sujit Kurhade</cp:lastModifiedBy>
  <dcterms:created xsi:type="dcterms:W3CDTF">2025-04-18T09:04:09Z</dcterms:created>
  <dcterms:modified xsi:type="dcterms:W3CDTF">2025-05-02T12:23:37Z</dcterms:modified>
</cp:coreProperties>
</file>